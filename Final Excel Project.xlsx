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148643b91b964500/Desktop/akhi excel project/"/>
    </mc:Choice>
  </mc:AlternateContent>
  <xr:revisionPtr revIDLastSave="0" documentId="14_{6FAC3E9D-BC50-45FA-8841-F5D7DEFF2880}" xr6:coauthVersionLast="47" xr6:coauthVersionMax="47" xr10:uidLastSave="{00000000-0000-0000-0000-000000000000}"/>
  <bookViews>
    <workbookView xWindow="-108" yWindow="-108" windowWidth="23256" windowHeight="13896" activeTab="6" xr2:uid="{00000000-000D-0000-FFFF-FFFF00000000}"/>
  </bookViews>
  <sheets>
    <sheet name="TASK 1" sheetId="6" r:id="rId1"/>
    <sheet name="TASK 2" sheetId="7" r:id="rId2"/>
    <sheet name="TASK 3" sheetId="8" r:id="rId3"/>
    <sheet name="TASK 4" sheetId="11" r:id="rId4"/>
    <sheet name="TASK 5" sheetId="15" r:id="rId5"/>
    <sheet name="TASK 6" sheetId="16" r:id="rId6"/>
    <sheet name="Sheet1" sheetId="18" r:id="rId7"/>
    <sheet name="Dashboard" sheetId="17" r:id="rId8"/>
    <sheet name="Posts" sheetId="1" r:id="rId9"/>
    <sheet name="Engagement Summary" sheetId="2" r:id="rId10"/>
    <sheet name="Campaign Metadata" sheetId="3" r:id="rId11"/>
  </sheets>
  <definedNames>
    <definedName name="ExternalData_1" localSheetId="0" hidden="1">'TASK 1'!$A$1:$P$340</definedName>
    <definedName name="Slicer_Campaign_Name">#N/A</definedName>
    <definedName name="Slicer_Content_Type">#N/A</definedName>
    <definedName name="Slicer_Platform">#N/A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8" i="6" l="1"/>
  <c r="G157" i="16"/>
  <c r="G155" i="16"/>
  <c r="G153" i="16"/>
  <c r="G151" i="16"/>
  <c r="Z2" i="6"/>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8" i="6"/>
  <c r="Z159" i="6"/>
  <c r="Z160" i="6"/>
  <c r="Z161" i="6"/>
  <c r="Z162" i="6"/>
  <c r="Z163" i="6"/>
  <c r="Z164" i="6"/>
  <c r="Z165" i="6"/>
  <c r="Z166" i="6"/>
  <c r="Z167" i="6"/>
  <c r="Z168" i="6"/>
  <c r="Z169" i="6"/>
  <c r="Z170" i="6"/>
  <c r="Z171" i="6"/>
  <c r="Z172" i="6"/>
  <c r="Z173" i="6"/>
  <c r="Z174" i="6"/>
  <c r="Z175" i="6"/>
  <c r="Z176" i="6"/>
  <c r="Z177" i="6"/>
  <c r="Z178" i="6"/>
  <c r="Z179" i="6"/>
  <c r="Z180" i="6"/>
  <c r="Z181" i="6"/>
  <c r="Z182" i="6"/>
  <c r="Z183" i="6"/>
  <c r="Z184" i="6"/>
  <c r="Z185" i="6"/>
  <c r="Z186" i="6"/>
  <c r="Z187" i="6"/>
  <c r="Z188" i="6"/>
  <c r="Z189" i="6"/>
  <c r="Z190" i="6"/>
  <c r="Z191" i="6"/>
  <c r="Z192" i="6"/>
  <c r="Z193" i="6"/>
  <c r="Z194" i="6"/>
  <c r="Z195" i="6"/>
  <c r="Z196" i="6"/>
  <c r="Z197" i="6"/>
  <c r="Z198" i="6"/>
  <c r="Z199" i="6"/>
  <c r="Z200" i="6"/>
  <c r="Z201" i="6"/>
  <c r="Z202" i="6"/>
  <c r="Z203" i="6"/>
  <c r="Z204" i="6"/>
  <c r="Z205" i="6"/>
  <c r="Z206" i="6"/>
  <c r="Z207" i="6"/>
  <c r="Z208" i="6"/>
  <c r="Z209" i="6"/>
  <c r="Z210" i="6"/>
  <c r="Z211" i="6"/>
  <c r="Z212" i="6"/>
  <c r="Z213" i="6"/>
  <c r="Z214" i="6"/>
  <c r="Z215" i="6"/>
  <c r="Z216" i="6"/>
  <c r="Z217" i="6"/>
  <c r="Z218" i="6"/>
  <c r="Z219" i="6"/>
  <c r="Z220" i="6"/>
  <c r="Z221" i="6"/>
  <c r="Z222" i="6"/>
  <c r="Z223" i="6"/>
  <c r="Z224" i="6"/>
  <c r="Z225" i="6"/>
  <c r="Z226" i="6"/>
  <c r="Z227" i="6"/>
  <c r="Z228" i="6"/>
  <c r="Z229" i="6"/>
  <c r="Z230" i="6"/>
  <c r="Z231" i="6"/>
  <c r="Z232" i="6"/>
  <c r="Z233" i="6"/>
  <c r="Z234" i="6"/>
  <c r="Z235" i="6"/>
  <c r="Z236" i="6"/>
  <c r="Z237" i="6"/>
  <c r="Z238" i="6"/>
  <c r="Z239" i="6"/>
  <c r="Z240" i="6"/>
  <c r="Z241" i="6"/>
  <c r="Z242" i="6"/>
  <c r="Z243" i="6"/>
  <c r="Z244" i="6"/>
  <c r="Z245" i="6"/>
  <c r="Z246" i="6"/>
  <c r="Z247" i="6"/>
  <c r="Z248" i="6"/>
  <c r="Z249" i="6"/>
  <c r="Z250" i="6"/>
  <c r="Z251" i="6"/>
  <c r="Z252" i="6"/>
  <c r="Z253" i="6"/>
  <c r="Z254" i="6"/>
  <c r="Z255" i="6"/>
  <c r="Z256" i="6"/>
  <c r="Z257" i="6"/>
  <c r="Z258" i="6"/>
  <c r="Z259" i="6"/>
  <c r="Z260" i="6"/>
  <c r="Z261" i="6"/>
  <c r="Z262" i="6"/>
  <c r="Z263" i="6"/>
  <c r="Z264" i="6"/>
  <c r="Z265" i="6"/>
  <c r="Z266" i="6"/>
  <c r="Z267" i="6"/>
  <c r="Z268" i="6"/>
  <c r="Z269" i="6"/>
  <c r="Z270" i="6"/>
  <c r="Z271" i="6"/>
  <c r="Z272" i="6"/>
  <c r="Z273" i="6"/>
  <c r="Z274" i="6"/>
  <c r="Z275" i="6"/>
  <c r="Z276" i="6"/>
  <c r="Z277" i="6"/>
  <c r="Z278" i="6"/>
  <c r="Z279" i="6"/>
  <c r="Z280" i="6"/>
  <c r="Z281" i="6"/>
  <c r="Z282" i="6"/>
  <c r="Z283" i="6"/>
  <c r="Z284" i="6"/>
  <c r="Z285" i="6"/>
  <c r="Z286" i="6"/>
  <c r="Z287" i="6"/>
  <c r="Z288" i="6"/>
  <c r="Z289" i="6"/>
  <c r="Z290" i="6"/>
  <c r="Z291" i="6"/>
  <c r="Z292" i="6"/>
  <c r="Z293" i="6"/>
  <c r="Z294" i="6"/>
  <c r="Z295" i="6"/>
  <c r="Z296" i="6"/>
  <c r="Z297" i="6"/>
  <c r="Z298" i="6"/>
  <c r="Z299" i="6"/>
  <c r="Z300" i="6"/>
  <c r="Z301" i="6"/>
  <c r="Z302" i="6"/>
  <c r="Z303" i="6"/>
  <c r="Z304" i="6"/>
  <c r="Z305" i="6"/>
  <c r="Z306" i="6"/>
  <c r="Z307" i="6"/>
  <c r="Z308" i="6"/>
  <c r="Z309" i="6"/>
  <c r="Z310" i="6"/>
  <c r="Z311" i="6"/>
  <c r="Z312" i="6"/>
  <c r="Z313" i="6"/>
  <c r="Z314" i="6"/>
  <c r="Z315" i="6"/>
  <c r="Z316" i="6"/>
  <c r="Z317" i="6"/>
  <c r="Z318" i="6"/>
  <c r="Z319" i="6"/>
  <c r="Z320" i="6"/>
  <c r="Z321" i="6"/>
  <c r="Z322" i="6"/>
  <c r="Z323" i="6"/>
  <c r="Z324" i="6"/>
  <c r="Z325" i="6"/>
  <c r="Z326" i="6"/>
  <c r="Z327" i="6"/>
  <c r="Z328" i="6"/>
  <c r="Z329" i="6"/>
  <c r="Z330" i="6"/>
  <c r="Z331" i="6"/>
  <c r="Z332" i="6"/>
  <c r="Z333" i="6"/>
  <c r="Z334" i="6"/>
  <c r="Z335" i="6"/>
  <c r="Z336" i="6"/>
  <c r="Z337" i="6"/>
  <c r="Z338" i="6"/>
  <c r="Z339" i="6"/>
  <c r="Z340"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U85" i="6" s="1"/>
  <c r="S86" i="6"/>
  <c r="S87" i="6"/>
  <c r="S88" i="6"/>
  <c r="S89" i="6"/>
  <c r="S90" i="6"/>
  <c r="S91" i="6"/>
  <c r="S92" i="6"/>
  <c r="S93" i="6"/>
  <c r="S94" i="6"/>
  <c r="S95" i="6"/>
  <c r="S96" i="6"/>
  <c r="S97" i="6"/>
  <c r="U97" i="6" s="1"/>
  <c r="S98" i="6"/>
  <c r="S99" i="6"/>
  <c r="S100" i="6"/>
  <c r="S101" i="6"/>
  <c r="S102" i="6"/>
  <c r="S103" i="6"/>
  <c r="S104" i="6"/>
  <c r="S105" i="6"/>
  <c r="S106" i="6"/>
  <c r="S107" i="6"/>
  <c r="S108" i="6"/>
  <c r="S109" i="6"/>
  <c r="U109" i="6" s="1"/>
  <c r="S110" i="6"/>
  <c r="S111" i="6"/>
  <c r="S112" i="6"/>
  <c r="S113" i="6"/>
  <c r="S114" i="6"/>
  <c r="S115" i="6"/>
  <c r="S116" i="6"/>
  <c r="S117" i="6"/>
  <c r="S118" i="6"/>
  <c r="S119" i="6"/>
  <c r="S120" i="6"/>
  <c r="S121" i="6"/>
  <c r="S122" i="6"/>
  <c r="S123" i="6"/>
  <c r="S124" i="6"/>
  <c r="S125" i="6"/>
  <c r="S126" i="6"/>
  <c r="S127" i="6"/>
  <c r="S128" i="6"/>
  <c r="S129" i="6"/>
  <c r="S130" i="6"/>
  <c r="S131" i="6"/>
  <c r="S132" i="6"/>
  <c r="U132" i="6" s="1"/>
  <c r="S133" i="6"/>
  <c r="S134" i="6"/>
  <c r="S135" i="6"/>
  <c r="S136" i="6"/>
  <c r="S137" i="6"/>
  <c r="S138" i="6"/>
  <c r="S139" i="6"/>
  <c r="S140" i="6"/>
  <c r="S141" i="6"/>
  <c r="S142" i="6"/>
  <c r="S143" i="6"/>
  <c r="S144" i="6"/>
  <c r="S145" i="6"/>
  <c r="U145" i="6" s="1"/>
  <c r="S146" i="6"/>
  <c r="S147" i="6"/>
  <c r="S148" i="6"/>
  <c r="S149" i="6"/>
  <c r="S150" i="6"/>
  <c r="S151" i="6"/>
  <c r="S152" i="6"/>
  <c r="S153" i="6"/>
  <c r="S154" i="6"/>
  <c r="S155" i="6"/>
  <c r="S156" i="6"/>
  <c r="U156" i="6" s="1"/>
  <c r="S157" i="6"/>
  <c r="S158" i="6"/>
  <c r="S159" i="6"/>
  <c r="S160" i="6"/>
  <c r="S161" i="6"/>
  <c r="S162" i="6"/>
  <c r="S163" i="6"/>
  <c r="S164" i="6"/>
  <c r="S165" i="6"/>
  <c r="S166" i="6"/>
  <c r="S167" i="6"/>
  <c r="S168" i="6"/>
  <c r="U168" i="6" s="1"/>
  <c r="S169" i="6"/>
  <c r="S170" i="6"/>
  <c r="S171" i="6"/>
  <c r="S172" i="6"/>
  <c r="S173" i="6"/>
  <c r="S174" i="6"/>
  <c r="S175" i="6"/>
  <c r="S176" i="6"/>
  <c r="S177" i="6"/>
  <c r="S178" i="6"/>
  <c r="S179" i="6"/>
  <c r="S180" i="6"/>
  <c r="U180" i="6" s="1"/>
  <c r="S181" i="6"/>
  <c r="U181" i="6" s="1"/>
  <c r="S182" i="6"/>
  <c r="S183" i="6"/>
  <c r="S184" i="6"/>
  <c r="S185" i="6"/>
  <c r="S186" i="6"/>
  <c r="S187" i="6"/>
  <c r="S188" i="6"/>
  <c r="S189" i="6"/>
  <c r="S190" i="6"/>
  <c r="S191" i="6"/>
  <c r="S192" i="6"/>
  <c r="U192" i="6" s="1"/>
  <c r="S193" i="6"/>
  <c r="S194" i="6"/>
  <c r="S195" i="6"/>
  <c r="S196" i="6"/>
  <c r="S197" i="6"/>
  <c r="S198" i="6"/>
  <c r="S199" i="6"/>
  <c r="S200" i="6"/>
  <c r="S201" i="6"/>
  <c r="S202" i="6"/>
  <c r="S203" i="6"/>
  <c r="S204" i="6"/>
  <c r="U204" i="6" s="1"/>
  <c r="S205" i="6"/>
  <c r="S206" i="6"/>
  <c r="S207" i="6"/>
  <c r="S208" i="6"/>
  <c r="S209" i="6"/>
  <c r="S210" i="6"/>
  <c r="S211" i="6"/>
  <c r="S212" i="6"/>
  <c r="S213" i="6"/>
  <c r="S214" i="6"/>
  <c r="S215" i="6"/>
  <c r="S216" i="6"/>
  <c r="U216" i="6" s="1"/>
  <c r="S217" i="6"/>
  <c r="U217" i="6" s="1"/>
  <c r="S218" i="6"/>
  <c r="S219" i="6"/>
  <c r="S220" i="6"/>
  <c r="S221" i="6"/>
  <c r="S222" i="6"/>
  <c r="S223" i="6"/>
  <c r="S224" i="6"/>
  <c r="S225" i="6"/>
  <c r="S226" i="6"/>
  <c r="S227" i="6"/>
  <c r="S228" i="6"/>
  <c r="U228" i="6" s="1"/>
  <c r="S229" i="6"/>
  <c r="S230" i="6"/>
  <c r="S231" i="6"/>
  <c r="S232" i="6"/>
  <c r="S233" i="6"/>
  <c r="S234" i="6"/>
  <c r="S235" i="6"/>
  <c r="S236" i="6"/>
  <c r="S237" i="6"/>
  <c r="S238" i="6"/>
  <c r="S239" i="6"/>
  <c r="S240" i="6"/>
  <c r="U240" i="6" s="1"/>
  <c r="S241" i="6"/>
  <c r="S242" i="6"/>
  <c r="S243" i="6"/>
  <c r="S244" i="6"/>
  <c r="S245" i="6"/>
  <c r="S246" i="6"/>
  <c r="S247" i="6"/>
  <c r="S248" i="6"/>
  <c r="S249" i="6"/>
  <c r="S250" i="6"/>
  <c r="S251" i="6"/>
  <c r="S252" i="6"/>
  <c r="U252" i="6" s="1"/>
  <c r="S253" i="6"/>
  <c r="U253" i="6" s="1"/>
  <c r="S254" i="6"/>
  <c r="S255" i="6"/>
  <c r="S256" i="6"/>
  <c r="S257" i="6"/>
  <c r="S258" i="6"/>
  <c r="S259" i="6"/>
  <c r="S260" i="6"/>
  <c r="S261" i="6"/>
  <c r="S262" i="6"/>
  <c r="S263" i="6"/>
  <c r="S264" i="6"/>
  <c r="U264" i="6" s="1"/>
  <c r="S265" i="6"/>
  <c r="S266" i="6"/>
  <c r="S267" i="6"/>
  <c r="S268" i="6"/>
  <c r="S269" i="6"/>
  <c r="S270" i="6"/>
  <c r="S271" i="6"/>
  <c r="S272" i="6"/>
  <c r="S273" i="6"/>
  <c r="S274" i="6"/>
  <c r="S275" i="6"/>
  <c r="S276" i="6"/>
  <c r="U276" i="6" s="1"/>
  <c r="S277" i="6"/>
  <c r="S278" i="6"/>
  <c r="S279" i="6"/>
  <c r="S280" i="6"/>
  <c r="S281" i="6"/>
  <c r="S282" i="6"/>
  <c r="S283" i="6"/>
  <c r="S284" i="6"/>
  <c r="S285" i="6"/>
  <c r="S286" i="6"/>
  <c r="S287" i="6"/>
  <c r="S288" i="6"/>
  <c r="U288" i="6" s="1"/>
  <c r="S289" i="6"/>
  <c r="U289" i="6" s="1"/>
  <c r="S290" i="6"/>
  <c r="S291" i="6"/>
  <c r="S292" i="6"/>
  <c r="S293" i="6"/>
  <c r="S294" i="6"/>
  <c r="S295" i="6"/>
  <c r="S296" i="6"/>
  <c r="S297" i="6"/>
  <c r="S298" i="6"/>
  <c r="S299" i="6"/>
  <c r="S300" i="6"/>
  <c r="U300" i="6" s="1"/>
  <c r="S301" i="6"/>
  <c r="S302" i="6"/>
  <c r="S303" i="6"/>
  <c r="S304" i="6"/>
  <c r="S305" i="6"/>
  <c r="S306" i="6"/>
  <c r="S307" i="6"/>
  <c r="S308" i="6"/>
  <c r="S309" i="6"/>
  <c r="S310" i="6"/>
  <c r="S311" i="6"/>
  <c r="S312" i="6"/>
  <c r="U312" i="6" s="1"/>
  <c r="S313" i="6"/>
  <c r="S314" i="6"/>
  <c r="S315" i="6"/>
  <c r="S316" i="6"/>
  <c r="S317" i="6"/>
  <c r="S318" i="6"/>
  <c r="S319" i="6"/>
  <c r="S320" i="6"/>
  <c r="S321" i="6"/>
  <c r="S322" i="6"/>
  <c r="S323" i="6"/>
  <c r="S324" i="6"/>
  <c r="U324" i="6" s="1"/>
  <c r="S325" i="6"/>
  <c r="U325" i="6" s="1"/>
  <c r="S326" i="6"/>
  <c r="S327" i="6"/>
  <c r="S328" i="6"/>
  <c r="S329" i="6"/>
  <c r="S330" i="6"/>
  <c r="S331" i="6"/>
  <c r="S332" i="6"/>
  <c r="S333" i="6"/>
  <c r="S334" i="6"/>
  <c r="S335" i="6"/>
  <c r="S336" i="6"/>
  <c r="U336" i="6" s="1"/>
  <c r="S337" i="6"/>
  <c r="S338" i="6"/>
  <c r="S339" i="6"/>
  <c r="S340" i="6"/>
  <c r="T2" i="6"/>
  <c r="U2" i="6" s="1"/>
  <c r="T3" i="6"/>
  <c r="U3" i="6" s="1"/>
  <c r="T4" i="6"/>
  <c r="U4" i="6" s="1"/>
  <c r="T5" i="6"/>
  <c r="T6" i="6"/>
  <c r="U6" i="6" s="1"/>
  <c r="T7" i="6"/>
  <c r="U7" i="6" s="1"/>
  <c r="T8" i="6"/>
  <c r="U8" i="6" s="1"/>
  <c r="T9" i="6"/>
  <c r="U9" i="6" s="1"/>
  <c r="T10" i="6"/>
  <c r="U10" i="6" s="1"/>
  <c r="T11" i="6"/>
  <c r="U11" i="6" s="1"/>
  <c r="T12" i="6"/>
  <c r="T13" i="6"/>
  <c r="T14" i="6"/>
  <c r="U14" i="6" s="1"/>
  <c r="T15" i="6"/>
  <c r="U15" i="6" s="1"/>
  <c r="T16" i="6"/>
  <c r="U16" i="6" s="1"/>
  <c r="T17" i="6"/>
  <c r="U17" i="6" s="1"/>
  <c r="T18" i="6"/>
  <c r="U18" i="6" s="1"/>
  <c r="T19" i="6"/>
  <c r="U19" i="6" s="1"/>
  <c r="T20" i="6"/>
  <c r="U20" i="6" s="1"/>
  <c r="T21" i="6"/>
  <c r="U21" i="6" s="1"/>
  <c r="T22" i="6"/>
  <c r="U22" i="6" s="1"/>
  <c r="T23" i="6"/>
  <c r="U23" i="6" s="1"/>
  <c r="T24" i="6"/>
  <c r="T25" i="6"/>
  <c r="U25" i="6" s="1"/>
  <c r="T26" i="6"/>
  <c r="U26" i="6" s="1"/>
  <c r="T27" i="6"/>
  <c r="U27" i="6" s="1"/>
  <c r="T28" i="6"/>
  <c r="U28" i="6" s="1"/>
  <c r="T29" i="6"/>
  <c r="U29" i="6" s="1"/>
  <c r="T30" i="6"/>
  <c r="T31" i="6"/>
  <c r="U31" i="6" s="1"/>
  <c r="T32" i="6"/>
  <c r="U32" i="6" s="1"/>
  <c r="T33" i="6"/>
  <c r="U33" i="6" s="1"/>
  <c r="T34" i="6"/>
  <c r="U34" i="6" s="1"/>
  <c r="T35" i="6"/>
  <c r="T36" i="6"/>
  <c r="U36" i="6" s="1"/>
  <c r="T37" i="6"/>
  <c r="U37" i="6" s="1"/>
  <c r="T38" i="6"/>
  <c r="U38" i="6" s="1"/>
  <c r="T39" i="6"/>
  <c r="U39" i="6" s="1"/>
  <c r="T40" i="6"/>
  <c r="U40" i="6" s="1"/>
  <c r="T41" i="6"/>
  <c r="U41" i="6" s="1"/>
  <c r="T42" i="6"/>
  <c r="T43" i="6"/>
  <c r="U43" i="6" s="1"/>
  <c r="T44" i="6"/>
  <c r="U44" i="6" s="1"/>
  <c r="T45" i="6"/>
  <c r="U45" i="6" s="1"/>
  <c r="T46" i="6"/>
  <c r="U46" i="6" s="1"/>
  <c r="T47" i="6"/>
  <c r="T48" i="6"/>
  <c r="T49" i="6"/>
  <c r="U49" i="6" s="1"/>
  <c r="T50" i="6"/>
  <c r="U50" i="6" s="1"/>
  <c r="T51" i="6"/>
  <c r="U51" i="6" s="1"/>
  <c r="T52" i="6"/>
  <c r="T53" i="6"/>
  <c r="T54" i="6"/>
  <c r="T55" i="6"/>
  <c r="U55" i="6" s="1"/>
  <c r="T56" i="6"/>
  <c r="U56" i="6" s="1"/>
  <c r="T57" i="6"/>
  <c r="U57" i="6" s="1"/>
  <c r="T58" i="6"/>
  <c r="U58" i="6" s="1"/>
  <c r="T59" i="6"/>
  <c r="T60" i="6"/>
  <c r="T61" i="6"/>
  <c r="U61" i="6" s="1"/>
  <c r="T62" i="6"/>
  <c r="U62" i="6" s="1"/>
  <c r="T63" i="6"/>
  <c r="U63" i="6" s="1"/>
  <c r="T64" i="6"/>
  <c r="U64" i="6" s="1"/>
  <c r="T65" i="6"/>
  <c r="T66" i="6"/>
  <c r="T67" i="6"/>
  <c r="U67" i="6" s="1"/>
  <c r="T68" i="6"/>
  <c r="U68" i="6" s="1"/>
  <c r="T69" i="6"/>
  <c r="U69" i="6" s="1"/>
  <c r="T70" i="6"/>
  <c r="U70" i="6" s="1"/>
  <c r="T71" i="6"/>
  <c r="T72" i="6"/>
  <c r="T73" i="6"/>
  <c r="T74" i="6"/>
  <c r="U74" i="6" s="1"/>
  <c r="T75" i="6"/>
  <c r="U75" i="6" s="1"/>
  <c r="T76" i="6"/>
  <c r="T77" i="6"/>
  <c r="T78" i="6"/>
  <c r="T79" i="6"/>
  <c r="U79" i="6" s="1"/>
  <c r="T80" i="6"/>
  <c r="U80" i="6" s="1"/>
  <c r="T81" i="6"/>
  <c r="U81" i="6" s="1"/>
  <c r="T82" i="6"/>
  <c r="U82" i="6" s="1"/>
  <c r="T83" i="6"/>
  <c r="T84" i="6"/>
  <c r="T85" i="6"/>
  <c r="T86" i="6"/>
  <c r="U86" i="6" s="1"/>
  <c r="T87" i="6"/>
  <c r="U87" i="6" s="1"/>
  <c r="T88" i="6"/>
  <c r="U88" i="6" s="1"/>
  <c r="T89" i="6"/>
  <c r="T90" i="6"/>
  <c r="T91" i="6"/>
  <c r="U91" i="6" s="1"/>
  <c r="T92" i="6"/>
  <c r="U92" i="6" s="1"/>
  <c r="T93" i="6"/>
  <c r="U93" i="6" s="1"/>
  <c r="T94" i="6"/>
  <c r="U94" i="6" s="1"/>
  <c r="T95" i="6"/>
  <c r="T96" i="6"/>
  <c r="T97" i="6"/>
  <c r="T98" i="6"/>
  <c r="U98" i="6" s="1"/>
  <c r="T99" i="6"/>
  <c r="U99" i="6" s="1"/>
  <c r="T100" i="6"/>
  <c r="U100" i="6" s="1"/>
  <c r="T101" i="6"/>
  <c r="T102" i="6"/>
  <c r="T103" i="6"/>
  <c r="U103" i="6" s="1"/>
  <c r="T104" i="6"/>
  <c r="U104" i="6" s="1"/>
  <c r="T105" i="6"/>
  <c r="T106" i="6"/>
  <c r="U106" i="6" s="1"/>
  <c r="T107" i="6"/>
  <c r="T108" i="6"/>
  <c r="U108" i="6" s="1"/>
  <c r="T109" i="6"/>
  <c r="T110" i="6"/>
  <c r="U110" i="6" s="1"/>
  <c r="T111" i="6"/>
  <c r="U111" i="6" s="1"/>
  <c r="T112" i="6"/>
  <c r="T113" i="6"/>
  <c r="T114" i="6"/>
  <c r="T115" i="6"/>
  <c r="U115" i="6" s="1"/>
  <c r="T116" i="6"/>
  <c r="U116" i="6" s="1"/>
  <c r="T117" i="6"/>
  <c r="U117" i="6" s="1"/>
  <c r="T118" i="6"/>
  <c r="U118" i="6" s="1"/>
  <c r="T119" i="6"/>
  <c r="T120" i="6"/>
  <c r="T121" i="6"/>
  <c r="T122" i="6"/>
  <c r="U122" i="6" s="1"/>
  <c r="T123" i="6"/>
  <c r="U123" i="6" s="1"/>
  <c r="T124" i="6"/>
  <c r="U124" i="6" s="1"/>
  <c r="T125" i="6"/>
  <c r="T126" i="6"/>
  <c r="T127" i="6"/>
  <c r="U127" i="6" s="1"/>
  <c r="T128" i="6"/>
  <c r="U128" i="6" s="1"/>
  <c r="T129" i="6"/>
  <c r="T130" i="6"/>
  <c r="U130" i="6" s="1"/>
  <c r="T131" i="6"/>
  <c r="T132" i="6"/>
  <c r="T133" i="6"/>
  <c r="T134" i="6"/>
  <c r="T135" i="6"/>
  <c r="U135" i="6" s="1"/>
  <c r="T136" i="6"/>
  <c r="U136" i="6" s="1"/>
  <c r="T137" i="6"/>
  <c r="T138" i="6"/>
  <c r="T139" i="6"/>
  <c r="T140" i="6"/>
  <c r="U140" i="6" s="1"/>
  <c r="T141" i="6"/>
  <c r="T142" i="6"/>
  <c r="T143" i="6"/>
  <c r="T144" i="6"/>
  <c r="T145" i="6"/>
  <c r="T146" i="6"/>
  <c r="T147" i="6"/>
  <c r="U147" i="6" s="1"/>
  <c r="T148" i="6"/>
  <c r="U148" i="6" s="1"/>
  <c r="T149" i="6"/>
  <c r="T150" i="6"/>
  <c r="T151" i="6"/>
  <c r="U151" i="6" s="1"/>
  <c r="T152" i="6"/>
  <c r="U152" i="6" s="1"/>
  <c r="T153" i="6"/>
  <c r="T154" i="6"/>
  <c r="T155" i="6"/>
  <c r="T156" i="6"/>
  <c r="T157" i="6"/>
  <c r="T158" i="6"/>
  <c r="T159" i="6"/>
  <c r="U159" i="6" s="1"/>
  <c r="T160" i="6"/>
  <c r="U160" i="6" s="1"/>
  <c r="T161" i="6"/>
  <c r="T162" i="6"/>
  <c r="T163" i="6"/>
  <c r="U163" i="6" s="1"/>
  <c r="T164" i="6"/>
  <c r="U164" i="6" s="1"/>
  <c r="T165" i="6"/>
  <c r="T166" i="6"/>
  <c r="T167" i="6"/>
  <c r="T168" i="6"/>
  <c r="T169" i="6"/>
  <c r="T170" i="6"/>
  <c r="T171" i="6"/>
  <c r="U171" i="6" s="1"/>
  <c r="T172" i="6"/>
  <c r="U172" i="6" s="1"/>
  <c r="T173" i="6"/>
  <c r="T174" i="6"/>
  <c r="T175" i="6"/>
  <c r="T176" i="6"/>
  <c r="U176" i="6" s="1"/>
  <c r="T177" i="6"/>
  <c r="T178" i="6"/>
  <c r="T179" i="6"/>
  <c r="T180" i="6"/>
  <c r="T181" i="6"/>
  <c r="T182" i="6"/>
  <c r="T183" i="6"/>
  <c r="T184" i="6"/>
  <c r="U184" i="6" s="1"/>
  <c r="T185" i="6"/>
  <c r="T186" i="6"/>
  <c r="T187" i="6"/>
  <c r="T188" i="6"/>
  <c r="T189" i="6"/>
  <c r="T190" i="6"/>
  <c r="T191" i="6"/>
  <c r="T192" i="6"/>
  <c r="T193" i="6"/>
  <c r="T194" i="6"/>
  <c r="T195" i="6"/>
  <c r="U195" i="6" s="1"/>
  <c r="T196" i="6"/>
  <c r="U196" i="6" s="1"/>
  <c r="T197" i="6"/>
  <c r="T198" i="6"/>
  <c r="T199" i="6"/>
  <c r="T200" i="6"/>
  <c r="T201" i="6"/>
  <c r="T202" i="6"/>
  <c r="U202" i="6" s="1"/>
  <c r="T203" i="6"/>
  <c r="T204" i="6"/>
  <c r="T205" i="6"/>
  <c r="T206" i="6"/>
  <c r="T207" i="6"/>
  <c r="U207" i="6" s="1"/>
  <c r="T208" i="6"/>
  <c r="U208" i="6" s="1"/>
  <c r="T209" i="6"/>
  <c r="T210" i="6"/>
  <c r="T211" i="6"/>
  <c r="T212" i="6"/>
  <c r="T213" i="6"/>
  <c r="T214" i="6"/>
  <c r="T215" i="6"/>
  <c r="T216" i="6"/>
  <c r="T217" i="6"/>
  <c r="T218" i="6"/>
  <c r="T219" i="6"/>
  <c r="U219" i="6" s="1"/>
  <c r="T220" i="6"/>
  <c r="T221" i="6"/>
  <c r="T222" i="6"/>
  <c r="T223" i="6"/>
  <c r="T224" i="6"/>
  <c r="T225" i="6"/>
  <c r="T226" i="6"/>
  <c r="T227" i="6"/>
  <c r="T228" i="6"/>
  <c r="T229" i="6"/>
  <c r="T230" i="6"/>
  <c r="T231" i="6"/>
  <c r="U231" i="6" s="1"/>
  <c r="T232" i="6"/>
  <c r="U232" i="6" s="1"/>
  <c r="T233" i="6"/>
  <c r="T234" i="6"/>
  <c r="T235" i="6"/>
  <c r="T236" i="6"/>
  <c r="T237" i="6"/>
  <c r="T238" i="6"/>
  <c r="T239" i="6"/>
  <c r="T240" i="6"/>
  <c r="T241" i="6"/>
  <c r="T242" i="6"/>
  <c r="T243" i="6"/>
  <c r="U243" i="6" s="1"/>
  <c r="T244" i="6"/>
  <c r="T245" i="6"/>
  <c r="T246" i="6"/>
  <c r="T247" i="6"/>
  <c r="T248" i="6"/>
  <c r="T249" i="6"/>
  <c r="T250" i="6"/>
  <c r="T251" i="6"/>
  <c r="T252" i="6"/>
  <c r="T253" i="6"/>
  <c r="T254" i="6"/>
  <c r="T255" i="6"/>
  <c r="U255" i="6" s="1"/>
  <c r="T256" i="6"/>
  <c r="T257" i="6"/>
  <c r="T258" i="6"/>
  <c r="T259" i="6"/>
  <c r="T260" i="6"/>
  <c r="T261" i="6"/>
  <c r="T262" i="6"/>
  <c r="T263" i="6"/>
  <c r="T264" i="6"/>
  <c r="T265" i="6"/>
  <c r="T266" i="6"/>
  <c r="T267" i="6"/>
  <c r="U267" i="6" s="1"/>
  <c r="T268" i="6"/>
  <c r="U268" i="6" s="1"/>
  <c r="T269" i="6"/>
  <c r="U269" i="6" s="1"/>
  <c r="T270" i="6"/>
  <c r="T271" i="6"/>
  <c r="T272" i="6"/>
  <c r="T273" i="6"/>
  <c r="T274" i="6"/>
  <c r="T275" i="6"/>
  <c r="T276" i="6"/>
  <c r="T277" i="6"/>
  <c r="T278" i="6"/>
  <c r="T279" i="6"/>
  <c r="T280" i="6"/>
  <c r="T281" i="6"/>
  <c r="T282" i="6"/>
  <c r="T283" i="6"/>
  <c r="T284" i="6"/>
  <c r="T285" i="6"/>
  <c r="T286" i="6"/>
  <c r="T287" i="6"/>
  <c r="T288" i="6"/>
  <c r="T289" i="6"/>
  <c r="T290" i="6"/>
  <c r="T291" i="6"/>
  <c r="U291" i="6" s="1"/>
  <c r="T292" i="6"/>
  <c r="T293" i="6"/>
  <c r="T294" i="6"/>
  <c r="T295" i="6"/>
  <c r="T296" i="6"/>
  <c r="T297" i="6"/>
  <c r="T298" i="6"/>
  <c r="T299" i="6"/>
  <c r="T300" i="6"/>
  <c r="T301" i="6"/>
  <c r="T302" i="6"/>
  <c r="T303" i="6"/>
  <c r="U303" i="6" s="1"/>
  <c r="T304" i="6"/>
  <c r="U304" i="6" s="1"/>
  <c r="T305" i="6"/>
  <c r="T306" i="6"/>
  <c r="T307" i="6"/>
  <c r="T308" i="6"/>
  <c r="T309" i="6"/>
  <c r="T310" i="6"/>
  <c r="T311" i="6"/>
  <c r="T312" i="6"/>
  <c r="T313" i="6"/>
  <c r="T314" i="6"/>
  <c r="T315" i="6"/>
  <c r="U315" i="6" s="1"/>
  <c r="T316" i="6"/>
  <c r="T317" i="6"/>
  <c r="T318" i="6"/>
  <c r="T319" i="6"/>
  <c r="T320" i="6"/>
  <c r="T321" i="6"/>
  <c r="T322" i="6"/>
  <c r="T323" i="6"/>
  <c r="T324" i="6"/>
  <c r="T325" i="6"/>
  <c r="T326" i="6"/>
  <c r="T327" i="6"/>
  <c r="U327" i="6" s="1"/>
  <c r="T328" i="6"/>
  <c r="T329" i="6"/>
  <c r="T330" i="6"/>
  <c r="T331" i="6"/>
  <c r="T332" i="6"/>
  <c r="T333" i="6"/>
  <c r="T334" i="6"/>
  <c r="T335" i="6"/>
  <c r="T336" i="6"/>
  <c r="T337" i="6"/>
  <c r="T338" i="6"/>
  <c r="T339" i="6"/>
  <c r="U339" i="6" s="1"/>
  <c r="T340" i="6"/>
  <c r="U340" i="6" s="1"/>
  <c r="U5" i="6"/>
  <c r="U12" i="6"/>
  <c r="U13" i="6"/>
  <c r="U24" i="6"/>
  <c r="U48" i="6"/>
  <c r="U60" i="6"/>
  <c r="U72" i="6"/>
  <c r="U84" i="6"/>
  <c r="U96" i="6"/>
  <c r="U120" i="6"/>
  <c r="V2" i="6"/>
  <c r="W2" i="6" s="1"/>
  <c r="V3" i="6"/>
  <c r="W3" i="6" s="1"/>
  <c r="V4" i="6"/>
  <c r="V5" i="6"/>
  <c r="V6" i="6"/>
  <c r="V7" i="6"/>
  <c r="W7" i="6" s="1"/>
  <c r="V8" i="6"/>
  <c r="W8" i="6" s="1"/>
  <c r="V9" i="6"/>
  <c r="W9" i="6" s="1"/>
  <c r="V10" i="6"/>
  <c r="W10" i="6" s="1"/>
  <c r="V11" i="6"/>
  <c r="W11" i="6" s="1"/>
  <c r="V12" i="6"/>
  <c r="W12" i="6" s="1"/>
  <c r="V13" i="6"/>
  <c r="W13" i="6" s="1"/>
  <c r="V14" i="6"/>
  <c r="W14" i="6" s="1"/>
  <c r="V15" i="6"/>
  <c r="W15" i="6" s="1"/>
  <c r="V16" i="6"/>
  <c r="W16" i="6" s="1"/>
  <c r="V17" i="6"/>
  <c r="W17" i="6" s="1"/>
  <c r="V18" i="6"/>
  <c r="V19" i="6"/>
  <c r="W19" i="6" s="1"/>
  <c r="V20" i="6"/>
  <c r="W20" i="6" s="1"/>
  <c r="V21" i="6"/>
  <c r="W21" i="6" s="1"/>
  <c r="V22" i="6"/>
  <c r="W22" i="6" s="1"/>
  <c r="V23" i="6"/>
  <c r="W23" i="6" s="1"/>
  <c r="V24" i="6"/>
  <c r="W24" i="6" s="1"/>
  <c r="V25" i="6"/>
  <c r="W25" i="6" s="1"/>
  <c r="V26" i="6"/>
  <c r="W26" i="6" s="1"/>
  <c r="V27" i="6"/>
  <c r="W27" i="6" s="1"/>
  <c r="V28" i="6"/>
  <c r="W28" i="6" s="1"/>
  <c r="V29" i="6"/>
  <c r="W29" i="6" s="1"/>
  <c r="V30" i="6"/>
  <c r="W30" i="6" s="1"/>
  <c r="V31" i="6"/>
  <c r="W31" i="6" s="1"/>
  <c r="V32" i="6"/>
  <c r="W32" i="6" s="1"/>
  <c r="V33" i="6"/>
  <c r="W33" i="6" s="1"/>
  <c r="V34" i="6"/>
  <c r="W34" i="6" s="1"/>
  <c r="V35" i="6"/>
  <c r="W35" i="6" s="1"/>
  <c r="V36" i="6"/>
  <c r="W36" i="6" s="1"/>
  <c r="V37" i="6"/>
  <c r="W37" i="6" s="1"/>
  <c r="V38" i="6"/>
  <c r="W38" i="6" s="1"/>
  <c r="V39" i="6"/>
  <c r="V40" i="6"/>
  <c r="W40" i="6" s="1"/>
  <c r="V41" i="6"/>
  <c r="W41" i="6" s="1"/>
  <c r="V42" i="6"/>
  <c r="W42" i="6" s="1"/>
  <c r="V43" i="6"/>
  <c r="W43" i="6" s="1"/>
  <c r="V44" i="6"/>
  <c r="W44" i="6" s="1"/>
  <c r="V45" i="6"/>
  <c r="W45" i="6" s="1"/>
  <c r="V46" i="6"/>
  <c r="W46" i="6" s="1"/>
  <c r="V47" i="6"/>
  <c r="W47" i="6" s="1"/>
  <c r="V48" i="6"/>
  <c r="W48" i="6" s="1"/>
  <c r="V49" i="6"/>
  <c r="W49" i="6" s="1"/>
  <c r="V50" i="6"/>
  <c r="W50" i="6" s="1"/>
  <c r="V51" i="6"/>
  <c r="W51" i="6" s="1"/>
  <c r="V52" i="6"/>
  <c r="W52" i="6" s="1"/>
  <c r="V53" i="6"/>
  <c r="W53" i="6" s="1"/>
  <c r="V54" i="6"/>
  <c r="W54" i="6" s="1"/>
  <c r="V55" i="6"/>
  <c r="W55" i="6" s="1"/>
  <c r="V56" i="6"/>
  <c r="W56" i="6" s="1"/>
  <c r="V57" i="6"/>
  <c r="W57" i="6" s="1"/>
  <c r="V58" i="6"/>
  <c r="W58" i="6" s="1"/>
  <c r="V59" i="6"/>
  <c r="W59" i="6" s="1"/>
  <c r="V60" i="6"/>
  <c r="W60" i="6" s="1"/>
  <c r="V61" i="6"/>
  <c r="W61" i="6" s="1"/>
  <c r="V62" i="6"/>
  <c r="W62" i="6" s="1"/>
  <c r="V63" i="6"/>
  <c r="W63" i="6" s="1"/>
  <c r="V64" i="6"/>
  <c r="V65" i="6"/>
  <c r="W65" i="6" s="1"/>
  <c r="V66" i="6"/>
  <c r="W66" i="6" s="1"/>
  <c r="V67" i="6"/>
  <c r="W67" i="6" s="1"/>
  <c r="V68" i="6"/>
  <c r="W68" i="6" s="1"/>
  <c r="V69" i="6"/>
  <c r="W69" i="6" s="1"/>
  <c r="V70" i="6"/>
  <c r="W70" i="6" s="1"/>
  <c r="V71" i="6"/>
  <c r="W71" i="6" s="1"/>
  <c r="V72" i="6"/>
  <c r="W72" i="6" s="1"/>
  <c r="V73" i="6"/>
  <c r="W73" i="6" s="1"/>
  <c r="V74" i="6"/>
  <c r="W74" i="6" s="1"/>
  <c r="V75" i="6"/>
  <c r="W75" i="6" s="1"/>
  <c r="V76" i="6"/>
  <c r="V77" i="6"/>
  <c r="W77" i="6" s="1"/>
  <c r="V78" i="6"/>
  <c r="W78" i="6" s="1"/>
  <c r="V79" i="6"/>
  <c r="W79" i="6" s="1"/>
  <c r="V80" i="6"/>
  <c r="W80" i="6" s="1"/>
  <c r="V81" i="6"/>
  <c r="V82" i="6"/>
  <c r="W82" i="6" s="1"/>
  <c r="V83" i="6"/>
  <c r="W83" i="6" s="1"/>
  <c r="V84" i="6"/>
  <c r="W84" i="6" s="1"/>
  <c r="V85" i="6"/>
  <c r="W85" i="6" s="1"/>
  <c r="V86" i="6"/>
  <c r="W86" i="6" s="1"/>
  <c r="V87" i="6"/>
  <c r="W87" i="6" s="1"/>
  <c r="V88" i="6"/>
  <c r="W88" i="6" s="1"/>
  <c r="V89" i="6"/>
  <c r="W89" i="6" s="1"/>
  <c r="V90" i="6"/>
  <c r="W90" i="6" s="1"/>
  <c r="V91" i="6"/>
  <c r="W91" i="6" s="1"/>
  <c r="V92" i="6"/>
  <c r="W92" i="6" s="1"/>
  <c r="V93" i="6"/>
  <c r="W93" i="6" s="1"/>
  <c r="V94" i="6"/>
  <c r="W94" i="6" s="1"/>
  <c r="V95" i="6"/>
  <c r="W95" i="6" s="1"/>
  <c r="V96" i="6"/>
  <c r="W96" i="6" s="1"/>
  <c r="V97" i="6"/>
  <c r="W97" i="6" s="1"/>
  <c r="V98" i="6"/>
  <c r="W98" i="6" s="1"/>
  <c r="V99" i="6"/>
  <c r="W99" i="6" s="1"/>
  <c r="V100" i="6"/>
  <c r="W100" i="6" s="1"/>
  <c r="V101" i="6"/>
  <c r="W101" i="6" s="1"/>
  <c r="V102" i="6"/>
  <c r="W102" i="6" s="1"/>
  <c r="V103" i="6"/>
  <c r="W103" i="6" s="1"/>
  <c r="V104" i="6"/>
  <c r="W104" i="6" s="1"/>
  <c r="V105" i="6"/>
  <c r="W105" i="6" s="1"/>
  <c r="V106" i="6"/>
  <c r="V107" i="6"/>
  <c r="W107" i="6" s="1"/>
  <c r="V108" i="6"/>
  <c r="W108" i="6" s="1"/>
  <c r="V109" i="6"/>
  <c r="W109" i="6" s="1"/>
  <c r="V110" i="6"/>
  <c r="W110" i="6" s="1"/>
  <c r="V111" i="6"/>
  <c r="V112" i="6"/>
  <c r="V113" i="6"/>
  <c r="W113" i="6" s="1"/>
  <c r="V114" i="6"/>
  <c r="W114" i="6" s="1"/>
  <c r="V115" i="6"/>
  <c r="W115" i="6" s="1"/>
  <c r="V116" i="6"/>
  <c r="W116" i="6" s="1"/>
  <c r="V117" i="6"/>
  <c r="W117" i="6" s="1"/>
  <c r="V118" i="6"/>
  <c r="W118" i="6" s="1"/>
  <c r="V119" i="6"/>
  <c r="W119" i="6" s="1"/>
  <c r="V120" i="6"/>
  <c r="W120" i="6" s="1"/>
  <c r="V121" i="6"/>
  <c r="W121" i="6" s="1"/>
  <c r="V122" i="6"/>
  <c r="W122" i="6" s="1"/>
  <c r="V123" i="6"/>
  <c r="W123" i="6" s="1"/>
  <c r="V124" i="6"/>
  <c r="W124" i="6" s="1"/>
  <c r="V125" i="6"/>
  <c r="W125" i="6" s="1"/>
  <c r="V126" i="6"/>
  <c r="W126" i="6" s="1"/>
  <c r="V127" i="6"/>
  <c r="W127" i="6" s="1"/>
  <c r="V128" i="6"/>
  <c r="W128" i="6" s="1"/>
  <c r="V129" i="6"/>
  <c r="W129" i="6" s="1"/>
  <c r="V130" i="6"/>
  <c r="W130" i="6" s="1"/>
  <c r="V131" i="6"/>
  <c r="W131" i="6" s="1"/>
  <c r="V132" i="6"/>
  <c r="W132" i="6" s="1"/>
  <c r="V133" i="6"/>
  <c r="W133" i="6" s="1"/>
  <c r="V134" i="6"/>
  <c r="W134" i="6" s="1"/>
  <c r="V135" i="6"/>
  <c r="V136" i="6"/>
  <c r="V137" i="6"/>
  <c r="W137" i="6" s="1"/>
  <c r="V138" i="6"/>
  <c r="W138" i="6" s="1"/>
  <c r="V139" i="6"/>
  <c r="W139" i="6" s="1"/>
  <c r="V140" i="6"/>
  <c r="W140" i="6" s="1"/>
  <c r="V141" i="6"/>
  <c r="W141" i="6" s="1"/>
  <c r="V142" i="6"/>
  <c r="W142" i="6" s="1"/>
  <c r="V143" i="6"/>
  <c r="W143" i="6" s="1"/>
  <c r="V144" i="6"/>
  <c r="W144" i="6" s="1"/>
  <c r="V145" i="6"/>
  <c r="W145" i="6" s="1"/>
  <c r="V146" i="6"/>
  <c r="W146" i="6" s="1"/>
  <c r="V147" i="6"/>
  <c r="V148" i="6"/>
  <c r="W148" i="6" s="1"/>
  <c r="V149" i="6"/>
  <c r="W149" i="6" s="1"/>
  <c r="V150" i="6"/>
  <c r="W150" i="6" s="1"/>
  <c r="V151" i="6"/>
  <c r="W151" i="6" s="1"/>
  <c r="V152" i="6"/>
  <c r="W152" i="6" s="1"/>
  <c r="V153" i="6"/>
  <c r="W153" i="6" s="1"/>
  <c r="V154" i="6"/>
  <c r="W154" i="6" s="1"/>
  <c r="V155" i="6"/>
  <c r="W155" i="6" s="1"/>
  <c r="V156" i="6"/>
  <c r="W156" i="6" s="1"/>
  <c r="V157" i="6"/>
  <c r="W157" i="6" s="1"/>
  <c r="V158" i="6"/>
  <c r="W158" i="6" s="1"/>
  <c r="V159" i="6"/>
  <c r="W159" i="6" s="1"/>
  <c r="V160" i="6"/>
  <c r="W160" i="6" s="1"/>
  <c r="V161" i="6"/>
  <c r="W161" i="6" s="1"/>
  <c r="V162" i="6"/>
  <c r="W162" i="6" s="1"/>
  <c r="V163" i="6"/>
  <c r="W163" i="6" s="1"/>
  <c r="V164" i="6"/>
  <c r="W164" i="6" s="1"/>
  <c r="V165" i="6"/>
  <c r="W165" i="6" s="1"/>
  <c r="V166" i="6"/>
  <c r="W166" i="6" s="1"/>
  <c r="V167" i="6"/>
  <c r="W167" i="6" s="1"/>
  <c r="V168" i="6"/>
  <c r="W168" i="6" s="1"/>
  <c r="V169" i="6"/>
  <c r="W169" i="6" s="1"/>
  <c r="V170" i="6"/>
  <c r="W170" i="6" s="1"/>
  <c r="V171" i="6"/>
  <c r="W171" i="6" s="1"/>
  <c r="V172" i="6"/>
  <c r="W172" i="6" s="1"/>
  <c r="V173" i="6"/>
  <c r="W173" i="6" s="1"/>
  <c r="V174" i="6"/>
  <c r="W174" i="6" s="1"/>
  <c r="V175" i="6"/>
  <c r="W175" i="6" s="1"/>
  <c r="V176" i="6"/>
  <c r="W176" i="6" s="1"/>
  <c r="V177" i="6"/>
  <c r="W177" i="6" s="1"/>
  <c r="V178" i="6"/>
  <c r="W178" i="6" s="1"/>
  <c r="V179" i="6"/>
  <c r="W179" i="6" s="1"/>
  <c r="V180" i="6"/>
  <c r="W180" i="6" s="1"/>
  <c r="V181" i="6"/>
  <c r="W181" i="6" s="1"/>
  <c r="V182" i="6"/>
  <c r="W182" i="6" s="1"/>
  <c r="V183" i="6"/>
  <c r="W183" i="6" s="1"/>
  <c r="V184" i="6"/>
  <c r="W184" i="6" s="1"/>
  <c r="V185" i="6"/>
  <c r="W185" i="6" s="1"/>
  <c r="V186" i="6"/>
  <c r="W186" i="6" s="1"/>
  <c r="V187" i="6"/>
  <c r="W187" i="6" s="1"/>
  <c r="V188" i="6"/>
  <c r="W188" i="6" s="1"/>
  <c r="V189" i="6"/>
  <c r="W189" i="6" s="1"/>
  <c r="V190" i="6"/>
  <c r="W190" i="6" s="1"/>
  <c r="V191" i="6"/>
  <c r="W191" i="6" s="1"/>
  <c r="V192" i="6"/>
  <c r="W192" i="6" s="1"/>
  <c r="V193" i="6"/>
  <c r="W193" i="6" s="1"/>
  <c r="V194" i="6"/>
  <c r="W194" i="6" s="1"/>
  <c r="V195" i="6"/>
  <c r="W195" i="6" s="1"/>
  <c r="V196" i="6"/>
  <c r="W196" i="6" s="1"/>
  <c r="V197" i="6"/>
  <c r="W197" i="6" s="1"/>
  <c r="V198" i="6"/>
  <c r="W198" i="6" s="1"/>
  <c r="V199" i="6"/>
  <c r="W199" i="6" s="1"/>
  <c r="V200" i="6"/>
  <c r="W200" i="6" s="1"/>
  <c r="V201" i="6"/>
  <c r="W201" i="6" s="1"/>
  <c r="V202" i="6"/>
  <c r="W202" i="6" s="1"/>
  <c r="V203" i="6"/>
  <c r="W203" i="6" s="1"/>
  <c r="V204" i="6"/>
  <c r="W204" i="6" s="1"/>
  <c r="V205" i="6"/>
  <c r="W205" i="6" s="1"/>
  <c r="V206" i="6"/>
  <c r="W206" i="6" s="1"/>
  <c r="V207" i="6"/>
  <c r="W207" i="6" s="1"/>
  <c r="V208" i="6"/>
  <c r="W208" i="6" s="1"/>
  <c r="V209" i="6"/>
  <c r="W209" i="6" s="1"/>
  <c r="V210" i="6"/>
  <c r="W210" i="6" s="1"/>
  <c r="V211" i="6"/>
  <c r="W211" i="6" s="1"/>
  <c r="V212" i="6"/>
  <c r="W212" i="6" s="1"/>
  <c r="V213" i="6"/>
  <c r="W213" i="6" s="1"/>
  <c r="V214" i="6"/>
  <c r="W214" i="6" s="1"/>
  <c r="V215" i="6"/>
  <c r="W215" i="6" s="1"/>
  <c r="V216" i="6"/>
  <c r="W216" i="6" s="1"/>
  <c r="V217" i="6"/>
  <c r="W217" i="6" s="1"/>
  <c r="V218" i="6"/>
  <c r="W218" i="6" s="1"/>
  <c r="V219" i="6"/>
  <c r="W219" i="6" s="1"/>
  <c r="V220" i="6"/>
  <c r="W220" i="6" s="1"/>
  <c r="V221" i="6"/>
  <c r="W221" i="6" s="1"/>
  <c r="V222" i="6"/>
  <c r="W222" i="6" s="1"/>
  <c r="V223" i="6"/>
  <c r="W223" i="6" s="1"/>
  <c r="V224" i="6"/>
  <c r="W224" i="6" s="1"/>
  <c r="V225" i="6"/>
  <c r="W225" i="6" s="1"/>
  <c r="V226" i="6"/>
  <c r="W226" i="6" s="1"/>
  <c r="V227" i="6"/>
  <c r="W227" i="6" s="1"/>
  <c r="V228" i="6"/>
  <c r="W228" i="6" s="1"/>
  <c r="V229" i="6"/>
  <c r="W229" i="6" s="1"/>
  <c r="V230" i="6"/>
  <c r="W230" i="6" s="1"/>
  <c r="V231" i="6"/>
  <c r="V232" i="6"/>
  <c r="W232" i="6" s="1"/>
  <c r="V233" i="6"/>
  <c r="W233" i="6" s="1"/>
  <c r="V234" i="6"/>
  <c r="W234" i="6" s="1"/>
  <c r="V235" i="6"/>
  <c r="W235" i="6" s="1"/>
  <c r="V236" i="6"/>
  <c r="W236" i="6" s="1"/>
  <c r="V237" i="6"/>
  <c r="W237" i="6" s="1"/>
  <c r="V238" i="6"/>
  <c r="W238" i="6" s="1"/>
  <c r="V239" i="6"/>
  <c r="W239" i="6" s="1"/>
  <c r="V240" i="6"/>
  <c r="W240" i="6" s="1"/>
  <c r="V241" i="6"/>
  <c r="W241" i="6" s="1"/>
  <c r="V242" i="6"/>
  <c r="W242" i="6" s="1"/>
  <c r="V243" i="6"/>
  <c r="W243" i="6" s="1"/>
  <c r="V244" i="6"/>
  <c r="W244" i="6" s="1"/>
  <c r="V245" i="6"/>
  <c r="W245" i="6" s="1"/>
  <c r="V246" i="6"/>
  <c r="W246" i="6" s="1"/>
  <c r="V247" i="6"/>
  <c r="W247" i="6" s="1"/>
  <c r="V248" i="6"/>
  <c r="W248" i="6" s="1"/>
  <c r="V249" i="6"/>
  <c r="W249" i="6" s="1"/>
  <c r="V250" i="6"/>
  <c r="W250" i="6" s="1"/>
  <c r="V251" i="6"/>
  <c r="W251" i="6" s="1"/>
  <c r="V252" i="6"/>
  <c r="W252" i="6" s="1"/>
  <c r="V253" i="6"/>
  <c r="W253" i="6" s="1"/>
  <c r="V254" i="6"/>
  <c r="W254" i="6" s="1"/>
  <c r="V255" i="6"/>
  <c r="V256" i="6"/>
  <c r="V257" i="6"/>
  <c r="W257" i="6" s="1"/>
  <c r="V258" i="6"/>
  <c r="W258" i="6" s="1"/>
  <c r="V259" i="6"/>
  <c r="W259" i="6" s="1"/>
  <c r="V260" i="6"/>
  <c r="W260" i="6" s="1"/>
  <c r="V261" i="6"/>
  <c r="W261" i="6" s="1"/>
  <c r="V262" i="6"/>
  <c r="W262" i="6" s="1"/>
  <c r="V263" i="6"/>
  <c r="W263" i="6" s="1"/>
  <c r="V264" i="6"/>
  <c r="W264" i="6" s="1"/>
  <c r="V265" i="6"/>
  <c r="W265" i="6" s="1"/>
  <c r="V266" i="6"/>
  <c r="W266" i="6" s="1"/>
  <c r="V267" i="6"/>
  <c r="W267" i="6" s="1"/>
  <c r="V268" i="6"/>
  <c r="V269" i="6"/>
  <c r="W269" i="6" s="1"/>
  <c r="V270" i="6"/>
  <c r="W270" i="6" s="1"/>
  <c r="V271" i="6"/>
  <c r="W271" i="6" s="1"/>
  <c r="V272" i="6"/>
  <c r="W272" i="6" s="1"/>
  <c r="V273" i="6"/>
  <c r="W273" i="6" s="1"/>
  <c r="V274" i="6"/>
  <c r="W274" i="6" s="1"/>
  <c r="V275" i="6"/>
  <c r="W275" i="6" s="1"/>
  <c r="V276" i="6"/>
  <c r="W276" i="6" s="1"/>
  <c r="V277" i="6"/>
  <c r="W277" i="6" s="1"/>
  <c r="V278" i="6"/>
  <c r="W278" i="6" s="1"/>
  <c r="V279" i="6"/>
  <c r="W279" i="6" s="1"/>
  <c r="V280" i="6"/>
  <c r="W280" i="6" s="1"/>
  <c r="V281" i="6"/>
  <c r="W281" i="6" s="1"/>
  <c r="V282" i="6"/>
  <c r="W282" i="6" s="1"/>
  <c r="V283" i="6"/>
  <c r="W283" i="6" s="1"/>
  <c r="V284" i="6"/>
  <c r="W284" i="6" s="1"/>
  <c r="V285" i="6"/>
  <c r="W285" i="6" s="1"/>
  <c r="V286" i="6"/>
  <c r="W286" i="6" s="1"/>
  <c r="V287" i="6"/>
  <c r="W287" i="6" s="1"/>
  <c r="V288" i="6"/>
  <c r="W288" i="6" s="1"/>
  <c r="V289" i="6"/>
  <c r="W289" i="6" s="1"/>
  <c r="V290" i="6"/>
  <c r="W290" i="6" s="1"/>
  <c r="V291" i="6"/>
  <c r="V292" i="6"/>
  <c r="V293" i="6"/>
  <c r="W293" i="6" s="1"/>
  <c r="V294" i="6"/>
  <c r="W294" i="6" s="1"/>
  <c r="V295" i="6"/>
  <c r="W295" i="6" s="1"/>
  <c r="V296" i="6"/>
  <c r="W296" i="6" s="1"/>
  <c r="V297" i="6"/>
  <c r="W297" i="6" s="1"/>
  <c r="V298" i="6"/>
  <c r="W298" i="6" s="1"/>
  <c r="V299" i="6"/>
  <c r="W299" i="6" s="1"/>
  <c r="V300" i="6"/>
  <c r="W300" i="6" s="1"/>
  <c r="V301" i="6"/>
  <c r="W301" i="6" s="1"/>
  <c r="V302" i="6"/>
  <c r="W302" i="6" s="1"/>
  <c r="V303" i="6"/>
  <c r="W303" i="6" s="1"/>
  <c r="V304" i="6"/>
  <c r="W304" i="6" s="1"/>
  <c r="V305" i="6"/>
  <c r="W305" i="6" s="1"/>
  <c r="V306" i="6"/>
  <c r="W306" i="6" s="1"/>
  <c r="V307" i="6"/>
  <c r="W307" i="6" s="1"/>
  <c r="V308" i="6"/>
  <c r="W308" i="6" s="1"/>
  <c r="V309" i="6"/>
  <c r="W309" i="6" s="1"/>
  <c r="V310" i="6"/>
  <c r="W310" i="6" s="1"/>
  <c r="V311" i="6"/>
  <c r="W311" i="6" s="1"/>
  <c r="V312" i="6"/>
  <c r="W312" i="6" s="1"/>
  <c r="V313" i="6"/>
  <c r="W313" i="6" s="1"/>
  <c r="V314" i="6"/>
  <c r="W314" i="6" s="1"/>
  <c r="V315" i="6"/>
  <c r="W315" i="6" s="1"/>
  <c r="V316" i="6"/>
  <c r="W316" i="6" s="1"/>
  <c r="V317" i="6"/>
  <c r="W317" i="6" s="1"/>
  <c r="V318" i="6"/>
  <c r="W318" i="6" s="1"/>
  <c r="V319" i="6"/>
  <c r="W319" i="6" s="1"/>
  <c r="V320" i="6"/>
  <c r="W320" i="6" s="1"/>
  <c r="V321" i="6"/>
  <c r="W321" i="6" s="1"/>
  <c r="V322" i="6"/>
  <c r="W322" i="6" s="1"/>
  <c r="V323" i="6"/>
  <c r="W323" i="6" s="1"/>
  <c r="V324" i="6"/>
  <c r="W324" i="6" s="1"/>
  <c r="V325" i="6"/>
  <c r="W325" i="6" s="1"/>
  <c r="V326" i="6"/>
  <c r="W326" i="6" s="1"/>
  <c r="V327" i="6"/>
  <c r="W327" i="6" s="1"/>
  <c r="V328" i="6"/>
  <c r="W328" i="6" s="1"/>
  <c r="V329" i="6"/>
  <c r="W329" i="6" s="1"/>
  <c r="V330" i="6"/>
  <c r="W330" i="6" s="1"/>
  <c r="V331" i="6"/>
  <c r="W331" i="6" s="1"/>
  <c r="V332" i="6"/>
  <c r="W332" i="6" s="1"/>
  <c r="V333" i="6"/>
  <c r="W333" i="6" s="1"/>
  <c r="V334" i="6"/>
  <c r="W334" i="6" s="1"/>
  <c r="V335" i="6"/>
  <c r="W335" i="6" s="1"/>
  <c r="V336" i="6"/>
  <c r="W336" i="6" s="1"/>
  <c r="V337" i="6"/>
  <c r="W337" i="6" s="1"/>
  <c r="V338" i="6"/>
  <c r="W338" i="6" s="1"/>
  <c r="V339" i="6"/>
  <c r="V340" i="6"/>
  <c r="W4" i="6"/>
  <c r="W64" i="6"/>
  <c r="W76" i="6"/>
  <c r="W147" i="6"/>
  <c r="X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Y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N2" i="1"/>
  <c r="P2" i="1" s="1"/>
  <c r="N3" i="1"/>
  <c r="P3" i="1" s="1"/>
  <c r="N4" i="1"/>
  <c r="P4" i="1" s="1"/>
  <c r="N5" i="1"/>
  <c r="P5" i="1" s="1"/>
  <c r="N6" i="1"/>
  <c r="P6" i="1" s="1"/>
  <c r="N7" i="1"/>
  <c r="P7" i="1" s="1"/>
  <c r="N8" i="1"/>
  <c r="P8" i="1" s="1"/>
  <c r="N9" i="1"/>
  <c r="P9" i="1" s="1"/>
  <c r="N10" i="1"/>
  <c r="P10" i="1" s="1"/>
  <c r="N11" i="1"/>
  <c r="P11" i="1" s="1"/>
  <c r="N12" i="1"/>
  <c r="P12" i="1" s="1"/>
  <c r="N13" i="1"/>
  <c r="P13" i="1" s="1"/>
  <c r="N14" i="1"/>
  <c r="P14" i="1" s="1"/>
  <c r="N15" i="1"/>
  <c r="P15" i="1" s="1"/>
  <c r="N16" i="1"/>
  <c r="P16" i="1" s="1"/>
  <c r="N17" i="1"/>
  <c r="P17" i="1" s="1"/>
  <c r="N18" i="1"/>
  <c r="P18" i="1" s="1"/>
  <c r="N19" i="1"/>
  <c r="P19" i="1" s="1"/>
  <c r="N20" i="1"/>
  <c r="P20" i="1" s="1"/>
  <c r="N21" i="1"/>
  <c r="P21" i="1" s="1"/>
  <c r="N22" i="1"/>
  <c r="P22" i="1" s="1"/>
  <c r="N23" i="1"/>
  <c r="P23" i="1" s="1"/>
  <c r="N24" i="1"/>
  <c r="P24" i="1" s="1"/>
  <c r="N25" i="1"/>
  <c r="P25" i="1" s="1"/>
  <c r="N26" i="1"/>
  <c r="P26" i="1" s="1"/>
  <c r="N27" i="1"/>
  <c r="P27" i="1" s="1"/>
  <c r="N28" i="1"/>
  <c r="P28" i="1" s="1"/>
  <c r="N29" i="1"/>
  <c r="P29" i="1" s="1"/>
  <c r="N30" i="1"/>
  <c r="P30" i="1" s="1"/>
  <c r="N31" i="1"/>
  <c r="P31" i="1" s="1"/>
  <c r="N32" i="1"/>
  <c r="P32" i="1" s="1"/>
  <c r="N33" i="1"/>
  <c r="P33" i="1" s="1"/>
  <c r="N34" i="1"/>
  <c r="P34" i="1" s="1"/>
  <c r="N35" i="1"/>
  <c r="P35" i="1" s="1"/>
  <c r="N36" i="1"/>
  <c r="P36" i="1" s="1"/>
  <c r="N37" i="1"/>
  <c r="P37" i="1" s="1"/>
  <c r="N38" i="1"/>
  <c r="P38" i="1" s="1"/>
  <c r="N39" i="1"/>
  <c r="P39" i="1" s="1"/>
  <c r="N40" i="1"/>
  <c r="P40" i="1" s="1"/>
  <c r="N41" i="1"/>
  <c r="P41" i="1" s="1"/>
  <c r="N42" i="1"/>
  <c r="P42" i="1" s="1"/>
  <c r="N43" i="1"/>
  <c r="P43" i="1" s="1"/>
  <c r="N44" i="1"/>
  <c r="P44" i="1" s="1"/>
  <c r="N45" i="1"/>
  <c r="P45" i="1" s="1"/>
  <c r="N46" i="1"/>
  <c r="P46" i="1" s="1"/>
  <c r="N47" i="1"/>
  <c r="P47" i="1" s="1"/>
  <c r="N48" i="1"/>
  <c r="P48" i="1" s="1"/>
  <c r="N49" i="1"/>
  <c r="P49" i="1" s="1"/>
  <c r="N50" i="1"/>
  <c r="P50" i="1" s="1"/>
  <c r="N51" i="1"/>
  <c r="P51" i="1" s="1"/>
  <c r="N52" i="1"/>
  <c r="P52" i="1" s="1"/>
  <c r="N53" i="1"/>
  <c r="P53" i="1" s="1"/>
  <c r="N54" i="1"/>
  <c r="P54" i="1" s="1"/>
  <c r="N55" i="1"/>
  <c r="P55" i="1" s="1"/>
  <c r="N56" i="1"/>
  <c r="P56" i="1" s="1"/>
  <c r="N57" i="1"/>
  <c r="P57" i="1" s="1"/>
  <c r="N58" i="1"/>
  <c r="P58" i="1" s="1"/>
  <c r="N59" i="1"/>
  <c r="P59" i="1" s="1"/>
  <c r="N60" i="1"/>
  <c r="P60" i="1" s="1"/>
  <c r="N61" i="1"/>
  <c r="P61" i="1" s="1"/>
  <c r="N62" i="1"/>
  <c r="P62" i="1" s="1"/>
  <c r="N63" i="1"/>
  <c r="P63" i="1" s="1"/>
  <c r="N64" i="1"/>
  <c r="P64" i="1" s="1"/>
  <c r="N65" i="1"/>
  <c r="P65" i="1" s="1"/>
  <c r="N66" i="1"/>
  <c r="P66" i="1" s="1"/>
  <c r="N67" i="1"/>
  <c r="P67" i="1" s="1"/>
  <c r="N68" i="1"/>
  <c r="P68" i="1" s="1"/>
  <c r="N69" i="1"/>
  <c r="P69" i="1" s="1"/>
  <c r="N70" i="1"/>
  <c r="P70" i="1" s="1"/>
  <c r="N71" i="1"/>
  <c r="P71" i="1" s="1"/>
  <c r="N72" i="1"/>
  <c r="P72" i="1" s="1"/>
  <c r="N73" i="1"/>
  <c r="P73" i="1" s="1"/>
  <c r="N74" i="1"/>
  <c r="P74" i="1" s="1"/>
  <c r="N75" i="1"/>
  <c r="P75" i="1" s="1"/>
  <c r="N76" i="1"/>
  <c r="P76" i="1" s="1"/>
  <c r="N77" i="1"/>
  <c r="P77" i="1" s="1"/>
  <c r="N78" i="1"/>
  <c r="P78" i="1" s="1"/>
  <c r="N79" i="1"/>
  <c r="P79" i="1" s="1"/>
  <c r="N80" i="1"/>
  <c r="P80" i="1" s="1"/>
  <c r="N81" i="1"/>
  <c r="P81" i="1" s="1"/>
  <c r="N82" i="1"/>
  <c r="P82" i="1" s="1"/>
  <c r="N83" i="1"/>
  <c r="P83" i="1" s="1"/>
  <c r="N84" i="1"/>
  <c r="P84" i="1" s="1"/>
  <c r="N85" i="1"/>
  <c r="P85" i="1" s="1"/>
  <c r="N86" i="1"/>
  <c r="P86" i="1" s="1"/>
  <c r="N87" i="1"/>
  <c r="P87" i="1" s="1"/>
  <c r="N88" i="1"/>
  <c r="P88" i="1" s="1"/>
  <c r="N89" i="1"/>
  <c r="P89" i="1" s="1"/>
  <c r="N90" i="1"/>
  <c r="P90" i="1" s="1"/>
  <c r="N91" i="1"/>
  <c r="P91" i="1" s="1"/>
  <c r="N92" i="1"/>
  <c r="P92" i="1" s="1"/>
  <c r="N93" i="1"/>
  <c r="P93" i="1" s="1"/>
  <c r="N94" i="1"/>
  <c r="P94" i="1" s="1"/>
  <c r="N95" i="1"/>
  <c r="P95" i="1" s="1"/>
  <c r="N96" i="1"/>
  <c r="P96" i="1" s="1"/>
  <c r="N97" i="1"/>
  <c r="P97" i="1" s="1"/>
  <c r="N98" i="1"/>
  <c r="P98" i="1" s="1"/>
  <c r="N99" i="1"/>
  <c r="P99" i="1" s="1"/>
  <c r="N100" i="1"/>
  <c r="P100" i="1" s="1"/>
  <c r="N101" i="1"/>
  <c r="P101" i="1" s="1"/>
  <c r="N102" i="1"/>
  <c r="P102" i="1" s="1"/>
  <c r="N103" i="1"/>
  <c r="P103" i="1" s="1"/>
  <c r="N104" i="1"/>
  <c r="P104" i="1" s="1"/>
  <c r="N105" i="1"/>
  <c r="P105" i="1" s="1"/>
  <c r="N106" i="1"/>
  <c r="P106" i="1" s="1"/>
  <c r="N107" i="1"/>
  <c r="P107" i="1" s="1"/>
  <c r="N108" i="1"/>
  <c r="P108" i="1" s="1"/>
  <c r="N109" i="1"/>
  <c r="P109" i="1" s="1"/>
  <c r="N110" i="1"/>
  <c r="P110" i="1" s="1"/>
  <c r="N111" i="1"/>
  <c r="P111" i="1" s="1"/>
  <c r="N112" i="1"/>
  <c r="P112" i="1" s="1"/>
  <c r="N113" i="1"/>
  <c r="P113" i="1" s="1"/>
  <c r="N114" i="1"/>
  <c r="P114" i="1" s="1"/>
  <c r="N115" i="1"/>
  <c r="P115" i="1" s="1"/>
  <c r="N116" i="1"/>
  <c r="P116" i="1" s="1"/>
  <c r="N117" i="1"/>
  <c r="P117" i="1" s="1"/>
  <c r="N118" i="1"/>
  <c r="P118" i="1" s="1"/>
  <c r="N119" i="1"/>
  <c r="P119" i="1" s="1"/>
  <c r="N120" i="1"/>
  <c r="P120" i="1" s="1"/>
  <c r="N121" i="1"/>
  <c r="P121" i="1" s="1"/>
  <c r="N122" i="1"/>
  <c r="P122" i="1" s="1"/>
  <c r="N123" i="1"/>
  <c r="P123" i="1" s="1"/>
  <c r="N124" i="1"/>
  <c r="P124" i="1" s="1"/>
  <c r="N125" i="1"/>
  <c r="P125" i="1" s="1"/>
  <c r="N126" i="1"/>
  <c r="P126" i="1" s="1"/>
  <c r="N127" i="1"/>
  <c r="P127" i="1" s="1"/>
  <c r="N128" i="1"/>
  <c r="P128" i="1" s="1"/>
  <c r="N129" i="1"/>
  <c r="P129" i="1" s="1"/>
  <c r="N130" i="1"/>
  <c r="P130" i="1" s="1"/>
  <c r="N131" i="1"/>
  <c r="P131" i="1" s="1"/>
  <c r="N132" i="1"/>
  <c r="P132" i="1" s="1"/>
  <c r="N133" i="1"/>
  <c r="P133" i="1" s="1"/>
  <c r="N134" i="1"/>
  <c r="P134" i="1" s="1"/>
  <c r="N135" i="1"/>
  <c r="P135" i="1" s="1"/>
  <c r="N136" i="1"/>
  <c r="P136" i="1" s="1"/>
  <c r="N137" i="1"/>
  <c r="P137" i="1" s="1"/>
  <c r="N138" i="1"/>
  <c r="P138" i="1" s="1"/>
  <c r="N139" i="1"/>
  <c r="P139" i="1" s="1"/>
  <c r="N140" i="1"/>
  <c r="P140" i="1" s="1"/>
  <c r="N141" i="1"/>
  <c r="P141" i="1" s="1"/>
  <c r="N142" i="1"/>
  <c r="P142" i="1" s="1"/>
  <c r="N143" i="1"/>
  <c r="P143" i="1" s="1"/>
  <c r="N144" i="1"/>
  <c r="P144" i="1" s="1"/>
  <c r="N145" i="1"/>
  <c r="P145" i="1" s="1"/>
  <c r="N146" i="1"/>
  <c r="P146" i="1" s="1"/>
  <c r="N147" i="1"/>
  <c r="P147" i="1" s="1"/>
  <c r="N148" i="1"/>
  <c r="P148" i="1" s="1"/>
  <c r="N149" i="1"/>
  <c r="P149" i="1" s="1"/>
  <c r="N150" i="1"/>
  <c r="P150" i="1" s="1"/>
  <c r="N151" i="1"/>
  <c r="P151" i="1" s="1"/>
  <c r="N152" i="1"/>
  <c r="P152" i="1" s="1"/>
  <c r="N153" i="1"/>
  <c r="P153" i="1" s="1"/>
  <c r="N154" i="1"/>
  <c r="P154" i="1" s="1"/>
  <c r="N155" i="1"/>
  <c r="P155" i="1" s="1"/>
  <c r="N156" i="1"/>
  <c r="P156" i="1" s="1"/>
  <c r="N157" i="1"/>
  <c r="P157" i="1" s="1"/>
  <c r="N158" i="1"/>
  <c r="P158" i="1" s="1"/>
  <c r="N159" i="1"/>
  <c r="P159" i="1" s="1"/>
  <c r="N160" i="1"/>
  <c r="P160" i="1" s="1"/>
  <c r="N161" i="1"/>
  <c r="P161" i="1" s="1"/>
  <c r="N162" i="1"/>
  <c r="P162" i="1" s="1"/>
  <c r="N163" i="1"/>
  <c r="P163" i="1" s="1"/>
  <c r="N164" i="1"/>
  <c r="P164" i="1" s="1"/>
  <c r="N165" i="1"/>
  <c r="P165" i="1" s="1"/>
  <c r="N166" i="1"/>
  <c r="P166" i="1" s="1"/>
  <c r="N167" i="1"/>
  <c r="P167" i="1" s="1"/>
  <c r="N168" i="1"/>
  <c r="P168" i="1" s="1"/>
  <c r="N169" i="1"/>
  <c r="P169" i="1" s="1"/>
  <c r="N170" i="1"/>
  <c r="P170" i="1" s="1"/>
  <c r="N171" i="1"/>
  <c r="P171" i="1" s="1"/>
  <c r="N172" i="1"/>
  <c r="P172" i="1" s="1"/>
  <c r="N173" i="1"/>
  <c r="P173" i="1" s="1"/>
  <c r="N174" i="1"/>
  <c r="P174" i="1" s="1"/>
  <c r="N175" i="1"/>
  <c r="P175" i="1" s="1"/>
  <c r="N176" i="1"/>
  <c r="P176" i="1" s="1"/>
  <c r="N177" i="1"/>
  <c r="P177" i="1" s="1"/>
  <c r="N178" i="1"/>
  <c r="P178" i="1" s="1"/>
  <c r="N179" i="1"/>
  <c r="P179" i="1" s="1"/>
  <c r="N180" i="1"/>
  <c r="P180" i="1" s="1"/>
  <c r="N181" i="1"/>
  <c r="P181" i="1" s="1"/>
  <c r="N182" i="1"/>
  <c r="P182" i="1" s="1"/>
  <c r="N183" i="1"/>
  <c r="P183" i="1" s="1"/>
  <c r="N184" i="1"/>
  <c r="P184" i="1" s="1"/>
  <c r="N185" i="1"/>
  <c r="P185" i="1" s="1"/>
  <c r="N186" i="1"/>
  <c r="P186" i="1" s="1"/>
  <c r="N187" i="1"/>
  <c r="P187" i="1" s="1"/>
  <c r="N188" i="1"/>
  <c r="P188" i="1" s="1"/>
  <c r="N189" i="1"/>
  <c r="P189" i="1" s="1"/>
  <c r="N190" i="1"/>
  <c r="P190" i="1" s="1"/>
  <c r="N191" i="1"/>
  <c r="P191" i="1" s="1"/>
  <c r="N192" i="1"/>
  <c r="P192" i="1" s="1"/>
  <c r="N193" i="1"/>
  <c r="P193" i="1" s="1"/>
  <c r="N194" i="1"/>
  <c r="P194" i="1" s="1"/>
  <c r="N195" i="1"/>
  <c r="P195" i="1" s="1"/>
  <c r="N196" i="1"/>
  <c r="P196" i="1" s="1"/>
  <c r="N197" i="1"/>
  <c r="P197" i="1" s="1"/>
  <c r="N198" i="1"/>
  <c r="P198" i="1" s="1"/>
  <c r="N199" i="1"/>
  <c r="P199" i="1" s="1"/>
  <c r="N200" i="1"/>
  <c r="P200" i="1" s="1"/>
  <c r="N201" i="1"/>
  <c r="P201" i="1" s="1"/>
  <c r="N202" i="1"/>
  <c r="P202" i="1" s="1"/>
  <c r="N203" i="1"/>
  <c r="P203" i="1" s="1"/>
  <c r="N204" i="1"/>
  <c r="P204" i="1" s="1"/>
  <c r="N205" i="1"/>
  <c r="P205" i="1" s="1"/>
  <c r="N206" i="1"/>
  <c r="P206" i="1" s="1"/>
  <c r="N207" i="1"/>
  <c r="P207" i="1" s="1"/>
  <c r="N208" i="1"/>
  <c r="P208" i="1" s="1"/>
  <c r="N209" i="1"/>
  <c r="P209" i="1" s="1"/>
  <c r="N210" i="1"/>
  <c r="P210" i="1" s="1"/>
  <c r="N211" i="1"/>
  <c r="P211" i="1" s="1"/>
  <c r="N212" i="1"/>
  <c r="P212" i="1" s="1"/>
  <c r="N213" i="1"/>
  <c r="P213" i="1" s="1"/>
  <c r="N214" i="1"/>
  <c r="P214" i="1" s="1"/>
  <c r="N215" i="1"/>
  <c r="P215" i="1" s="1"/>
  <c r="N216" i="1"/>
  <c r="P216" i="1" s="1"/>
  <c r="N217" i="1"/>
  <c r="P217" i="1" s="1"/>
  <c r="N218" i="1"/>
  <c r="P218" i="1" s="1"/>
  <c r="N219" i="1"/>
  <c r="P219" i="1" s="1"/>
  <c r="N220" i="1"/>
  <c r="P220" i="1" s="1"/>
  <c r="N221" i="1"/>
  <c r="P221" i="1" s="1"/>
  <c r="N222" i="1"/>
  <c r="P222" i="1" s="1"/>
  <c r="N223" i="1"/>
  <c r="P223" i="1" s="1"/>
  <c r="N224" i="1"/>
  <c r="P224" i="1" s="1"/>
  <c r="N225" i="1"/>
  <c r="P225" i="1" s="1"/>
  <c r="N226" i="1"/>
  <c r="P226" i="1" s="1"/>
  <c r="N227" i="1"/>
  <c r="P227" i="1" s="1"/>
  <c r="N228" i="1"/>
  <c r="P228" i="1" s="1"/>
  <c r="N229" i="1"/>
  <c r="P229" i="1" s="1"/>
  <c r="N230" i="1"/>
  <c r="P230" i="1" s="1"/>
  <c r="N231" i="1"/>
  <c r="P231" i="1" s="1"/>
  <c r="N232" i="1"/>
  <c r="P232" i="1" s="1"/>
  <c r="N233" i="1"/>
  <c r="P233" i="1" s="1"/>
  <c r="N234" i="1"/>
  <c r="P234" i="1" s="1"/>
  <c r="N235" i="1"/>
  <c r="P235" i="1" s="1"/>
  <c r="N236" i="1"/>
  <c r="P236" i="1" s="1"/>
  <c r="N237" i="1"/>
  <c r="P237" i="1" s="1"/>
  <c r="N238" i="1"/>
  <c r="P238" i="1" s="1"/>
  <c r="N239" i="1"/>
  <c r="P239" i="1" s="1"/>
  <c r="N240" i="1"/>
  <c r="P240" i="1" s="1"/>
  <c r="N241" i="1"/>
  <c r="P241" i="1" s="1"/>
  <c r="N242" i="1"/>
  <c r="P242" i="1" s="1"/>
  <c r="N243" i="1"/>
  <c r="P243" i="1" s="1"/>
  <c r="N244" i="1"/>
  <c r="P244" i="1" s="1"/>
  <c r="N245" i="1"/>
  <c r="P245" i="1" s="1"/>
  <c r="N246" i="1"/>
  <c r="P246" i="1" s="1"/>
  <c r="N247" i="1"/>
  <c r="P247" i="1" s="1"/>
  <c r="N248" i="1"/>
  <c r="P248" i="1" s="1"/>
  <c r="N249" i="1"/>
  <c r="P249" i="1" s="1"/>
  <c r="N250" i="1"/>
  <c r="P250" i="1" s="1"/>
  <c r="N251" i="1"/>
  <c r="P251" i="1" s="1"/>
  <c r="N252" i="1"/>
  <c r="P252" i="1" s="1"/>
  <c r="N253" i="1"/>
  <c r="P253" i="1" s="1"/>
  <c r="N254" i="1"/>
  <c r="P254" i="1" s="1"/>
  <c r="N255" i="1"/>
  <c r="P255" i="1" s="1"/>
  <c r="N256" i="1"/>
  <c r="P256" i="1" s="1"/>
  <c r="N257" i="1"/>
  <c r="P257" i="1" s="1"/>
  <c r="N258" i="1"/>
  <c r="P258" i="1" s="1"/>
  <c r="N259" i="1"/>
  <c r="P259" i="1" s="1"/>
  <c r="N260" i="1"/>
  <c r="P260" i="1" s="1"/>
  <c r="N261" i="1"/>
  <c r="P261" i="1" s="1"/>
  <c r="N262" i="1"/>
  <c r="P262" i="1" s="1"/>
  <c r="N263" i="1"/>
  <c r="P263" i="1" s="1"/>
  <c r="N264" i="1"/>
  <c r="P264" i="1" s="1"/>
  <c r="N265" i="1"/>
  <c r="P265" i="1" s="1"/>
  <c r="N266" i="1"/>
  <c r="P266" i="1" s="1"/>
  <c r="N267" i="1"/>
  <c r="P267" i="1" s="1"/>
  <c r="N268" i="1"/>
  <c r="P268" i="1" s="1"/>
  <c r="N269" i="1"/>
  <c r="P269" i="1" s="1"/>
  <c r="N270" i="1"/>
  <c r="P270" i="1" s="1"/>
  <c r="N271" i="1"/>
  <c r="P271" i="1" s="1"/>
  <c r="N272" i="1"/>
  <c r="P272" i="1" s="1"/>
  <c r="N273" i="1"/>
  <c r="P273" i="1" s="1"/>
  <c r="N274" i="1"/>
  <c r="P274" i="1" s="1"/>
  <c r="N275" i="1"/>
  <c r="P275" i="1" s="1"/>
  <c r="N276" i="1"/>
  <c r="P276" i="1" s="1"/>
  <c r="N277" i="1"/>
  <c r="P277" i="1" s="1"/>
  <c r="N278" i="1"/>
  <c r="P278" i="1" s="1"/>
  <c r="N279" i="1"/>
  <c r="P279" i="1" s="1"/>
  <c r="N280" i="1"/>
  <c r="P280" i="1" s="1"/>
  <c r="N281" i="1"/>
  <c r="P281" i="1" s="1"/>
  <c r="N282" i="1"/>
  <c r="P282" i="1" s="1"/>
  <c r="N283" i="1"/>
  <c r="P283" i="1" s="1"/>
  <c r="N284" i="1"/>
  <c r="P284" i="1" s="1"/>
  <c r="N285" i="1"/>
  <c r="P285" i="1" s="1"/>
  <c r="N286" i="1"/>
  <c r="P286" i="1" s="1"/>
  <c r="N287" i="1"/>
  <c r="P287" i="1" s="1"/>
  <c r="N288" i="1"/>
  <c r="P288" i="1" s="1"/>
  <c r="N289" i="1"/>
  <c r="P289" i="1" s="1"/>
  <c r="N290" i="1"/>
  <c r="P290" i="1" s="1"/>
  <c r="N291" i="1"/>
  <c r="P291" i="1" s="1"/>
  <c r="N292" i="1"/>
  <c r="P292" i="1" s="1"/>
  <c r="N293" i="1"/>
  <c r="P293" i="1" s="1"/>
  <c r="N294" i="1"/>
  <c r="P294" i="1" s="1"/>
  <c r="N295" i="1"/>
  <c r="P295" i="1" s="1"/>
  <c r="N296" i="1"/>
  <c r="P296" i="1" s="1"/>
  <c r="N297" i="1"/>
  <c r="P297" i="1" s="1"/>
  <c r="N298" i="1"/>
  <c r="P298" i="1" s="1"/>
  <c r="N299" i="1"/>
  <c r="P299" i="1" s="1"/>
  <c r="N300" i="1"/>
  <c r="P300" i="1" s="1"/>
  <c r="N301" i="1"/>
  <c r="P301" i="1"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C34" i="15"/>
  <c r="C42" i="15"/>
  <c r="C37" i="15"/>
  <c r="C31" i="15"/>
  <c r="U47" i="6" l="1"/>
  <c r="U52" i="6"/>
  <c r="U144" i="6"/>
  <c r="U279" i="6"/>
  <c r="U35" i="6"/>
  <c r="U290" i="6"/>
  <c r="U254" i="6"/>
  <c r="U218" i="6"/>
  <c r="U182" i="6"/>
  <c r="U134" i="6"/>
  <c r="W256" i="6"/>
  <c r="W112" i="6"/>
  <c r="W255" i="6"/>
  <c r="W111" i="6"/>
  <c r="U170" i="6"/>
  <c r="U158" i="6"/>
  <c r="U146" i="6"/>
  <c r="W340" i="6"/>
  <c r="W231" i="6"/>
  <c r="W106" i="6"/>
  <c r="W6" i="6"/>
  <c r="W339" i="6"/>
  <c r="W81" i="6"/>
  <c r="W5" i="6"/>
  <c r="U335" i="6"/>
  <c r="U323" i="6"/>
  <c r="U311" i="6"/>
  <c r="U299" i="6"/>
  <c r="U287" i="6"/>
  <c r="U275" i="6"/>
  <c r="U263" i="6"/>
  <c r="U251" i="6"/>
  <c r="U239" i="6"/>
  <c r="U227" i="6"/>
  <c r="U215" i="6"/>
  <c r="U203" i="6"/>
  <c r="U191" i="6"/>
  <c r="U179" i="6"/>
  <c r="U167" i="6"/>
  <c r="U155" i="6"/>
  <c r="U143" i="6"/>
  <c r="U131" i="6"/>
  <c r="U119" i="6"/>
  <c r="U107" i="6"/>
  <c r="U95" i="6"/>
  <c r="U83" i="6"/>
  <c r="U71" i="6"/>
  <c r="U59" i="6"/>
  <c r="W292" i="6"/>
  <c r="W136" i="6"/>
  <c r="W39" i="6"/>
  <c r="W291" i="6"/>
  <c r="W135" i="6"/>
  <c r="W268" i="6"/>
  <c r="U305" i="6"/>
  <c r="U233" i="6"/>
  <c r="U197" i="6"/>
  <c r="U161" i="6"/>
  <c r="U125" i="6"/>
  <c r="U101" i="6"/>
  <c r="U77" i="6"/>
  <c r="U53" i="6"/>
  <c r="U183" i="6"/>
  <c r="U326" i="6"/>
  <c r="U314" i="6"/>
  <c r="U278" i="6"/>
  <c r="U242" i="6"/>
  <c r="U334" i="6"/>
  <c r="U238" i="6"/>
  <c r="U154" i="6"/>
  <c r="U105" i="6"/>
  <c r="U139" i="6"/>
  <c r="U298" i="6"/>
  <c r="U274" i="6"/>
  <c r="U262" i="6"/>
  <c r="U226" i="6"/>
  <c r="U190" i="6"/>
  <c r="U166" i="6"/>
  <c r="U321" i="6"/>
  <c r="U297" i="6"/>
  <c r="U273" i="6"/>
  <c r="U249" i="6"/>
  <c r="U225" i="6"/>
  <c r="U201" i="6"/>
  <c r="U177" i="6"/>
  <c r="U153" i="6"/>
  <c r="U187" i="6"/>
  <c r="U270" i="6"/>
  <c r="U78" i="6"/>
  <c r="U338" i="6"/>
  <c r="U302" i="6"/>
  <c r="U266" i="6"/>
  <c r="U230" i="6"/>
  <c r="U206" i="6"/>
  <c r="U194" i="6"/>
  <c r="U333" i="6"/>
  <c r="U309" i="6"/>
  <c r="U285" i="6"/>
  <c r="U261" i="6"/>
  <c r="U237" i="6"/>
  <c r="U213" i="6"/>
  <c r="U189" i="6"/>
  <c r="U165" i="6"/>
  <c r="U141" i="6"/>
  <c r="U76" i="6"/>
  <c r="U330" i="6"/>
  <c r="U306" i="6"/>
  <c r="U258" i="6"/>
  <c r="U114" i="6"/>
  <c r="U65" i="6"/>
  <c r="U246" i="6"/>
  <c r="U234" i="6"/>
  <c r="U222" i="6"/>
  <c r="U198" i="6"/>
  <c r="U174" i="6"/>
  <c r="U162" i="6"/>
  <c r="U138" i="6"/>
  <c r="U90" i="6"/>
  <c r="U112" i="6"/>
  <c r="U310" i="6"/>
  <c r="U331" i="6"/>
  <c r="U307" i="6"/>
  <c r="U283" i="6"/>
  <c r="U259" i="6"/>
  <c r="U235" i="6"/>
  <c r="U211" i="6"/>
  <c r="U318" i="6"/>
  <c r="U294" i="6"/>
  <c r="U282" i="6"/>
  <c r="U210" i="6"/>
  <c r="U186" i="6"/>
  <c r="U150" i="6"/>
  <c r="U126" i="6"/>
  <c r="U102" i="6"/>
  <c r="U322" i="6"/>
  <c r="U250" i="6"/>
  <c r="U214" i="6"/>
  <c r="U319" i="6"/>
  <c r="U295" i="6"/>
  <c r="U271" i="6"/>
  <c r="U247" i="6"/>
  <c r="U223" i="6"/>
  <c r="U199" i="6"/>
  <c r="U178" i="6"/>
  <c r="U142" i="6"/>
  <c r="U129" i="6"/>
  <c r="U286" i="6"/>
  <c r="U329" i="6"/>
  <c r="U317" i="6"/>
  <c r="U293" i="6"/>
  <c r="U281" i="6"/>
  <c r="U257" i="6"/>
  <c r="U245" i="6"/>
  <c r="U221" i="6"/>
  <c r="U209" i="6"/>
  <c r="U185" i="6"/>
  <c r="U173" i="6"/>
  <c r="U149" i="6"/>
  <c r="U137" i="6"/>
  <c r="U113" i="6"/>
  <c r="U89" i="6"/>
  <c r="U337" i="6"/>
  <c r="U313" i="6"/>
  <c r="U301" i="6"/>
  <c r="U277" i="6"/>
  <c r="U265" i="6"/>
  <c r="U241" i="6"/>
  <c r="U229" i="6"/>
  <c r="U205" i="6"/>
  <c r="U193" i="6"/>
  <c r="U169" i="6"/>
  <c r="U157" i="6"/>
  <c r="U133" i="6"/>
  <c r="U121" i="6"/>
  <c r="U73" i="6"/>
  <c r="U328" i="6"/>
  <c r="U316" i="6"/>
  <c r="U292" i="6"/>
  <c r="U280" i="6"/>
  <c r="U256" i="6"/>
  <c r="U244" i="6"/>
  <c r="U220" i="6"/>
  <c r="U175" i="6"/>
  <c r="U66" i="6"/>
  <c r="U54" i="6"/>
  <c r="U42" i="6"/>
  <c r="U30" i="6"/>
  <c r="U332" i="6"/>
  <c r="U320" i="6"/>
  <c r="U308" i="6"/>
  <c r="U296" i="6"/>
  <c r="U284" i="6"/>
  <c r="U272" i="6"/>
  <c r="U260" i="6"/>
  <c r="U248" i="6"/>
  <c r="U236" i="6"/>
  <c r="U224" i="6"/>
  <c r="U212" i="6"/>
  <c r="U200" i="6"/>
  <c r="U18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1C3A3F-65AC-4B60-A257-BCB5F405097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FB9EF36-5BA9-474B-B618-DFF3E99EC554}" keepAlive="1" name="Query - Table7" description="Connection to the 'Table7' query in the workbook." type="5" refreshedVersion="0"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<sst xmlns="http://schemas.openxmlformats.org/spreadsheetml/2006/main" count="5104" uniqueCount="719">
  <si>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</si>
  <si>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</si>
  <si>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</si>
  <si>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</si>
  <si>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</si>
  <si>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</si>
  <si>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</si>
  <si>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</si>
  <si>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</si>
  <si>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</si>
  <si>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</si>
  <si>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</si>
  <si>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</si>
  <si>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</si>
  <si>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</si>
  <si>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</si>
  <si>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</si>
  <si>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Check out our latest reel on twitter!</t>
  </si>
  <si>
    <t>#FutureOfDriving,#AnytimeIsTeslaTime</t>
  </si>
  <si>
    <t>CybertruckLaunch</t>
  </si>
  <si>
    <t>P002</t>
  </si>
  <si>
    <t>2025-04-03</t>
  </si>
  <si>
    <t>Text</t>
  </si>
  <si>
    <t>Check out our latest text on twitter!</t>
  </si>
  <si>
    <t>#TeslaCoInnovation,#BetterWithTesla</t>
  </si>
  <si>
    <t>ModelYCampaign</t>
  </si>
  <si>
    <t>P003</t>
  </si>
  <si>
    <t>YouTube</t>
  </si>
  <si>
    <t>2025-05-12</t>
  </si>
  <si>
    <t>Check out our latest reel on youtube!</t>
  </si>
  <si>
    <t>#TeslaCoInnovation</t>
  </si>
  <si>
    <t>FSDUpdate</t>
  </si>
  <si>
    <t>P004</t>
  </si>
  <si>
    <t>Instagram</t>
  </si>
  <si>
    <t>2024-08-12</t>
  </si>
  <si>
    <t>Story</t>
  </si>
  <si>
    <t>Check out our latest story on instagram!</t>
  </si>
  <si>
    <t>#EVRevolution</t>
  </si>
  <si>
    <t>SustainabilityDrive</t>
  </si>
  <si>
    <t>P005</t>
  </si>
  <si>
    <t>2024-06-26</t>
  </si>
  <si>
    <t>#EVRevolution,#TeslaCoInnovation</t>
  </si>
  <si>
    <t>P006</t>
  </si>
  <si>
    <t>Facebook</t>
  </si>
  <si>
    <t>2024-10-31</t>
  </si>
  <si>
    <t>Carousel</t>
  </si>
  <si>
    <t>Check out our latest carousel on facebook!</t>
  </si>
  <si>
    <t>P007</t>
  </si>
  <si>
    <t>2024-06-24</t>
  </si>
  <si>
    <t>Check out our latest carousel on twitter!</t>
  </si>
  <si>
    <t>P008</t>
  </si>
  <si>
    <t>2024-07-13</t>
  </si>
  <si>
    <t>Image</t>
  </si>
  <si>
    <t>Check out our latest image on youtube!</t>
  </si>
  <si>
    <t>P009</t>
  </si>
  <si>
    <t>2024-08-30</t>
  </si>
  <si>
    <t>Check out our latest text on facebook!</t>
  </si>
  <si>
    <t>P010</t>
  </si>
  <si>
    <t>2025-03-11</t>
  </si>
  <si>
    <t>Check out our latest image on facebook!</t>
  </si>
  <si>
    <t>P011</t>
  </si>
  <si>
    <t>2025-02-02</t>
  </si>
  <si>
    <t>#FutureOfDriving</t>
  </si>
  <si>
    <t>P012</t>
  </si>
  <si>
    <t>2024-07-21</t>
  </si>
  <si>
    <t>Check out our latest reel on facebook!</t>
  </si>
  <si>
    <t>P013</t>
  </si>
  <si>
    <t>2024-11-18</t>
  </si>
  <si>
    <t>Check out our latest carousel on youtube!</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</si>
  <si>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</si>
  <si>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</si>
  <si>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</si>
  <si>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</si>
  <si>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</si>
  <si>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</si>
  <si>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</si>
  <si>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</si>
  <si>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</si>
  <si>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</si>
  <si>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</si>
  <si>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</si>
  <si>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</si>
  <si>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</si>
  <si>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</si>
  <si>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</si>
  <si>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</si>
  <si>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</si>
  <si>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</si>
  <si>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</si>
  <si>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</si>
  <si>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</si>
  <si>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</si>
  <si>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</si>
  <si>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</si>
  <si>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</si>
  <si>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#TeslaCoInnovation,#AnytimeIsTeslaTime</t>
  </si>
  <si>
    <t>P024</t>
  </si>
  <si>
    <t>2025-01-23</t>
  </si>
  <si>
    <t>P025</t>
  </si>
  <si>
    <t>2025-04-10</t>
  </si>
  <si>
    <t>P026</t>
  </si>
  <si>
    <t>2025-04-05</t>
  </si>
  <si>
    <t>P027</t>
  </si>
  <si>
    <t>2024-09-17</t>
  </si>
  <si>
    <t>Check out our latest text on youtube!</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</si>
  <si>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</si>
  <si>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</si>
  <si>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</si>
  <si>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</si>
  <si>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</si>
  <si>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</si>
  <si>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</si>
  <si>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</si>
  <si>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</si>
  <si>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</si>
  <si>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</si>
  <si>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</si>
  <si>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</si>
  <si>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</si>
  <si>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</si>
  <si>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</si>
  <si>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</si>
  <si>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</si>
  <si>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</si>
  <si>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</si>
  <si>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</si>
  <si>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</si>
  <si>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</si>
  <si>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</si>
  <si>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</si>
  <si>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</si>
  <si>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</si>
  <si>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</si>
  <si>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</si>
  <si>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</si>
  <si>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</si>
  <si>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</si>
  <si>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</si>
  <si>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</si>
  <si>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</si>
  <si>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</si>
  <si>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</si>
  <si>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</si>
  <si>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</si>
  <si>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</si>
  <si>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</si>
  <si>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</si>
  <si>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</si>
  <si>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</si>
  <si>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</si>
  <si>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</si>
  <si>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</si>
  <si>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</si>
  <si>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</si>
  <si>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Check out our latest story on youtube!</t>
  </si>
  <si>
    <t>P051</t>
  </si>
  <si>
    <t>2024-06-13</t>
  </si>
  <si>
    <t>P052</t>
  </si>
  <si>
    <t>2025-01-03</t>
  </si>
  <si>
    <t>P053</t>
  </si>
  <si>
    <t>#EVRevolution,#BetterWithTesla</t>
  </si>
  <si>
    <t>P054</t>
  </si>
  <si>
    <t>2025-03-13</t>
  </si>
  <si>
    <t>P055</t>
  </si>
  <si>
    <t>2024-06-17</t>
  </si>
  <si>
    <t>P056</t>
  </si>
  <si>
    <t>2024-12-18</t>
  </si>
  <si>
    <t>P057</t>
  </si>
  <si>
    <t>2024-10-21</t>
  </si>
  <si>
    <t>P058</t>
  </si>
  <si>
    <t>2025-04-15</t>
  </si>
  <si>
    <t>P059</t>
  </si>
  <si>
    <t>2024-06-22</t>
  </si>
  <si>
    <t>P060</t>
  </si>
  <si>
    <t>2025-01-28</t>
  </si>
  <si>
    <t>#EVRevolution,#TeslaCoInnovation,#AnytimeIsTeslaTime</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</si>
  <si>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</si>
  <si>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</si>
  <si>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</si>
  <si>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</si>
  <si>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</si>
  <si>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</si>
  <si>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</si>
  <si>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</si>
  <si>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</si>
  <si>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</si>
  <si>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</si>
  <si>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</si>
  <si>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</si>
  <si>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</si>
  <si>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</si>
  <si>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</si>
  <si>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</si>
  <si>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</si>
  <si>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</si>
  <si>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</si>
  <si>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</si>
  <si>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</si>
  <si>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</si>
  <si>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</si>
  <si>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</si>
  <si>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</si>
  <si>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</si>
  <si>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</si>
  <si>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</si>
  <si>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</si>
  <si>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</si>
  <si>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</si>
  <si>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</si>
  <si>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</si>
  <si>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</si>
  <si>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</si>
  <si>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</si>
  <si>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</si>
  <si>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</si>
  <si>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</si>
  <si>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#FutureOfDriving,#TeslaCoInnovation,#AnytimeIsTeslaTime</t>
  </si>
  <si>
    <t>P083</t>
  </si>
  <si>
    <t>2024-10-15</t>
  </si>
  <si>
    <t>Check out our latest video on youtube!</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</si>
  <si>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</si>
  <si>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</si>
  <si>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</si>
  <si>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</si>
  <si>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</si>
  <si>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</si>
  <si>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</si>
  <si>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</si>
  <si>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</si>
  <si>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</si>
  <si>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</si>
  <si>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</si>
  <si>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</si>
  <si>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</si>
  <si>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</si>
  <si>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</si>
  <si>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</si>
  <si>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</si>
  <si>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</si>
  <si>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</si>
  <si>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</si>
  <si>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</si>
  <si>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</si>
  <si>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</si>
  <si>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</si>
  <si>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</si>
  <si>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</si>
  <si>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</si>
  <si>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</si>
  <si>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</si>
  <si>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</si>
  <si>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</si>
  <si>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</si>
  <si>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</si>
  <si>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</si>
  <si>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</si>
  <si>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</si>
  <si>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</si>
  <si>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</si>
  <si>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</si>
  <si>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</si>
  <si>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</si>
  <si>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</si>
  <si>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</si>
  <si>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</si>
  <si>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</si>
  <si>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</si>
  <si>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</si>
  <si>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</si>
  <si>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</si>
  <si>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</si>
  <si>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</si>
  <si>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</si>
  <si>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</si>
  <si>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</si>
  <si>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</si>
  <si>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</si>
  <si>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</si>
  <si>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</si>
  <si>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</si>
  <si>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</si>
  <si>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</si>
  <si>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</si>
  <si>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</si>
  <si>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</si>
  <si>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</si>
  <si>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</si>
  <si>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</si>
  <si>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</si>
  <si>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</si>
  <si>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</si>
  <si>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</si>
  <si>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</si>
  <si>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</si>
  <si>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</si>
  <si>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</si>
  <si>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</si>
  <si>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</si>
  <si>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</si>
  <si>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</si>
  <si>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</si>
  <si>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</si>
  <si>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</si>
  <si>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</si>
  <si>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</si>
  <si>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</si>
  <si>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</si>
  <si>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</si>
  <si>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</si>
  <si>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</si>
  <si>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</si>
  <si>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</si>
  <si>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</si>
  <si>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</si>
  <si>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</si>
  <si>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</si>
  <si>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#EVRevolution,#SmoothLikeNitroTesla</t>
  </si>
  <si>
    <t>P141</t>
  </si>
  <si>
    <t>2024-08-31</t>
  </si>
  <si>
    <t>P142</t>
  </si>
  <si>
    <t>P143</t>
  </si>
  <si>
    <t>P144</t>
  </si>
  <si>
    <t>P145</t>
  </si>
  <si>
    <t>P146</t>
  </si>
  <si>
    <t>2024-06-05</t>
  </si>
  <si>
    <t>#EVRevolution,#AnytimeIsTeslaTime</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</si>
  <si>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</si>
  <si>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</si>
  <si>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</si>
  <si>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</si>
  <si>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</si>
  <si>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</si>
  <si>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</si>
  <si>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</si>
  <si>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</si>
  <si>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</si>
  <si>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</si>
  <si>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</si>
  <si>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</si>
  <si>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</si>
  <si>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</si>
  <si>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</si>
  <si>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</si>
  <si>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</si>
  <si>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</si>
  <si>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</si>
  <si>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</si>
  <si>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</si>
  <si>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</si>
  <si>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</si>
  <si>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</si>
  <si>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</si>
  <si>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</si>
  <si>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</si>
  <si>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</si>
  <si>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</si>
  <si>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</si>
  <si>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</si>
  <si>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</si>
  <si>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</si>
  <si>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</si>
  <si>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</si>
  <si>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</si>
  <si>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</si>
  <si>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</si>
  <si>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</si>
  <si>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</si>
  <si>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</si>
  <si>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</si>
  <si>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</si>
  <si>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</si>
  <si>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</si>
  <si>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</si>
  <si>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</si>
  <si>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</si>
  <si>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</si>
  <si>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</si>
  <si>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</si>
  <si>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</si>
  <si>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</si>
  <si>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</si>
  <si>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</si>
  <si>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</si>
  <si>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</si>
  <si>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</si>
  <si>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</si>
  <si>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</si>
  <si>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</si>
  <si>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</si>
  <si>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</si>
  <si>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</si>
  <si>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</si>
  <si>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</si>
  <si>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</si>
  <si>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</si>
  <si>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</si>
  <si>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</si>
  <si>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</si>
  <si>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</si>
  <si>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</si>
  <si>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</si>
  <si>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</si>
  <si>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</si>
  <si>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</si>
  <si>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</si>
  <si>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</si>
  <si>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</si>
  <si>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</si>
  <si>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</si>
  <si>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</si>
  <si>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</si>
  <si>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</si>
  <si>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</si>
  <si>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</si>
  <si>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</si>
  <si>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</si>
  <si>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</si>
  <si>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</si>
  <si>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</si>
  <si>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</si>
  <si>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</si>
  <si>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#TeslaCoInnovation,#SmoothLikeNitroTesla</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</si>
  <si>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</si>
  <si>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</si>
  <si>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</si>
  <si>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</si>
  <si>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</si>
  <si>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</si>
  <si>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</si>
  <si>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</si>
  <si>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</si>
  <si>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</si>
  <si>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</si>
  <si>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</si>
  <si>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</si>
  <si>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</si>
  <si>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</si>
  <si>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</si>
  <si>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</si>
  <si>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</si>
  <si>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</si>
  <si>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</si>
  <si>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</si>
  <si>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</si>
  <si>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</si>
  <si>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#FutureOfDriving,#SmoothLikeNitroTesla</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</si>
  <si>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</si>
  <si>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</si>
  <si>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</si>
  <si>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</si>
  <si>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</si>
  <si>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</si>
  <si>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</si>
  <si>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</si>
  <si>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</si>
  <si>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</si>
  <si>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</si>
  <si>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</si>
  <si>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</si>
  <si>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</si>
  <si>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</si>
  <si>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</si>
  <si>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</si>
  <si>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</si>
  <si>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</si>
  <si>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</si>
  <si>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#FutureOfDriving,#AnytimeIsTeslaTime,#EVRevolution</t>
  </si>
  <si>
    <t>P237</t>
  </si>
  <si>
    <t>P238</t>
  </si>
  <si>
    <t>2024-07-16</t>
  </si>
  <si>
    <t>P239</t>
  </si>
  <si>
    <t>P240</t>
  </si>
  <si>
    <t>P241</t>
  </si>
  <si>
    <t>2025-01-18</t>
  </si>
  <si>
    <t>P242</t>
  </si>
  <si>
    <t>P243</t>
  </si>
  <si>
    <t>2025-03-06</t>
  </si>
  <si>
    <t>P244</t>
  </si>
  <si>
    <t>2024-10-25</t>
  </si>
  <si>
    <t>P245</t>
  </si>
  <si>
    <t>2025-01-12</t>
  </si>
  <si>
    <t>P246</t>
  </si>
  <si>
    <t>2024-10-11</t>
  </si>
  <si>
    <t>P247</t>
  </si>
  <si>
    <t>2024-08-27</t>
  </si>
  <si>
    <t>#FutureOfDriving,#EVRevolution,#BetterWithTesla</t>
  </si>
  <si>
    <t>P248</t>
  </si>
  <si>
    <t>P249</t>
  </si>
  <si>
    <t>P250</t>
  </si>
  <si>
    <t>P251</t>
  </si>
  <si>
    <t>2025-03-27</t>
  </si>
  <si>
    <t>P252</t>
  </si>
  <si>
    <t>P253</t>
  </si>
  <si>
    <t>2024-08-03</t>
  </si>
  <si>
    <t>P254</t>
  </si>
  <si>
    <t>2025-01-14</t>
  </si>
  <si>
    <t>P255</t>
  </si>
  <si>
    <t>P256</t>
  </si>
  <si>
    <t>P257</t>
  </si>
  <si>
    <t>#EVRevolution,#EVRevolution,#BetterWithTesla</t>
  </si>
  <si>
    <t>P258</t>
  </si>
  <si>
    <t>2024-08-05</t>
  </si>
  <si>
    <t>P259</t>
  </si>
  <si>
    <t>P260</t>
  </si>
  <si>
    <t>2025-02-12</t>
  </si>
  <si>
    <t>#TeslaCoInnovation,#EVRevolution,#BetterWithTesla</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</si>
  <si>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</si>
  <si>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</si>
  <si>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</si>
  <si>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</si>
  <si>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</si>
  <si>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</si>
  <si>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</si>
  <si>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</si>
  <si>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</si>
  <si>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</si>
  <si>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</si>
  <si>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</si>
  <si>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</si>
  <si>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</si>
  <si>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</si>
  <si>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</si>
  <si>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</si>
  <si>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</si>
  <si>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</si>
  <si>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</si>
  <si>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</si>
  <si>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</si>
  <si>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</si>
  <si>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</si>
  <si>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</si>
  <si>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</si>
  <si>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</si>
  <si>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</si>
  <si>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</si>
  <si>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</si>
  <si>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</si>
  <si>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</si>
  <si>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</si>
  <si>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</si>
  <si>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</si>
  <si>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</si>
  <si>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</si>
  <si>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</si>
  <si>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</si>
  <si>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</si>
  <si>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</si>
  <si>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</si>
  <si>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</si>
  <si>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</si>
  <si>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</si>
  <si>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</si>
  <si>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</si>
  <si>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</si>
  <si>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</si>
  <si>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</si>
  <si>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</si>
  <si>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</si>
  <si>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</si>
  <si>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</si>
  <si>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</si>
  <si>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</si>
  <si>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</si>
  <si>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</si>
  <si>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</si>
  <si>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</si>
  <si>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</si>
  <si>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</si>
  <si>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</si>
  <si>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</si>
  <si>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</si>
  <si>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</si>
  <si>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</si>
  <si>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</si>
  <si>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</si>
  <si>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</si>
  <si>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</si>
  <si>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</si>
  <si>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</si>
  <si>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</si>
  <si>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</si>
  <si>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</si>
  <si>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</si>
  <si>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</si>
  <si>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</si>
  <si>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</si>
  <si>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</si>
  <si>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</si>
  <si>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</si>
  <si>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</si>
  <si>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</si>
  <si>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Start_Date</t>
  </si>
  <si>
    <t>End_Date</t>
  </si>
  <si>
    <t>Objective</t>
  </si>
  <si>
    <t>Total_Budget</t>
  </si>
  <si>
    <t>Target_Platforms</t>
  </si>
  <si>
    <t>Primary_Hashtags</t>
  </si>
  <si>
    <t>Product Awareness</t>
  </si>
  <si>
    <t>Instagram,Facebook</t>
  </si>
  <si>
    <t>Customer Engagement</t>
  </si>
  <si>
    <t>Instagram,YouTube</t>
  </si>
  <si>
    <t>Vehicle Launch</t>
  </si>
  <si>
    <t>Facebook,Twitter</t>
  </si>
  <si>
    <t>#SmoothLikeNitroTesla</t>
  </si>
  <si>
    <t>Community Growth</t>
  </si>
  <si>
    <t>Instagram,Twitter</t>
  </si>
  <si>
    <t>#BetterWithTesla,#FutureOfDriving</t>
  </si>
  <si>
    <t>Engagement</t>
  </si>
  <si>
    <t>Engagement Rate</t>
  </si>
  <si>
    <t>Average of Engagement Rate</t>
  </si>
  <si>
    <t>Sum of Engagement</t>
  </si>
  <si>
    <t>Sum of Likes</t>
  </si>
  <si>
    <t>Total Likes</t>
  </si>
  <si>
    <t>Total Shares</t>
  </si>
  <si>
    <t>Total Comments</t>
  </si>
  <si>
    <t>#AnytimeIsTeslaTime</t>
  </si>
  <si>
    <t>#BetterWithTesla</t>
  </si>
  <si>
    <t>notavailable</t>
  </si>
  <si>
    <t>Tesla Post</t>
  </si>
  <si>
    <t>Sum of Clicks</t>
  </si>
  <si>
    <t>Average of Clicks</t>
  </si>
  <si>
    <t>Post Hashtags</t>
  </si>
  <si>
    <t>Net Follower</t>
  </si>
  <si>
    <t>Follower Growth Rate</t>
  </si>
  <si>
    <t xml:space="preserve"> Follower Growth Rate</t>
  </si>
  <si>
    <t>Average of Engagement_Rate</t>
  </si>
  <si>
    <t>Ad Spend</t>
  </si>
  <si>
    <t>Count of Posts</t>
  </si>
  <si>
    <t>Sum of Impressions</t>
  </si>
  <si>
    <t>Average of Likes</t>
  </si>
  <si>
    <t>Average of Impressions</t>
  </si>
  <si>
    <t>Campaign Name</t>
  </si>
  <si>
    <t>Column1</t>
  </si>
  <si>
    <t>Campaign Start Date</t>
  </si>
  <si>
    <t>Campaign End Date</t>
  </si>
  <si>
    <t>Campaign Category</t>
  </si>
  <si>
    <t>Row Labels</t>
  </si>
  <si>
    <t>Before Campaign</t>
  </si>
  <si>
    <t>Campaign Start Date2</t>
  </si>
  <si>
    <t>Campaign End Date3</t>
  </si>
  <si>
    <t>During Campaign</t>
  </si>
  <si>
    <t>Engagement Uplift</t>
  </si>
  <si>
    <t>Average of Engagement</t>
  </si>
  <si>
    <t>Engagement Uplift(During Vs Before Campaign)</t>
  </si>
  <si>
    <t>Total &amp; Average Impressions,Likes, Clicks per Campaign</t>
  </si>
  <si>
    <t>Campaign Budget</t>
  </si>
  <si>
    <t>ROI</t>
  </si>
  <si>
    <t>Average of ROI</t>
  </si>
  <si>
    <t>Engagement Vs Spend(R.O.I)</t>
  </si>
  <si>
    <t>Follower Growth</t>
  </si>
  <si>
    <t>Sum of Follower Growth</t>
  </si>
  <si>
    <t>Average of Follower Growth</t>
  </si>
  <si>
    <t>Strongest Follower Growth by Campaign</t>
  </si>
  <si>
    <t>week number</t>
  </si>
  <si>
    <t>Week Number</t>
  </si>
  <si>
    <t>Weekly Follower Growth</t>
  </si>
  <si>
    <t>Average of Net Follower</t>
  </si>
  <si>
    <t>Peak Week of follower Gain</t>
  </si>
  <si>
    <t>TESLA SOCIAL MEDIA ANALYTICS REPORT</t>
  </si>
  <si>
    <t>OverView:</t>
  </si>
  <si>
    <t>This dashboard summarizes social post performance, campaign context, and paid support to reveal what drives engagement, reach, and growth across platforms and content types.</t>
  </si>
  <si>
    <t>Top 10 Tesla Posts with Highest Engagement</t>
  </si>
  <si>
    <t>Average Engagement Rate Per Platform</t>
  </si>
  <si>
    <t>Total Likes, Shares and Comments by Content Type and Platform</t>
  </si>
  <si>
    <t>Top-Performing Hashtags</t>
  </si>
  <si>
    <t>Average of Engagement by Platform</t>
  </si>
  <si>
    <t>Platform with Highest Engagement</t>
  </si>
  <si>
    <t xml:space="preserve">The above highlighted cell: Facebook has the </t>
  </si>
  <si>
    <t>highest engagement.</t>
  </si>
  <si>
    <t>Follower Growth rates per Platform</t>
  </si>
  <si>
    <t>Twitter clearly has the highest follower growth rate.</t>
  </si>
  <si>
    <t>Engagement Vs Ad Spend per Platform</t>
  </si>
  <si>
    <t>Instagram clearly has the best engagement rate.</t>
  </si>
  <si>
    <t>TASK 2</t>
  </si>
  <si>
    <t>and Videos are mostly viewed in Youtube.</t>
  </si>
  <si>
    <t xml:space="preserve">Key Findings: Instagram has the highest average </t>
  </si>
  <si>
    <t>engagement rate.</t>
  </si>
  <si>
    <t>Key Findings: Post number 280, a Youtube Video has the highest engagement over all the posts.</t>
  </si>
  <si>
    <t xml:space="preserve">Key Findings: Introspecting into the above dataset, Facebook has the best engagement in image category, Instagram has the best engagement as stories, Twitter dominates in the carousel category </t>
  </si>
  <si>
    <r>
      <rPr>
        <b/>
        <sz val="11"/>
        <color theme="1"/>
        <rFont val="Calibri"/>
        <family val="2"/>
        <scheme val="minor"/>
      </rPr>
      <t>Key Findings:The above highlighted hashtags are the top-performing hashtags by average clicks</t>
    </r>
    <r>
      <rPr>
        <sz val="11"/>
        <color theme="1"/>
        <rFont val="Calibri"/>
        <family val="2"/>
        <scheme val="minor"/>
      </rPr>
      <t>.</t>
    </r>
  </si>
  <si>
    <t>Key Findings: Youtube has the highest engagement compared to all the platforms.</t>
  </si>
  <si>
    <t>Recommendation: As per the insights and findings, I suggest Tesla should follow a multi-platform strategy for advertisment. Introspecting into the insights, we should focus on all the platforms</t>
  </si>
  <si>
    <t>as per the content type. Since, Facebook has the highest engagement over images, we should have image advertised over Facebook. Likewise, instagram wins over stories, twitter over carousels,</t>
  </si>
  <si>
    <t>and youtube over videos. Overall, Tesla should put in money for advertisement over Instagram and Youtube, as both has the best overall turnover(Return of Investment) and engagement rate</t>
  </si>
  <si>
    <t>TASK-3</t>
  </si>
  <si>
    <t>TASK-4</t>
  </si>
  <si>
    <t>Frequently Used Tesla Hashtags</t>
  </si>
  <si>
    <t>Avg Performance by Hashtags Used</t>
  </si>
  <si>
    <t>Engagement By Content Type</t>
  </si>
  <si>
    <t>Key Finding: #TeslaCoInnovation has the highest posts.</t>
  </si>
  <si>
    <t xml:space="preserve">Key Finding: #EvRevolution and #TeslaCoInnovation </t>
  </si>
  <si>
    <t>has the highest average rate.</t>
  </si>
  <si>
    <t>content type.</t>
  </si>
  <si>
    <t>Key Finding: Stories had the highest engagement by</t>
  </si>
  <si>
    <t>respectively.</t>
  </si>
  <si>
    <t>Recommendations: As per the insights and findings, I would recommend Instagram for posting short stories, for carousels, Twitter would be the best. For advertising high-quality images, we should use Facebook. To demonstrate features and  performance,</t>
  </si>
  <si>
    <t xml:space="preserve">review videos would be best to be advertised through Youtube.This recommendation is also supported by the fact that Twitter has the highest follower growth rate and Facebook has the highest engagement overall. </t>
  </si>
  <si>
    <t>Using tags like #AnytimeisTeslaTime and focussing on the reliability and overall features of Tesla cars and also aligning its advertisement over promoting Electric Vehicle culture and promoting environmental concerns to elevate sales.</t>
  </si>
  <si>
    <t>TASK-5</t>
  </si>
  <si>
    <t>TASK-6</t>
  </si>
  <si>
    <t>Insight: 1.CyberTruck Campaign had the highest Return of Investment (Engagement Vs Spend).</t>
  </si>
  <si>
    <t>Insights: Sustainability Drive Campaign had the highest likes, clicks and impressions.</t>
  </si>
  <si>
    <t>ModelYCampaign had the highest Engagement Uplift.</t>
  </si>
  <si>
    <t>Cybertruck launch has the highest average R.O.I.</t>
  </si>
  <si>
    <t>Insights: Week 16 had the lowest average follower growth and Week 51 the highest.</t>
  </si>
  <si>
    <t>Insights:Week 16 had the lowest follower gain and week 52 had the highest follower gain.</t>
  </si>
  <si>
    <t>Campaign Period</t>
  </si>
  <si>
    <t>AD Spend VS Follower Growth</t>
  </si>
  <si>
    <t>GROWTH TRENDS</t>
  </si>
  <si>
    <t>Sum of Ad_Spend</t>
  </si>
  <si>
    <t>Sum of Net Follower</t>
  </si>
  <si>
    <t>Grand Total</t>
  </si>
  <si>
    <t>3week Moving Average:</t>
  </si>
  <si>
    <t>Youtube</t>
  </si>
  <si>
    <t>Key Insights: Instagram had the highest moving average for 3 weeks which summarizes, Instagram has better performance in terms of follower rentention.</t>
  </si>
  <si>
    <t>Insight: 2: Sustainability Drive Campaign drove the strongest follower growth.</t>
  </si>
  <si>
    <t>TASK-7</t>
  </si>
  <si>
    <t xml:space="preserve"> https://www.loom.com/share/08be943f391c4daca3d44ada15bbf3f0</t>
  </si>
  <si>
    <t>Project Explanation Video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</si>
</sst>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_-[$$-409]* #,##0.00_ ;_-[$$-409]* \-#,##0.00\ ;_-[$$-409]* &quot;-&quot;??_ ;_-@_ "/>
    <numFmt numFmtId="166" formatCode="mm\/dd\/yyyy"/>
    <numFmt numFmtId="167" formatCode="_-[$$-409]* #,##0_ ;_-[$$-409]* \-#,##0\ ;_-[$$-409]* &quot;-&quot;??_ ;_-@_ "/>
    <numFmt numFmtId="168" formatCode="0.00000"/>
  </numFmts>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u/>
      <sz val="11"/>
      <color theme="1"/>
      <name val="Calibri"/>
      <family val="2"/>
      <scheme val="minor"/>
    </font>
    <font>
      <b/>
      <sz val="48"/>
      <color theme="1"/>
      <name val="Calibri"/>
      <family val="2"/>
      <scheme val="minor"/>
    </font>
    <font>
      <sz val="24"/>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
      <b/>
      <u/>
      <sz val="12"/>
      <color theme="1"/>
      <name val="Calibri"/>
      <family val="2"/>
      <scheme val="minor"/>
    </font>
    <font>
      <b/>
      <u/>
      <sz val="14"/>
      <color theme="1"/>
      <name val="Calibri"/>
      <family val="2"/>
      <scheme val="minor"/>
    </font>
    <font>
      <b/>
      <u/>
      <sz val="16"/>
      <color theme="1"/>
      <name val="Calibri"/>
      <family val="2"/>
      <scheme val="minor"/>
    </font>
    <font>
      <b/>
      <sz val="22"/>
      <color theme="1"/>
      <name val="Calibri"/>
      <family val="2"/>
      <scheme val="minor"/>
    </font>
    <font>
      <sz val="22"/>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9" fontId="7" fillId="0" borderId="0" applyFont="0" applyFill="0" applyBorder="0" applyAlignment="0" applyProtection="0"/>
  </cellStyleXfs>
  <cellXfs count="84">
    <xf numFmtId="0" fontId="0" fillId="0" borderId="0" xfId="0"/>
    <xf numFmtId="0" fontId="6" fillId="0" borderId="1" xfId="0" applyFont="1" applyBorder="1" applyAlignment="1">
      <alignment horizontal="center" vertical="top"/>
    </xf>
    <xf numFmtId="0" fontId="7" fillId="0" borderId="0" xfId="0" applyFont="1"/>
    <xf numFmtId="0" fontId="6" fillId="0" borderId="2"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1" fontId="0" fillId="0" borderId="0" xfId="0" applyNumberFormat="1"/>
    <xf numFmtId="0" fontId="5" fillId="0" borderId="0" xfId="0" applyFont="1"/>
    <xf numFmtId="0" fontId="8" fillId="0" borderId="3" xfId="0" applyFont="1" applyBorder="1" applyAlignment="1">
      <alignment horizontal="center" vertical="top"/>
    </xf>
    <xf numFmtId="9" fontId="0" fillId="0" borderId="0" xfId="1" applyFont="1"/>
    <xf numFmtId="10" fontId="0" fillId="0" borderId="0" xfId="1" applyNumberFormat="1" applyFont="1"/>
    <xf numFmtId="10" fontId="0" fillId="0" borderId="0" xfId="0" applyNumberFormat="1"/>
    <xf numFmtId="166" fontId="7" fillId="0" borderId="0" xfId="0" applyNumberFormat="1" applyFont="1"/>
    <xf numFmtId="9" fontId="0" fillId="0" borderId="0" xfId="1" applyFont="1" applyFill="1"/>
    <xf numFmtId="0" fontId="4" fillId="0" borderId="0" xfId="0" applyFont="1"/>
    <xf numFmtId="0" fontId="0" fillId="0" borderId="0" xfId="0" applyAlignment="1">
      <alignment horizontal="left" indent="1"/>
    </xf>
    <xf numFmtId="0" fontId="0" fillId="2" borderId="0" xfId="0" applyFill="1" applyAlignment="1">
      <alignment horizontal="left"/>
    </xf>
    <xf numFmtId="0" fontId="0" fillId="3" borderId="0" xfId="0" applyFill="1" applyAlignment="1">
      <alignment horizontal="left"/>
    </xf>
    <xf numFmtId="1" fontId="0" fillId="3" borderId="0" xfId="0" applyNumberFormat="1" applyFill="1"/>
    <xf numFmtId="0" fontId="8" fillId="4" borderId="0" xfId="0" applyFont="1" applyFill="1"/>
    <xf numFmtId="1" fontId="0" fillId="3" borderId="0" xfId="0" applyNumberFormat="1" applyFill="1" applyAlignment="1">
      <alignment horizontal="center" vertical="center"/>
    </xf>
    <xf numFmtId="0" fontId="10" fillId="0" borderId="0" xfId="0" applyFont="1"/>
    <xf numFmtId="167" fontId="6" fillId="0" borderId="1" xfId="0" applyNumberFormat="1" applyFont="1" applyBorder="1" applyAlignment="1">
      <alignment horizontal="center" vertical="top"/>
    </xf>
    <xf numFmtId="167" fontId="7" fillId="0" borderId="0" xfId="0" applyNumberFormat="1" applyFont="1"/>
    <xf numFmtId="167" fontId="0" fillId="0" borderId="0" xfId="0" applyNumberFormat="1"/>
    <xf numFmtId="167" fontId="6" fillId="0" borderId="2" xfId="0" applyNumberFormat="1" applyFont="1" applyBorder="1" applyAlignment="1">
      <alignment horizontal="center" vertical="top"/>
    </xf>
    <xf numFmtId="1" fontId="4" fillId="0" borderId="0" xfId="0" applyNumberFormat="1" applyFont="1" applyAlignment="1">
      <alignment vertical="center"/>
    </xf>
    <xf numFmtId="1" fontId="0" fillId="0" borderId="0" xfId="0" applyNumberFormat="1" applyAlignment="1">
      <alignment vertical="center"/>
    </xf>
    <xf numFmtId="0" fontId="0" fillId="5" borderId="0" xfId="0" applyFill="1"/>
    <xf numFmtId="0" fontId="0" fillId="6" borderId="0" xfId="0" applyFill="1"/>
    <xf numFmtId="0" fontId="12" fillId="5" borderId="0" xfId="0" applyFont="1" applyFill="1"/>
    <xf numFmtId="0" fontId="6" fillId="5" borderId="0" xfId="0" applyFont="1" applyFill="1"/>
    <xf numFmtId="0" fontId="3" fillId="5" borderId="0" xfId="0" applyFont="1" applyFill="1"/>
    <xf numFmtId="0" fontId="0" fillId="7" borderId="0" xfId="0" applyFill="1" applyAlignment="1">
      <alignment horizontal="left"/>
    </xf>
    <xf numFmtId="0" fontId="0" fillId="7" borderId="0" xfId="0" applyFill="1"/>
    <xf numFmtId="0" fontId="6" fillId="5" borderId="0" xfId="0" applyFont="1" applyFill="1" applyAlignment="1">
      <alignment horizontal="left"/>
    </xf>
    <xf numFmtId="0" fontId="0" fillId="0" borderId="0" xfId="0" applyAlignment="1">
      <alignment horizontal="center"/>
    </xf>
    <xf numFmtId="0" fontId="16" fillId="0" borderId="0" xfId="0" applyFont="1" applyAlignment="1">
      <alignment horizontal="center"/>
    </xf>
    <xf numFmtId="0" fontId="0" fillId="0" borderId="0" xfId="0" applyAlignment="1">
      <alignment wrapText="1"/>
    </xf>
    <xf numFmtId="0" fontId="0" fillId="8" borderId="0" xfId="0" applyFill="1"/>
    <xf numFmtId="14" fontId="0" fillId="8" borderId="0" xfId="0" applyNumberFormat="1" applyFill="1"/>
    <xf numFmtId="9" fontId="0" fillId="8" borderId="0" xfId="1" applyFont="1" applyFill="1"/>
    <xf numFmtId="1" fontId="0" fillId="8" borderId="0" xfId="0" applyNumberFormat="1" applyFill="1" applyAlignment="1">
      <alignment vertical="center"/>
    </xf>
    <xf numFmtId="0" fontId="0" fillId="7" borderId="0" xfId="0" applyFill="1" applyAlignment="1">
      <alignment horizontal="left" indent="1"/>
    </xf>
    <xf numFmtId="0" fontId="0" fillId="2" borderId="0" xfId="0" applyFill="1"/>
    <xf numFmtId="2" fontId="0" fillId="7" borderId="0" xfId="0" applyNumberFormat="1" applyFill="1"/>
    <xf numFmtId="2" fontId="0" fillId="2" borderId="0" xfId="0" applyNumberFormat="1" applyFill="1"/>
    <xf numFmtId="0" fontId="0" fillId="7" borderId="0" xfId="0" applyFill="1" applyAlignment="1">
      <alignment horizontal="left" wrapText="1"/>
    </xf>
    <xf numFmtId="0" fontId="15" fillId="5" borderId="0" xfId="0" applyFont="1" applyFill="1" applyAlignment="1">
      <alignment horizontal="center"/>
    </xf>
    <xf numFmtId="0" fontId="14" fillId="5" borderId="0" xfId="0" applyFont="1" applyFill="1" applyAlignment="1">
      <alignment horizontal="center" vertical="center"/>
    </xf>
    <xf numFmtId="0" fontId="6" fillId="2" borderId="0" xfId="0" applyFont="1" applyFill="1"/>
    <xf numFmtId="168" fontId="0" fillId="0" borderId="0" xfId="0" applyNumberFormat="1"/>
    <xf numFmtId="1" fontId="0" fillId="5" borderId="0" xfId="0" applyNumberFormat="1" applyFill="1"/>
    <xf numFmtId="0" fontId="21" fillId="5" borderId="0" xfId="0" applyFont="1" applyFill="1"/>
    <xf numFmtId="0" fontId="20" fillId="5" borderId="0" xfId="0" applyFont="1" applyFill="1"/>
    <xf numFmtId="0" fontId="6" fillId="0" borderId="0" xfId="0" applyFont="1"/>
    <xf numFmtId="0" fontId="6" fillId="9" borderId="0" xfId="0" applyFont="1" applyFill="1"/>
    <xf numFmtId="0" fontId="0" fillId="10" borderId="0" xfId="0" applyFill="1"/>
    <xf numFmtId="1" fontId="0" fillId="2" borderId="0" xfId="0" applyNumberFormat="1" applyFill="1"/>
    <xf numFmtId="0" fontId="14" fillId="5" borderId="0" xfId="0" applyFont="1" applyFill="1" applyAlignment="1">
      <alignment horizontal="center"/>
    </xf>
    <xf numFmtId="0" fontId="18" fillId="5" borderId="0" xfId="0" applyFont="1" applyFill="1" applyAlignment="1">
      <alignment horizontal="center"/>
    </xf>
    <xf numFmtId="0" fontId="19" fillId="5" borderId="0" xfId="0" applyFont="1" applyFill="1" applyAlignment="1">
      <alignment horizontal="center"/>
    </xf>
    <xf numFmtId="0" fontId="16" fillId="5" borderId="0" xfId="0" applyFont="1" applyFill="1" applyAlignment="1">
      <alignment horizontal="center"/>
    </xf>
    <xf numFmtId="0" fontId="6" fillId="5" borderId="0" xfId="0" applyFont="1" applyFill="1"/>
    <xf numFmtId="0" fontId="6" fillId="5" borderId="0" xfId="0" applyFont="1" applyFill="1" applyAlignment="1">
      <alignment horizontal="center"/>
    </xf>
    <xf numFmtId="0" fontId="2" fillId="5" borderId="0" xfId="0" applyFont="1" applyFill="1" applyAlignment="1">
      <alignment horizontal="center"/>
    </xf>
    <xf numFmtId="0" fontId="3" fillId="5" borderId="0" xfId="0" applyFont="1" applyFill="1" applyAlignment="1">
      <alignment horizontal="center"/>
    </xf>
    <xf numFmtId="0" fontId="6" fillId="0" borderId="0" xfId="0" applyFont="1" applyAlignment="1">
      <alignment horizontal="left"/>
    </xf>
    <xf numFmtId="0" fontId="6" fillId="5" borderId="0" xfId="0" applyFont="1" applyFill="1" applyAlignment="1">
      <alignment horizontal="left"/>
    </xf>
    <xf numFmtId="0" fontId="6" fillId="2" borderId="0" xfId="0" applyFont="1" applyFill="1"/>
    <xf numFmtId="0" fontId="0" fillId="5" borderId="0" xfId="0" applyFill="1"/>
    <xf numFmtId="0" fontId="13" fillId="5" borderId="0" xfId="0" applyFont="1" applyFill="1" applyAlignment="1">
      <alignment horizontal="center"/>
    </xf>
    <xf numFmtId="0" fontId="17" fillId="5" borderId="0" xfId="0" applyFont="1" applyFill="1" applyAlignment="1">
      <alignment horizontal="center"/>
    </xf>
    <xf numFmtId="0" fontId="10" fillId="5" borderId="0" xfId="0" applyFont="1" applyFill="1" applyAlignment="1">
      <alignment horizontal="center"/>
    </xf>
    <xf numFmtId="1" fontId="0" fillId="0" borderId="0" xfId="0" applyNumberFormat="1" applyAlignment="1">
      <alignment horizontal="center" vertical="center"/>
    </xf>
    <xf numFmtId="0" fontId="15" fillId="5" borderId="0" xfId="0" applyFont="1" applyFill="1" applyAlignment="1">
      <alignment horizont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6" fillId="9" borderId="0" xfId="0" applyFont="1" applyFill="1"/>
    <xf numFmtId="0" fontId="1" fillId="0" borderId="0" xfId="0" applyFont="1" applyAlignment="1">
      <alignment horizontal="center"/>
    </xf>
    <xf numFmtId="0" fontId="6" fillId="0" borderId="0" xfId="0" applyFont="1" applyAlignment="1">
      <alignment horizontal="center"/>
    </xf>
  </cellXfs>
  <cellStyles count="2">
    <cellStyle name="Normal" xfId="0" builtinId="0"/>
    <cellStyle name="Percent" xfId="1" builtinId="5"/>
  </cellStyles>
  <dxfs count="143">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7" formatCode="_-[$$-409]* #,##0_ ;_-[$$-409]* \-#,##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4" formatCode="0.00%"/>
    </dxf>
    <dxf>
      <font>
        <b val="0"/>
        <i val="0"/>
        <strike val="0"/>
        <condense val="0"/>
        <extend val="0"/>
        <outline val="0"/>
        <shadow val="0"/>
        <u val="none"/>
        <vertAlign val="baseline"/>
        <sz val="11"/>
        <color theme="1"/>
        <name val="Calibri"/>
        <scheme val="minor"/>
      </font>
      <numFmt numFmtId="167" formatCode="_-[$$-409]* #,##0_ ;_-[$$-409]* \-#,##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ill>
        <patternFill patternType="solid">
          <bgColor theme="0"/>
        </patternFill>
      </fill>
    </dxf>
    <dxf>
      <numFmt numFmtId="1" formatCode="0"/>
    </dxf>
    <dxf>
      <numFmt numFmtId="168" formatCode="0.00000"/>
    </dxf>
    <dxf>
      <numFmt numFmtId="2" formatCode="0.00"/>
    </dxf>
    <dxf>
      <fill>
        <patternFill patternType="solid">
          <bgColor theme="7" tint="0.39997558519241921"/>
        </patternFill>
      </fill>
    </dxf>
    <dxf>
      <fill>
        <patternFill patternType="solid">
          <bgColor theme="7" tint="0.39997558519241921"/>
        </patternFill>
      </fill>
    </dxf>
    <dxf>
      <fill>
        <patternFill>
          <bgColor theme="0"/>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solid">
          <bgColor theme="5" tint="0.39997558519241921"/>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 formatCode="0"/>
    </dxf>
    <dxf>
      <numFmt numFmtId="1" formatCode="0"/>
    </dxf>
    <dxf>
      <numFmt numFmtId="1" formatCode="0"/>
    </dxf>
    <dxf>
      <font>
        <color rgb="FF9C0006"/>
      </font>
      <fill>
        <patternFill>
          <bgColor rgb="FFFFC7CE"/>
        </patternFill>
      </fill>
    </dxf>
    <dxf>
      <numFmt numFmtId="13" formatCode="0%"/>
    </dxf>
    <dxf>
      <numFmt numFmtId="13" formatCode="0%"/>
    </dxf>
    <dxf>
      <fill>
        <patternFill patternType="solid">
          <bgColor theme="5" tint="0.59999389629810485"/>
        </patternFill>
      </fill>
    </dxf>
    <dxf>
      <fill>
        <patternFill patternType="solid">
          <bgColor theme="5" tint="0.59999389629810485"/>
        </patternFill>
      </fill>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fill>
        <patternFill>
          <bgColor theme="5" tint="0.59999389629810485"/>
        </patternFill>
      </fill>
    </dxf>
    <dxf>
      <fill>
        <patternFill patternType="solid">
          <bgColor theme="8"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alignment horizontal="center"/>
    </dxf>
    <dxf>
      <alignment horizontal="cent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alignment wrapText="1"/>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wrapText="1"/>
    </dxf>
    <dxf>
      <alignment wrapText="1"/>
    </dxf>
    <dxf>
      <fill>
        <patternFill patternType="solid">
          <bgColor theme="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numFmt numFmtId="2" formatCode="0.00"/>
    </dxf>
    <dxf>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 formatCode="0"/>
      <alignment horizontal="general" vertical="center" textRotation="0" wrapText="0" indent="0" justifyLastLine="0" shrinkToFit="0" readingOrder="0"/>
    </dxf>
    <dxf>
      <numFmt numFmtId="0" formatCode="General"/>
    </dxf>
    <dxf>
      <numFmt numFmtId="19" formatCode="dd/mm/yyyy"/>
    </dxf>
    <dxf>
      <numFmt numFmtId="19" formatCode="dd/mm/yyyy"/>
    </dxf>
    <dxf>
      <font>
        <b val="0"/>
        <i val="0"/>
        <strike val="0"/>
        <condense val="0"/>
        <extend val="0"/>
        <outline val="0"/>
        <shadow val="0"/>
        <u val="none"/>
        <vertAlign val="baseline"/>
        <sz val="11"/>
        <color theme="1"/>
        <name val="Calibri"/>
        <scheme val="minor"/>
      </font>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a:t>
            </a:r>
            <a:r>
              <a:rPr lang="en-US" baseline="0"/>
              <a:t> Engagement Rate </a:t>
            </a:r>
            <a:endParaRPr lang="en-US"/>
          </a:p>
        </c:rich>
      </c:tx>
      <c:layout>
        <c:manualLayout>
          <c:xMode val="edge"/>
          <c:yMode val="edge"/>
          <c:x val="0.21281002665364501"/>
          <c:y val="0.1255616353040615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2'!$A$4</c:f>
              <c:strCache>
                <c:ptCount val="1"/>
                <c:pt idx="0">
                  <c:v>Facebook</c:v>
                </c:pt>
              </c:strCache>
            </c:strRef>
          </c:cat>
          <c:val>
            <c:numRef>
              <c:f>'TASK 2'!$B$4</c:f>
              <c:numCache>
                <c:formatCode>0%</c:formatCode>
                <c:ptCount val="1"/>
                <c:pt idx="0">
                  <c:v>0.12094203382654937</c:v>
                </c:pt>
              </c:numCache>
            </c:numRef>
          </c:val>
          <c:extLst>
            <c:ext xmlns:c16="http://schemas.microsoft.com/office/drawing/2014/chart" uri="{C3380CC4-5D6E-409C-BE32-E72D297353CC}">
              <c16:uniqueId val="{00000000-BD7E-4023-B74E-5CE42FA2468F}"/>
            </c:ext>
          </c:extLst>
        </c:ser>
        <c:dLbls>
          <c:showLegendKey val="0"/>
          <c:showVal val="0"/>
          <c:showCatName val="0"/>
          <c:showSerName val="0"/>
          <c:showPercent val="0"/>
          <c:showBubbleSize val="0"/>
        </c:dLbls>
        <c:gapWidth val="100"/>
        <c:overlap val="-24"/>
        <c:axId val="1162317167"/>
        <c:axId val="1162318607"/>
      </c:barChart>
      <c:catAx>
        <c:axId val="1162317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318607"/>
        <c:crosses val="autoZero"/>
        <c:auto val="1"/>
        <c:lblAlgn val="ctr"/>
        <c:lblOffset val="100"/>
        <c:noMultiLvlLbl val="0"/>
      </c:catAx>
      <c:valAx>
        <c:axId val="1162318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3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Popularity by Post</a:t>
            </a:r>
          </a:p>
        </c:rich>
      </c:tx>
      <c:layout>
        <c:manualLayout>
          <c:xMode val="edge"/>
          <c:yMode val="edge"/>
          <c:x val="0.39457383616521619"/>
          <c:y val="0.1051348844552325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'TASK 2'!$B$13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2'!$A$14:$A$23</c:f>
              <c:strCache>
                <c:ptCount val="10"/>
                <c:pt idx="0">
                  <c:v>P247</c:v>
                </c:pt>
                <c:pt idx="1">
                  <c:v>P257</c:v>
                </c:pt>
                <c:pt idx="2">
                  <c:v>P215</c:v>
                </c:pt>
                <c:pt idx="3">
                  <c:v>P217</c:v>
                </c:pt>
                <c:pt idx="4">
                  <c:v>P140</c:v>
                </c:pt>
                <c:pt idx="5">
                  <c:v>P222</c:v>
                </c:pt>
                <c:pt idx="6">
                  <c:v>P152</c:v>
                </c:pt>
                <c:pt idx="7">
                  <c:v>P118</c:v>
                </c:pt>
                <c:pt idx="8">
                  <c:v>P067</c:v>
                </c:pt>
                <c:pt idx="9">
                  <c:v>P241</c:v>
                </c:pt>
              </c:strCache>
            </c:strRef>
          </c:cat>
          <c:val>
            <c:numRef>
              <c:f>'TASK 2'!$B$14:$B$23</c:f>
              <c:numCache>
                <c:formatCode>General</c:formatCode>
                <c:ptCount val="10"/>
                <c:pt idx="0">
                  <c:v>12702</c:v>
                </c:pt>
                <c:pt idx="1">
                  <c:v>11853</c:v>
                </c:pt>
                <c:pt idx="2">
                  <c:v>5973</c:v>
                </c:pt>
                <c:pt idx="3">
                  <c:v>5767</c:v>
                </c:pt>
                <c:pt idx="4">
                  <c:v>5708</c:v>
                </c:pt>
                <c:pt idx="5">
                  <c:v>5660</c:v>
                </c:pt>
                <c:pt idx="6">
                  <c:v>5624</c:v>
                </c:pt>
                <c:pt idx="7">
                  <c:v>5472</c:v>
                </c:pt>
                <c:pt idx="8">
                  <c:v>5407</c:v>
                </c:pt>
                <c:pt idx="9">
                  <c:v>5367</c:v>
                </c:pt>
              </c:numCache>
            </c:numRef>
          </c:val>
          <c:extLst>
            <c:ext xmlns:c16="http://schemas.microsoft.com/office/drawing/2014/chart" uri="{C3380CC4-5D6E-409C-BE32-E72D297353CC}">
              <c16:uniqueId val="{00000000-60BD-4547-A2C6-ADC9A1251590}"/>
            </c:ext>
          </c:extLst>
        </c:ser>
        <c:dLbls>
          <c:showLegendKey val="0"/>
          <c:showVal val="0"/>
          <c:showCatName val="0"/>
          <c:showSerName val="0"/>
          <c:showPercent val="0"/>
          <c:showBubbleSize val="0"/>
        </c:dLbls>
        <c:gapWidth val="150"/>
        <c:shape val="box"/>
        <c:axId val="1168321727"/>
        <c:axId val="1168322207"/>
        <c:axId val="0"/>
      </c:bar3DChart>
      <c:catAx>
        <c:axId val="116832172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TESLA</a:t>
                </a:r>
                <a:r>
                  <a:rPr lang="en-IN" baseline="0"/>
                  <a:t> POST ID</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322207"/>
        <c:crosses val="autoZero"/>
        <c:auto val="1"/>
        <c:lblAlgn val="ctr"/>
        <c:lblOffset val="100"/>
        <c:noMultiLvlLbl val="0"/>
      </c:catAx>
      <c:valAx>
        <c:axId val="1168322207"/>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ENGAGEMENT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3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2!PivotTable7</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2'!$B$27</c:f>
              <c:strCache>
                <c:ptCount val="1"/>
                <c:pt idx="0">
                  <c:v>Total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'TASK 2'!$A$28:$A$34</c:f>
              <c:multiLvlStrCache>
                <c:ptCount val="6"/>
                <c:lvl>
                  <c:pt idx="0">
                    <c:v>Carousel</c:v>
                  </c:pt>
                  <c:pt idx="1">
                    <c:v>Image</c:v>
                  </c:pt>
                  <c:pt idx="2">
                    <c:v>Reel</c:v>
                  </c:pt>
                  <c:pt idx="3">
                    <c:v>Story</c:v>
                  </c:pt>
                  <c:pt idx="4">
                    <c:v>Text</c:v>
                  </c:pt>
                  <c:pt idx="5">
                    <c:v>Video</c:v>
                  </c:pt>
                </c:lvl>
                <c:lvl>
                  <c:pt idx="0">
                    <c:v>Facebook</c:v>
                  </c:pt>
                </c:lvl>
              </c:multiLvlStrCache>
            </c:multiLvlStrRef>
          </c:cat>
          <c:val>
            <c:numRef>
              <c:f>'TASK 2'!$B$28:$B$34</c:f>
              <c:numCache>
                <c:formatCode>General</c:formatCode>
                <c:ptCount val="6"/>
                <c:pt idx="0">
                  <c:v>44476</c:v>
                </c:pt>
                <c:pt idx="1">
                  <c:v>80073</c:v>
                </c:pt>
                <c:pt idx="2">
                  <c:v>46102</c:v>
                </c:pt>
                <c:pt idx="3">
                  <c:v>29405</c:v>
                </c:pt>
                <c:pt idx="4">
                  <c:v>35357</c:v>
                </c:pt>
                <c:pt idx="5">
                  <c:v>30553</c:v>
                </c:pt>
              </c:numCache>
            </c:numRef>
          </c:val>
          <c:extLst>
            <c:ext xmlns:c16="http://schemas.microsoft.com/office/drawing/2014/chart" uri="{C3380CC4-5D6E-409C-BE32-E72D297353CC}">
              <c16:uniqueId val="{00000000-F73B-4834-BFDB-F6678DC0A70B}"/>
            </c:ext>
          </c:extLst>
        </c:ser>
        <c:ser>
          <c:idx val="1"/>
          <c:order val="1"/>
          <c:tx>
            <c:strRef>
              <c:f>'TASK 2'!$C$27</c:f>
              <c:strCache>
                <c:ptCount val="1"/>
                <c:pt idx="0">
                  <c:v>Total 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'TASK 2'!$A$28:$A$34</c:f>
              <c:multiLvlStrCache>
                <c:ptCount val="6"/>
                <c:lvl>
                  <c:pt idx="0">
                    <c:v>Carousel</c:v>
                  </c:pt>
                  <c:pt idx="1">
                    <c:v>Image</c:v>
                  </c:pt>
                  <c:pt idx="2">
                    <c:v>Reel</c:v>
                  </c:pt>
                  <c:pt idx="3">
                    <c:v>Story</c:v>
                  </c:pt>
                  <c:pt idx="4">
                    <c:v>Text</c:v>
                  </c:pt>
                  <c:pt idx="5">
                    <c:v>Video</c:v>
                  </c:pt>
                </c:lvl>
                <c:lvl>
                  <c:pt idx="0">
                    <c:v>Facebook</c:v>
                  </c:pt>
                </c:lvl>
              </c:multiLvlStrCache>
            </c:multiLvlStrRef>
          </c:cat>
          <c:val>
            <c:numRef>
              <c:f>'TASK 2'!$C$28:$C$34</c:f>
              <c:numCache>
                <c:formatCode>General</c:formatCode>
                <c:ptCount val="6"/>
                <c:pt idx="0">
                  <c:v>7400</c:v>
                </c:pt>
                <c:pt idx="1">
                  <c:v>14376</c:v>
                </c:pt>
                <c:pt idx="2">
                  <c:v>7149</c:v>
                </c:pt>
                <c:pt idx="3">
                  <c:v>4950</c:v>
                </c:pt>
                <c:pt idx="4">
                  <c:v>5127</c:v>
                </c:pt>
                <c:pt idx="5">
                  <c:v>3718</c:v>
                </c:pt>
              </c:numCache>
            </c:numRef>
          </c:val>
          <c:extLst>
            <c:ext xmlns:c16="http://schemas.microsoft.com/office/drawing/2014/chart" uri="{C3380CC4-5D6E-409C-BE32-E72D297353CC}">
              <c16:uniqueId val="{00000001-F73B-4834-BFDB-F6678DC0A70B}"/>
            </c:ext>
          </c:extLst>
        </c:ser>
        <c:ser>
          <c:idx val="2"/>
          <c:order val="2"/>
          <c:tx>
            <c:strRef>
              <c:f>'TASK 2'!$D$27</c:f>
              <c:strCache>
                <c:ptCount val="1"/>
                <c:pt idx="0">
                  <c:v>Total Comments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'TASK 2'!$A$28:$A$34</c:f>
              <c:multiLvlStrCache>
                <c:ptCount val="6"/>
                <c:lvl>
                  <c:pt idx="0">
                    <c:v>Carousel</c:v>
                  </c:pt>
                  <c:pt idx="1">
                    <c:v>Image</c:v>
                  </c:pt>
                  <c:pt idx="2">
                    <c:v>Reel</c:v>
                  </c:pt>
                  <c:pt idx="3">
                    <c:v>Story</c:v>
                  </c:pt>
                  <c:pt idx="4">
                    <c:v>Text</c:v>
                  </c:pt>
                  <c:pt idx="5">
                    <c:v>Video</c:v>
                  </c:pt>
                </c:lvl>
                <c:lvl>
                  <c:pt idx="0">
                    <c:v>Facebook</c:v>
                  </c:pt>
                </c:lvl>
              </c:multiLvlStrCache>
            </c:multiLvlStrRef>
          </c:cat>
          <c:val>
            <c:numRef>
              <c:f>'TASK 2'!$D$28:$D$34</c:f>
              <c:numCache>
                <c:formatCode>General</c:formatCode>
                <c:ptCount val="6"/>
                <c:pt idx="0">
                  <c:v>4589</c:v>
                </c:pt>
                <c:pt idx="1">
                  <c:v>7308</c:v>
                </c:pt>
                <c:pt idx="2">
                  <c:v>3732</c:v>
                </c:pt>
                <c:pt idx="3">
                  <c:v>3223</c:v>
                </c:pt>
                <c:pt idx="4">
                  <c:v>4424</c:v>
                </c:pt>
                <c:pt idx="5">
                  <c:v>2579</c:v>
                </c:pt>
              </c:numCache>
            </c:numRef>
          </c:val>
          <c:extLst>
            <c:ext xmlns:c16="http://schemas.microsoft.com/office/drawing/2014/chart" uri="{C3380CC4-5D6E-409C-BE32-E72D297353CC}">
              <c16:uniqueId val="{00000002-F73B-4834-BFDB-F6678DC0A70B}"/>
            </c:ext>
          </c:extLst>
        </c:ser>
        <c:dLbls>
          <c:showLegendKey val="0"/>
          <c:showVal val="0"/>
          <c:showCatName val="0"/>
          <c:showSerName val="0"/>
          <c:showPercent val="0"/>
          <c:showBubbleSize val="0"/>
        </c:dLbls>
        <c:gapWidth val="100"/>
        <c:overlap val="-24"/>
        <c:axId val="1508719359"/>
        <c:axId val="1162318127"/>
      </c:barChart>
      <c:catAx>
        <c:axId val="1508719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318127"/>
        <c:crosses val="autoZero"/>
        <c:auto val="1"/>
        <c:lblAlgn val="ctr"/>
        <c:lblOffset val="100"/>
        <c:noMultiLvlLbl val="0"/>
      </c:catAx>
      <c:valAx>
        <c:axId val="1162318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71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Engagement By Platform </a:t>
            </a:r>
          </a:p>
        </c:rich>
      </c:tx>
      <c:layout>
        <c:manualLayout>
          <c:xMode val="edge"/>
          <c:yMode val="edge"/>
          <c:x val="0.27474814593323515"/>
          <c:y val="5.41305736084502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2'!$B$80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'TASK 2'!$A$81:$A$87</c:f>
              <c:multiLvlStrCache>
                <c:ptCount val="6"/>
                <c:lvl>
                  <c:pt idx="0">
                    <c:v>Carousel</c:v>
                  </c:pt>
                  <c:pt idx="1">
                    <c:v>Image</c:v>
                  </c:pt>
                  <c:pt idx="2">
                    <c:v>Reel</c:v>
                  </c:pt>
                  <c:pt idx="3">
                    <c:v>Story</c:v>
                  </c:pt>
                  <c:pt idx="4">
                    <c:v>Text</c:v>
                  </c:pt>
                  <c:pt idx="5">
                    <c:v>Video</c:v>
                  </c:pt>
                </c:lvl>
                <c:lvl>
                  <c:pt idx="0">
                    <c:v>Facebook</c:v>
                  </c:pt>
                </c:lvl>
              </c:multiLvlStrCache>
            </c:multiLvlStrRef>
          </c:cat>
          <c:val>
            <c:numRef>
              <c:f>'TASK 2'!$B$81:$B$87</c:f>
              <c:numCache>
                <c:formatCode>0</c:formatCode>
                <c:ptCount val="6"/>
                <c:pt idx="0">
                  <c:v>4033.2142857142858</c:v>
                </c:pt>
                <c:pt idx="1">
                  <c:v>3634.1785714285716</c:v>
                </c:pt>
                <c:pt idx="2">
                  <c:v>4070.2142857142858</c:v>
                </c:pt>
                <c:pt idx="3">
                  <c:v>3416.181818181818</c:v>
                </c:pt>
                <c:pt idx="4">
                  <c:v>2806.75</c:v>
                </c:pt>
                <c:pt idx="5">
                  <c:v>3685</c:v>
                </c:pt>
              </c:numCache>
            </c:numRef>
          </c:val>
          <c:extLst>
            <c:ext xmlns:c16="http://schemas.microsoft.com/office/drawing/2014/chart" uri="{C3380CC4-5D6E-409C-BE32-E72D297353CC}">
              <c16:uniqueId val="{00000000-2E31-49C0-9CE5-A55804073481}"/>
            </c:ext>
          </c:extLst>
        </c:ser>
        <c:dLbls>
          <c:showLegendKey val="0"/>
          <c:showVal val="0"/>
          <c:showCatName val="0"/>
          <c:showSerName val="0"/>
          <c:showPercent val="0"/>
          <c:showBubbleSize val="0"/>
        </c:dLbls>
        <c:gapWidth val="150"/>
        <c:overlap val="100"/>
        <c:axId val="715294159"/>
        <c:axId val="715277839"/>
      </c:barChart>
      <c:catAx>
        <c:axId val="7152941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277839"/>
        <c:crosses val="autoZero"/>
        <c:auto val="1"/>
        <c:lblAlgn val="ctr"/>
        <c:lblOffset val="100"/>
        <c:noMultiLvlLbl val="0"/>
      </c:catAx>
      <c:valAx>
        <c:axId val="71527783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29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2!PivotTable8</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Popular</a:t>
            </a:r>
            <a:r>
              <a:rPr lang="en-US" baseline="0"/>
              <a:t> Hashtags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'TASK 2'!$B$62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232-49EB-B88F-F36C94E3E6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232-49EB-B88F-F36C94E3E6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232-49EB-B88F-F36C94E3E6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232-49EB-B88F-F36C94E3E6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232-49EB-B88F-F36C94E3E63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232-49EB-B88F-F36C94E3E6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2'!$A$63:$A$68</c:f>
              <c:strCache>
                <c:ptCount val="6"/>
                <c:pt idx="0">
                  <c:v>#AnytimeIsTeslaTime</c:v>
                </c:pt>
                <c:pt idx="1">
                  <c:v>#FutureOfDriving</c:v>
                </c:pt>
                <c:pt idx="2">
                  <c:v>#EVRevolution</c:v>
                </c:pt>
                <c:pt idx="3">
                  <c:v>#TeslaCoInnovation</c:v>
                </c:pt>
                <c:pt idx="4">
                  <c:v>#BetterWithTesla</c:v>
                </c:pt>
                <c:pt idx="5">
                  <c:v>#SmoothLikeNitroTesla</c:v>
                </c:pt>
              </c:strCache>
            </c:strRef>
          </c:cat>
          <c:val>
            <c:numRef>
              <c:f>'TASK 2'!$B$63:$B$68</c:f>
              <c:numCache>
                <c:formatCode>0.00</c:formatCode>
                <c:ptCount val="6"/>
                <c:pt idx="0">
                  <c:v>219</c:v>
                </c:pt>
                <c:pt idx="1">
                  <c:v>158.41379310344828</c:v>
                </c:pt>
                <c:pt idx="2">
                  <c:v>145.03571428571428</c:v>
                </c:pt>
                <c:pt idx="3">
                  <c:v>136.41379310344828</c:v>
                </c:pt>
                <c:pt idx="4">
                  <c:v>116.5</c:v>
                </c:pt>
                <c:pt idx="5">
                  <c:v>24.5</c:v>
                </c:pt>
              </c:numCache>
            </c:numRef>
          </c:val>
          <c:extLst>
            <c:ext xmlns:c16="http://schemas.microsoft.com/office/drawing/2014/chart" uri="{C3380CC4-5D6E-409C-BE32-E72D297353CC}">
              <c16:uniqueId val="{0000000C-F232-49EB-B88F-F36C94E3E63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3!PivotTable9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Engagement Vs Platform</a:t>
            </a:r>
          </a:p>
        </c:rich>
      </c:tx>
      <c:layout>
        <c:manualLayout>
          <c:xMode val="edge"/>
          <c:yMode val="edge"/>
          <c:x val="0.22266208851756125"/>
          <c:y val="0.1205266008415614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3'!$A$5</c:f>
              <c:strCache>
                <c:ptCount val="1"/>
                <c:pt idx="0">
                  <c:v>Facebook</c:v>
                </c:pt>
              </c:strCache>
            </c:strRef>
          </c:cat>
          <c:val>
            <c:numRef>
              <c:f>'TASK 3'!$B$5</c:f>
              <c:numCache>
                <c:formatCode>General</c:formatCode>
                <c:ptCount val="1"/>
                <c:pt idx="0">
                  <c:v>334541</c:v>
                </c:pt>
              </c:numCache>
            </c:numRef>
          </c:val>
          <c:extLst>
            <c:ext xmlns:c16="http://schemas.microsoft.com/office/drawing/2014/chart" uri="{C3380CC4-5D6E-409C-BE32-E72D297353CC}">
              <c16:uniqueId val="{00000000-8C55-46D9-9002-538E747F961B}"/>
            </c:ext>
          </c:extLst>
        </c:ser>
        <c:dLbls>
          <c:showLegendKey val="0"/>
          <c:showVal val="0"/>
          <c:showCatName val="0"/>
          <c:showSerName val="0"/>
          <c:showPercent val="0"/>
          <c:showBubbleSize val="0"/>
        </c:dLbls>
        <c:gapWidth val="100"/>
        <c:overlap val="-24"/>
        <c:axId val="76102656"/>
        <c:axId val="76101696"/>
      </c:barChart>
      <c:catAx>
        <c:axId val="76102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101696"/>
        <c:crosses val="autoZero"/>
        <c:auto val="1"/>
        <c:lblAlgn val="ctr"/>
        <c:lblOffset val="100"/>
        <c:noMultiLvlLbl val="0"/>
      </c:catAx>
      <c:valAx>
        <c:axId val="76101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10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3!PivotTable10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Follower Growth Rate</a:t>
            </a:r>
          </a:p>
        </c:rich>
      </c:tx>
      <c:layout>
        <c:manualLayout>
          <c:xMode val="edge"/>
          <c:yMode val="edge"/>
          <c:x val="0.23048651599847728"/>
          <c:y val="6.36132315521628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3'!$A$17:$A$20</c:f>
              <c:strCache>
                <c:ptCount val="4"/>
                <c:pt idx="0">
                  <c:v>Facebook</c:v>
                </c:pt>
                <c:pt idx="1">
                  <c:v>Instagram</c:v>
                </c:pt>
                <c:pt idx="2">
                  <c:v>Twitter</c:v>
                </c:pt>
                <c:pt idx="3">
                  <c:v>YouTube</c:v>
                </c:pt>
              </c:strCache>
            </c:strRef>
          </c:cat>
          <c:val>
            <c:numRef>
              <c:f>'TASK 3'!$B$17:$B$20</c:f>
              <c:numCache>
                <c:formatCode>0.00%</c:formatCode>
                <c:ptCount val="4"/>
                <c:pt idx="0">
                  <c:v>0.27324953416486325</c:v>
                </c:pt>
                <c:pt idx="1">
                  <c:v>0.28812660632475912</c:v>
                </c:pt>
                <c:pt idx="2">
                  <c:v>0.46400128383106698</c:v>
                </c:pt>
                <c:pt idx="3">
                  <c:v>0.45105333156680044</c:v>
                </c:pt>
              </c:numCache>
            </c:numRef>
          </c:val>
          <c:extLst>
            <c:ext xmlns:c16="http://schemas.microsoft.com/office/drawing/2014/chart" uri="{C3380CC4-5D6E-409C-BE32-E72D297353CC}">
              <c16:uniqueId val="{00000000-1CBD-48D6-BFE4-0435E4976BD2}"/>
            </c:ext>
          </c:extLst>
        </c:ser>
        <c:dLbls>
          <c:showLegendKey val="0"/>
          <c:showVal val="0"/>
          <c:showCatName val="0"/>
          <c:showSerName val="0"/>
          <c:showPercent val="0"/>
          <c:showBubbleSize val="0"/>
        </c:dLbls>
        <c:gapWidth val="100"/>
        <c:overlap val="-24"/>
        <c:axId val="340881984"/>
        <c:axId val="340881504"/>
      </c:barChart>
      <c:catAx>
        <c:axId val="340881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881504"/>
        <c:crosses val="autoZero"/>
        <c:auto val="1"/>
        <c:lblAlgn val="ctr"/>
        <c:lblOffset val="100"/>
        <c:noMultiLvlLbl val="0"/>
      </c:catAx>
      <c:valAx>
        <c:axId val="3408815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88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3!PivotTable11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 3'!$B$26</c:f>
              <c:strCache>
                <c:ptCount val="1"/>
                <c:pt idx="0">
                  <c:v>Average of Engagement_Rate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3'!$A$27:$A$30</c:f>
              <c:strCache>
                <c:ptCount val="4"/>
                <c:pt idx="0">
                  <c:v>Facebook</c:v>
                </c:pt>
                <c:pt idx="1">
                  <c:v>Instagram</c:v>
                </c:pt>
                <c:pt idx="2">
                  <c:v>Twitter</c:v>
                </c:pt>
                <c:pt idx="3">
                  <c:v>YouTube</c:v>
                </c:pt>
              </c:strCache>
            </c:strRef>
          </c:cat>
          <c:val>
            <c:numRef>
              <c:f>'TASK 3'!$B$27:$B$30</c:f>
              <c:numCache>
                <c:formatCode>General</c:formatCode>
                <c:ptCount val="4"/>
                <c:pt idx="0">
                  <c:v>5.6486000000000001</c:v>
                </c:pt>
                <c:pt idx="1">
                  <c:v>5.7156000000000002</c:v>
                </c:pt>
                <c:pt idx="2">
                  <c:v>5.6558000000000002</c:v>
                </c:pt>
                <c:pt idx="3">
                  <c:v>5.5587999999999997</c:v>
                </c:pt>
              </c:numCache>
            </c:numRef>
          </c:val>
          <c:extLst>
            <c:ext xmlns:c16="http://schemas.microsoft.com/office/drawing/2014/chart" uri="{C3380CC4-5D6E-409C-BE32-E72D297353CC}">
              <c16:uniqueId val="{00000000-2F72-40FD-9242-DED91D7A7E01}"/>
            </c:ext>
          </c:extLst>
        </c:ser>
        <c:dLbls>
          <c:showLegendKey val="0"/>
          <c:showVal val="0"/>
          <c:showCatName val="0"/>
          <c:showSerName val="0"/>
          <c:showPercent val="0"/>
          <c:showBubbleSize val="0"/>
        </c:dLbls>
        <c:gapWidth val="219"/>
        <c:overlap val="100"/>
        <c:axId val="367828800"/>
        <c:axId val="367829760"/>
      </c:barChart>
      <c:lineChart>
        <c:grouping val="standard"/>
        <c:varyColors val="0"/>
        <c:ser>
          <c:idx val="1"/>
          <c:order val="1"/>
          <c:tx>
            <c:strRef>
              <c:f>'TASK 3'!$C$26</c:f>
              <c:strCache>
                <c:ptCount val="1"/>
                <c:pt idx="0">
                  <c:v>Ad Spend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'TASK 3'!$A$27:$A$30</c:f>
              <c:strCache>
                <c:ptCount val="4"/>
                <c:pt idx="0">
                  <c:v>Facebook</c:v>
                </c:pt>
                <c:pt idx="1">
                  <c:v>Instagram</c:v>
                </c:pt>
                <c:pt idx="2">
                  <c:v>Twitter</c:v>
                </c:pt>
                <c:pt idx="3">
                  <c:v>YouTube</c:v>
                </c:pt>
              </c:strCache>
            </c:strRef>
          </c:cat>
          <c:val>
            <c:numRef>
              <c:f>'TASK 3'!$C$27:$C$30</c:f>
              <c:numCache>
                <c:formatCode>_-[$$-409]* #,##0_ ;_-[$$-409]* \-#,##0\ ;_-[$$-409]* "-"??_ ;_-@_ </c:formatCode>
                <c:ptCount val="4"/>
                <c:pt idx="0">
                  <c:v>1379539</c:v>
                </c:pt>
                <c:pt idx="1">
                  <c:v>1164373</c:v>
                </c:pt>
                <c:pt idx="2">
                  <c:v>1060357</c:v>
                </c:pt>
                <c:pt idx="3">
                  <c:v>1228647</c:v>
                </c:pt>
              </c:numCache>
            </c:numRef>
          </c:val>
          <c:smooth val="0"/>
          <c:extLst>
            <c:ext xmlns:c16="http://schemas.microsoft.com/office/drawing/2014/chart" uri="{C3380CC4-5D6E-409C-BE32-E72D297353CC}">
              <c16:uniqueId val="{00000001-2F72-40FD-9242-DED91D7A7E01}"/>
            </c:ext>
          </c:extLst>
        </c:ser>
        <c:dLbls>
          <c:showLegendKey val="0"/>
          <c:showVal val="0"/>
          <c:showCatName val="0"/>
          <c:showSerName val="0"/>
          <c:showPercent val="0"/>
          <c:showBubbleSize val="0"/>
        </c:dLbls>
        <c:marker val="1"/>
        <c:smooth val="0"/>
        <c:axId val="1157236255"/>
        <c:axId val="1157233375"/>
      </c:lineChart>
      <c:catAx>
        <c:axId val="367828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7829760"/>
        <c:crosses val="autoZero"/>
        <c:auto val="1"/>
        <c:lblAlgn val="ctr"/>
        <c:lblOffset val="100"/>
        <c:noMultiLvlLbl val="0"/>
      </c:catAx>
      <c:valAx>
        <c:axId val="367829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7828800"/>
        <c:crosses val="autoZero"/>
        <c:crossBetween val="between"/>
      </c:valAx>
      <c:valAx>
        <c:axId val="1157233375"/>
        <c:scaling>
          <c:orientation val="minMax"/>
        </c:scaling>
        <c:delete val="0"/>
        <c:axPos val="r"/>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236255"/>
        <c:crosses val="max"/>
        <c:crossBetween val="between"/>
      </c:valAx>
      <c:catAx>
        <c:axId val="1157236255"/>
        <c:scaling>
          <c:orientation val="minMax"/>
        </c:scaling>
        <c:delete val="1"/>
        <c:axPos val="b"/>
        <c:numFmt formatCode="General" sourceLinked="1"/>
        <c:majorTickMark val="none"/>
        <c:minorTickMark val="none"/>
        <c:tickLblPos val="nextTo"/>
        <c:crossAx val="1157233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4!PivotTable12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Hashtags Used Vs Posts </a:t>
            </a:r>
          </a:p>
        </c:rich>
      </c:tx>
      <c:layout>
        <c:manualLayout>
          <c:xMode val="edge"/>
          <c:yMode val="edge"/>
          <c:x val="0.23965772447048772"/>
          <c:y val="6.195356455116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'TASK 4'!$B$17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A5-4BFF-90C3-CBC9946D60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A5-4BFF-90C3-CBC9946D606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A5-4BFF-90C3-CBC9946D606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A5-4BFF-90C3-CBC9946D606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A5-4BFF-90C3-CBC9946D606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9A5-4BFF-90C3-CBC9946D6068}"/>
              </c:ext>
            </c:extLst>
          </c:dPt>
          <c:dLbls>
            <c:dLbl>
              <c:idx val="1"/>
              <c:delete val="1"/>
              <c:extLst>
                <c:ext xmlns:c15="http://schemas.microsoft.com/office/drawing/2012/chart" uri="{CE6537A1-D6FC-4f65-9D91-7224C49458BB}"/>
                <c:ext xmlns:c16="http://schemas.microsoft.com/office/drawing/2014/chart" uri="{C3380CC4-5D6E-409C-BE32-E72D297353CC}">
                  <c16:uniqueId val="{00000003-39A5-4BFF-90C3-CBC9946D60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4'!$A$18:$A$23</c:f>
              <c:strCache>
                <c:ptCount val="6"/>
                <c:pt idx="0">
                  <c:v>#FutureOfDriving</c:v>
                </c:pt>
                <c:pt idx="1">
                  <c:v>#TeslaCoInnovation</c:v>
                </c:pt>
                <c:pt idx="2">
                  <c:v>#EVRevolution</c:v>
                </c:pt>
                <c:pt idx="3">
                  <c:v>#AnytimeIsTeslaTime</c:v>
                </c:pt>
                <c:pt idx="4">
                  <c:v>#BetterWithTesla</c:v>
                </c:pt>
                <c:pt idx="5">
                  <c:v>#SmoothLikeNitroTesla</c:v>
                </c:pt>
              </c:strCache>
            </c:strRef>
          </c:cat>
          <c:val>
            <c:numRef>
              <c:f>'TASK 4'!$B$18:$B$23</c:f>
              <c:numCache>
                <c:formatCode>General</c:formatCode>
                <c:ptCount val="6"/>
                <c:pt idx="0">
                  <c:v>29</c:v>
                </c:pt>
                <c:pt idx="1">
                  <c:v>29</c:v>
                </c:pt>
                <c:pt idx="2">
                  <c:v>28</c:v>
                </c:pt>
                <c:pt idx="3">
                  <c:v>3</c:v>
                </c:pt>
                <c:pt idx="4">
                  <c:v>2</c:v>
                </c:pt>
                <c:pt idx="5">
                  <c:v>2</c:v>
                </c:pt>
              </c:numCache>
            </c:numRef>
          </c:val>
          <c:extLst>
            <c:ext xmlns:c16="http://schemas.microsoft.com/office/drawing/2014/chart" uri="{C3380CC4-5D6E-409C-BE32-E72D297353CC}">
              <c16:uniqueId val="{00000000-5729-4ABE-9255-E330F72C8D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4!PivotTable13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Hashtags Used Vs Engagement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'TASK 4'!$B$34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20-499C-83F1-BCB83DD82D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20-499C-83F1-BCB83DD82D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20-499C-83F1-BCB83DD82D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020-499C-83F1-BCB83DD82DB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020-499C-83F1-BCB83DD82DB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020-499C-83F1-BCB83DD82D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4'!$A$35:$A$40</c:f>
              <c:strCache>
                <c:ptCount val="6"/>
                <c:pt idx="0">
                  <c:v>#SmoothLikeNitroTesla</c:v>
                </c:pt>
                <c:pt idx="1">
                  <c:v>#TeslaCoInnovation</c:v>
                </c:pt>
                <c:pt idx="2">
                  <c:v>#EVRevolution</c:v>
                </c:pt>
                <c:pt idx="3">
                  <c:v>#FutureOfDriving</c:v>
                </c:pt>
                <c:pt idx="4">
                  <c:v>#AnytimeIsTeslaTime</c:v>
                </c:pt>
                <c:pt idx="5">
                  <c:v>#BetterWithTesla</c:v>
                </c:pt>
              </c:strCache>
            </c:strRef>
          </c:cat>
          <c:val>
            <c:numRef>
              <c:f>'TASK 4'!$B$35:$B$40</c:f>
              <c:numCache>
                <c:formatCode>0%</c:formatCode>
                <c:ptCount val="6"/>
                <c:pt idx="0">
                  <c:v>0.13357644934787313</c:v>
                </c:pt>
                <c:pt idx="1">
                  <c:v>0.12889893462121699</c:v>
                </c:pt>
                <c:pt idx="2">
                  <c:v>0.12145133616783972</c:v>
                </c:pt>
                <c:pt idx="3">
                  <c:v>0.11424805036682933</c:v>
                </c:pt>
                <c:pt idx="4">
                  <c:v>0.10994737304811847</c:v>
                </c:pt>
                <c:pt idx="5">
                  <c:v>9.9357075338062401E-2</c:v>
                </c:pt>
              </c:numCache>
            </c:numRef>
          </c:val>
          <c:extLst>
            <c:ext xmlns:c16="http://schemas.microsoft.com/office/drawing/2014/chart" uri="{C3380CC4-5D6E-409C-BE32-E72D297353CC}">
              <c16:uniqueId val="{00000000-10E1-4C58-B0C1-E8F48C80E6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4!PivotTable14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a:t>
            </a:r>
            <a:r>
              <a:rPr lang="en-US" baseline="0"/>
              <a:t> Type Vs Engagement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'TASK 4'!$B$46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EB8-4195-8154-E0D0AF3AE3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EB8-4195-8154-E0D0AF3AE3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EB8-4195-8154-E0D0AF3AE3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EB8-4195-8154-E0D0AF3AE3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EB8-4195-8154-E0D0AF3AE3E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EB8-4195-8154-E0D0AF3AE3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4'!$A$47:$A$52</c:f>
              <c:strCache>
                <c:ptCount val="6"/>
                <c:pt idx="0">
                  <c:v>Story</c:v>
                </c:pt>
                <c:pt idx="1">
                  <c:v>Video</c:v>
                </c:pt>
                <c:pt idx="2">
                  <c:v>Carousel</c:v>
                </c:pt>
                <c:pt idx="3">
                  <c:v>Image</c:v>
                </c:pt>
                <c:pt idx="4">
                  <c:v>Text</c:v>
                </c:pt>
                <c:pt idx="5">
                  <c:v>Reel</c:v>
                </c:pt>
              </c:strCache>
            </c:strRef>
          </c:cat>
          <c:val>
            <c:numRef>
              <c:f>'TASK 4'!$B$47:$B$52</c:f>
              <c:numCache>
                <c:formatCode>0%</c:formatCode>
                <c:ptCount val="6"/>
                <c:pt idx="0">
                  <c:v>0.15898977777988452</c:v>
                </c:pt>
                <c:pt idx="1">
                  <c:v>0.12378368203470033</c:v>
                </c:pt>
                <c:pt idx="2">
                  <c:v>0.11820589815604368</c:v>
                </c:pt>
                <c:pt idx="3">
                  <c:v>0.1174542452833237</c:v>
                </c:pt>
                <c:pt idx="4">
                  <c:v>0.11119518464556614</c:v>
                </c:pt>
                <c:pt idx="5">
                  <c:v>0.10986859810690117</c:v>
                </c:pt>
              </c:numCache>
            </c:numRef>
          </c:val>
          <c:extLst>
            <c:ext xmlns:c16="http://schemas.microsoft.com/office/drawing/2014/chart" uri="{C3380CC4-5D6E-409C-BE32-E72D297353CC}">
              <c16:uniqueId val="{00000000-6530-4D1A-883A-EA0AC47EB7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5!PivotTable16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Performance per Campaign</a:t>
            </a:r>
            <a:endParaRPr lang="en-IN"/>
          </a:p>
        </c:rich>
      </c:tx>
      <c:layout>
        <c:manualLayout>
          <c:xMode val="edge"/>
          <c:yMode val="edge"/>
          <c:x val="0.2647656944146573"/>
          <c:y val="0.122361936900744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'TASK 5'!$B$3</c:f>
              <c:strCache>
                <c:ptCount val="1"/>
                <c:pt idx="0">
                  <c:v>Sum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5'!$B$4:$B$8</c:f>
              <c:numCache>
                <c:formatCode>General</c:formatCode>
                <c:ptCount val="5"/>
                <c:pt idx="0">
                  <c:v>54737</c:v>
                </c:pt>
                <c:pt idx="1">
                  <c:v>33436</c:v>
                </c:pt>
                <c:pt idx="2">
                  <c:v>51192</c:v>
                </c:pt>
                <c:pt idx="3">
                  <c:v>55180</c:v>
                </c:pt>
                <c:pt idx="4">
                  <c:v>71421</c:v>
                </c:pt>
              </c:numCache>
            </c:numRef>
          </c:val>
          <c:extLst>
            <c:ext xmlns:c16="http://schemas.microsoft.com/office/drawing/2014/chart" uri="{C3380CC4-5D6E-409C-BE32-E72D297353CC}">
              <c16:uniqueId val="{00000000-28B2-4F06-B32B-97E560B47FFC}"/>
            </c:ext>
          </c:extLst>
        </c:ser>
        <c:ser>
          <c:idx val="1"/>
          <c:order val="1"/>
          <c:tx>
            <c:strRef>
              <c:f>'TASK 5'!$C$3</c:f>
              <c:strCache>
                <c:ptCount val="1"/>
                <c:pt idx="0">
                  <c:v>Average of Likes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5'!$C$4:$C$8</c:f>
              <c:numCache>
                <c:formatCode>0</c:formatCode>
                <c:ptCount val="5"/>
                <c:pt idx="0">
                  <c:v>2880.8947368421054</c:v>
                </c:pt>
                <c:pt idx="1">
                  <c:v>2786.3333333333335</c:v>
                </c:pt>
                <c:pt idx="2">
                  <c:v>2844</c:v>
                </c:pt>
                <c:pt idx="3">
                  <c:v>2627.6190476190477</c:v>
                </c:pt>
                <c:pt idx="4">
                  <c:v>3105.2608695652175</c:v>
                </c:pt>
              </c:numCache>
            </c:numRef>
          </c:val>
          <c:extLst>
            <c:ext xmlns:c16="http://schemas.microsoft.com/office/drawing/2014/chart" uri="{C3380CC4-5D6E-409C-BE32-E72D297353CC}">
              <c16:uniqueId val="{00000001-28B2-4F06-B32B-97E560B47FFC}"/>
            </c:ext>
          </c:extLst>
        </c:ser>
        <c:ser>
          <c:idx val="2"/>
          <c:order val="2"/>
          <c:tx>
            <c:strRef>
              <c:f>'TASK 5'!$D$3</c:f>
              <c:strCache>
                <c:ptCount val="1"/>
                <c:pt idx="0">
                  <c:v>Sum of Clicks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5'!$D$4:$D$8</c:f>
              <c:numCache>
                <c:formatCode>General</c:formatCode>
                <c:ptCount val="5"/>
                <c:pt idx="0">
                  <c:v>3200</c:v>
                </c:pt>
                <c:pt idx="1">
                  <c:v>1812</c:v>
                </c:pt>
                <c:pt idx="2">
                  <c:v>2626</c:v>
                </c:pt>
                <c:pt idx="3">
                  <c:v>2893</c:v>
                </c:pt>
                <c:pt idx="4">
                  <c:v>3019</c:v>
                </c:pt>
              </c:numCache>
            </c:numRef>
          </c:val>
          <c:extLst>
            <c:ext xmlns:c16="http://schemas.microsoft.com/office/drawing/2014/chart" uri="{C3380CC4-5D6E-409C-BE32-E72D297353CC}">
              <c16:uniqueId val="{00000002-28B2-4F06-B32B-97E560B47FFC}"/>
            </c:ext>
          </c:extLst>
        </c:ser>
        <c:ser>
          <c:idx val="3"/>
          <c:order val="3"/>
          <c:tx>
            <c:strRef>
              <c:f>'TASK 5'!$E$3</c:f>
              <c:strCache>
                <c:ptCount val="1"/>
                <c:pt idx="0">
                  <c:v>Average of Clicks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5'!$E$4:$E$8</c:f>
              <c:numCache>
                <c:formatCode>0</c:formatCode>
                <c:ptCount val="5"/>
                <c:pt idx="0">
                  <c:v>168.42105263157896</c:v>
                </c:pt>
                <c:pt idx="1">
                  <c:v>151</c:v>
                </c:pt>
                <c:pt idx="2">
                  <c:v>145.88888888888889</c:v>
                </c:pt>
                <c:pt idx="3">
                  <c:v>137.76190476190476</c:v>
                </c:pt>
                <c:pt idx="4">
                  <c:v>131.2608695652174</c:v>
                </c:pt>
              </c:numCache>
            </c:numRef>
          </c:val>
          <c:extLst>
            <c:ext xmlns:c16="http://schemas.microsoft.com/office/drawing/2014/chart" uri="{C3380CC4-5D6E-409C-BE32-E72D297353CC}">
              <c16:uniqueId val="{00000003-28B2-4F06-B32B-97E560B47FFC}"/>
            </c:ext>
          </c:extLst>
        </c:ser>
        <c:ser>
          <c:idx val="4"/>
          <c:order val="4"/>
          <c:tx>
            <c:strRef>
              <c:f>'TASK 5'!$F$3</c:f>
              <c:strCache>
                <c:ptCount val="1"/>
                <c:pt idx="0">
                  <c:v>Sum of Impressions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5'!$F$4:$F$8</c:f>
              <c:numCache>
                <c:formatCode>General</c:formatCode>
                <c:ptCount val="5"/>
                <c:pt idx="0">
                  <c:v>661164</c:v>
                </c:pt>
                <c:pt idx="1">
                  <c:v>470831</c:v>
                </c:pt>
                <c:pt idx="2">
                  <c:v>678203</c:v>
                </c:pt>
                <c:pt idx="3">
                  <c:v>757676</c:v>
                </c:pt>
                <c:pt idx="4">
                  <c:v>954744</c:v>
                </c:pt>
              </c:numCache>
            </c:numRef>
          </c:val>
          <c:extLst>
            <c:ext xmlns:c16="http://schemas.microsoft.com/office/drawing/2014/chart" uri="{C3380CC4-5D6E-409C-BE32-E72D297353CC}">
              <c16:uniqueId val="{00000004-28B2-4F06-B32B-97E560B47FFC}"/>
            </c:ext>
          </c:extLst>
        </c:ser>
        <c:ser>
          <c:idx val="5"/>
          <c:order val="5"/>
          <c:tx>
            <c:strRef>
              <c:f>'TASK 5'!$G$3</c:f>
              <c:strCache>
                <c:ptCount val="1"/>
                <c:pt idx="0">
                  <c:v>Average of Impressions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5'!$G$4:$G$8</c:f>
              <c:numCache>
                <c:formatCode>0</c:formatCode>
                <c:ptCount val="5"/>
                <c:pt idx="0">
                  <c:v>34798.105263157893</c:v>
                </c:pt>
                <c:pt idx="1">
                  <c:v>39235.916666666664</c:v>
                </c:pt>
                <c:pt idx="2">
                  <c:v>37677.944444444445</c:v>
                </c:pt>
                <c:pt idx="3">
                  <c:v>36079.809523809527</c:v>
                </c:pt>
                <c:pt idx="4">
                  <c:v>41510.608695652176</c:v>
                </c:pt>
              </c:numCache>
            </c:numRef>
          </c:val>
          <c:extLst>
            <c:ext xmlns:c16="http://schemas.microsoft.com/office/drawing/2014/chart" uri="{C3380CC4-5D6E-409C-BE32-E72D297353CC}">
              <c16:uniqueId val="{00000005-28B2-4F06-B32B-97E560B47FFC}"/>
            </c:ext>
          </c:extLst>
        </c:ser>
        <c:dLbls>
          <c:showLegendKey val="0"/>
          <c:showVal val="0"/>
          <c:showCatName val="0"/>
          <c:showSerName val="0"/>
          <c:showPercent val="0"/>
          <c:showBubbleSize val="0"/>
        </c:dLbls>
        <c:gapWidth val="150"/>
        <c:shape val="box"/>
        <c:axId val="338672304"/>
        <c:axId val="366123312"/>
        <c:axId val="0"/>
      </c:bar3DChart>
      <c:catAx>
        <c:axId val="33867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366123312"/>
        <c:crosses val="autoZero"/>
        <c:auto val="1"/>
        <c:lblAlgn val="ctr"/>
        <c:lblOffset val="100"/>
        <c:noMultiLvlLbl val="0"/>
      </c:catAx>
      <c:valAx>
        <c:axId val="3661233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33867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5!PivotTable1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Engagement</a:t>
            </a:r>
            <a:r>
              <a:rPr lang="en-US" baseline="0"/>
              <a:t> Uplift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5'!$B$29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'TASK 5'!$A$30:$A$41</c:f>
              <c:multiLvlStrCache>
                <c:ptCount val="8"/>
                <c:lvl>
                  <c:pt idx="0">
                    <c:v>Before Campaign</c:v>
                  </c:pt>
                  <c:pt idx="1">
                    <c:v>During Campaign</c:v>
                  </c:pt>
                  <c:pt idx="2">
                    <c:v>Before Campaign</c:v>
                  </c:pt>
                  <c:pt idx="3">
                    <c:v>Before Campaign</c:v>
                  </c:pt>
                  <c:pt idx="4">
                    <c:v>During Campaign</c:v>
                  </c:pt>
                  <c:pt idx="6">
                    <c:v>Before Campaign</c:v>
                  </c:pt>
                  <c:pt idx="7">
                    <c:v>During Campaign</c:v>
                  </c:pt>
                </c:lvl>
                <c:lvl>
                  <c:pt idx="0">
                    <c:v>CybertruckLaunch</c:v>
                  </c:pt>
                  <c:pt idx="2">
                    <c:v>FSDUpdate</c:v>
                  </c:pt>
                  <c:pt idx="3">
                    <c:v>ModelYCampaign</c:v>
                  </c:pt>
                  <c:pt idx="5">
                    <c:v>notavailable</c:v>
                  </c:pt>
                  <c:pt idx="6">
                    <c:v>SustainabilityDrive</c:v>
                  </c:pt>
                </c:lvl>
              </c:multiLvlStrCache>
            </c:multiLvlStrRef>
          </c:cat>
          <c:val>
            <c:numRef>
              <c:f>'TASK 5'!$B$30:$B$41</c:f>
              <c:numCache>
                <c:formatCode>0</c:formatCode>
                <c:ptCount val="8"/>
                <c:pt idx="0">
                  <c:v>3511.3636363636365</c:v>
                </c:pt>
                <c:pt idx="1">
                  <c:v>4108</c:v>
                </c:pt>
                <c:pt idx="2">
                  <c:v>3874.521739130435</c:v>
                </c:pt>
                <c:pt idx="3">
                  <c:v>3444.6111111111113</c:v>
                </c:pt>
                <c:pt idx="4">
                  <c:v>3506.3333333333335</c:v>
                </c:pt>
                <c:pt idx="5">
                  <c:v>3503.8947368421054</c:v>
                </c:pt>
                <c:pt idx="6">
                  <c:v>3675</c:v>
                </c:pt>
                <c:pt idx="7">
                  <c:v>2399</c:v>
                </c:pt>
              </c:numCache>
            </c:numRef>
          </c:val>
          <c:smooth val="0"/>
          <c:extLst>
            <c:ext xmlns:c16="http://schemas.microsoft.com/office/drawing/2014/chart" uri="{C3380CC4-5D6E-409C-BE32-E72D297353CC}">
              <c16:uniqueId val="{00000000-0863-437C-AEEE-4F2663BF2EB2}"/>
            </c:ext>
          </c:extLst>
        </c:ser>
        <c:dLbls>
          <c:showLegendKey val="0"/>
          <c:showVal val="0"/>
          <c:showCatName val="0"/>
          <c:showSerName val="0"/>
          <c:showPercent val="0"/>
          <c:showBubbleSize val="0"/>
        </c:dLbls>
        <c:marker val="1"/>
        <c:smooth val="0"/>
        <c:axId val="1112748928"/>
        <c:axId val="1112750848"/>
      </c:lineChart>
      <c:catAx>
        <c:axId val="11127489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000"/>
                  <a:t>Campaign timeline</a:t>
                </a:r>
              </a:p>
            </c:rich>
          </c:tx>
          <c:layout>
            <c:manualLayout>
              <c:xMode val="edge"/>
              <c:yMode val="edge"/>
              <c:x val="0.42558423978097271"/>
              <c:y val="0.864465626007275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750848"/>
        <c:crosses val="autoZero"/>
        <c:auto val="1"/>
        <c:lblAlgn val="ctr"/>
        <c:lblOffset val="100"/>
        <c:noMultiLvlLbl val="0"/>
      </c:catAx>
      <c:valAx>
        <c:axId val="11127508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000"/>
                  <a:t>Average Engagement</a:t>
                </a:r>
                <a:r>
                  <a:rPr lang="en-IN" sz="1000" baseline="0"/>
                  <a:t> rate </a:t>
                </a:r>
                <a:endParaRPr lang="en-IN" sz="1000"/>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74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R.O.I</a:t>
            </a:r>
          </a:p>
        </c:rich>
      </c:tx>
      <c:layout>
        <c:manualLayout>
          <c:xMode val="edge"/>
          <c:yMode val="edge"/>
          <c:x val="0.45931233595800525"/>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167716535433068"/>
          <c:y val="0.25606262758821813"/>
          <c:w val="0.43247353455818027"/>
          <c:h val="0.72078922426363379"/>
        </c:manualLayout>
      </c:layout>
      <c:pieChart>
        <c:varyColors val="1"/>
        <c:ser>
          <c:idx val="0"/>
          <c:order val="0"/>
          <c:tx>
            <c:strRef>
              <c:f>'TASK 5'!$B$48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42-4018-9440-4A3E2E2DF5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42-4018-9440-4A3E2E2DF5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42-4018-9440-4A3E2E2DF5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42-4018-9440-4A3E2E2DF5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F42-4018-9440-4A3E2E2DF5D3}"/>
              </c:ext>
            </c:extLst>
          </c:dPt>
          <c:cat>
            <c:strRef>
              <c:f>'TASK 5'!$A$49:$A$53</c:f>
              <c:strCache>
                <c:ptCount val="5"/>
                <c:pt idx="0">
                  <c:v>CybertruckLaunch</c:v>
                </c:pt>
                <c:pt idx="1">
                  <c:v>FSDUpdate</c:v>
                </c:pt>
                <c:pt idx="2">
                  <c:v>ModelYCampaign</c:v>
                </c:pt>
                <c:pt idx="3">
                  <c:v>notavailable</c:v>
                </c:pt>
                <c:pt idx="4">
                  <c:v>SustainabilityDrive</c:v>
                </c:pt>
              </c:strCache>
            </c:strRef>
          </c:cat>
          <c:val>
            <c:numRef>
              <c:f>'TASK 5'!$B$49:$B$53</c:f>
              <c:numCache>
                <c:formatCode>0.00000</c:formatCode>
                <c:ptCount val="5"/>
                <c:pt idx="0">
                  <c:v>2.3740555555555556E-2</c:v>
                </c:pt>
                <c:pt idx="1">
                  <c:v>1.5498086956521736E-2</c:v>
                </c:pt>
                <c:pt idx="2">
                  <c:v>1.7267142857142856E-2</c:v>
                </c:pt>
                <c:pt idx="3">
                  <c:v>#N/A</c:v>
                </c:pt>
                <c:pt idx="4">
                  <c:v>1.9629012345679011E-2</c:v>
                </c:pt>
              </c:numCache>
            </c:numRef>
          </c:val>
          <c:extLst>
            <c:ext xmlns:c16="http://schemas.microsoft.com/office/drawing/2014/chart" uri="{C3380CC4-5D6E-409C-BE32-E72D297353CC}">
              <c16:uniqueId val="{00000000-C427-491B-90AC-899D61401F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5!PivotTable3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Follower Growth by Campaign</a:t>
            </a:r>
          </a:p>
        </c:rich>
      </c:tx>
      <c:layout>
        <c:manualLayout>
          <c:xMode val="edge"/>
          <c:yMode val="edge"/>
          <c:x val="0.2594374453193351"/>
          <c:y val="0.137868183143773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129046369203852"/>
          <c:y val="0.26791447944006996"/>
          <c:w val="0.52537620297462806"/>
          <c:h val="0.6293157626130067"/>
        </c:manualLayout>
      </c:layout>
      <c:bar3DChart>
        <c:barDir val="bar"/>
        <c:grouping val="stacked"/>
        <c:varyColors val="0"/>
        <c:ser>
          <c:idx val="0"/>
          <c:order val="0"/>
          <c:tx>
            <c:strRef>
              <c:f>'TASK 5'!$B$62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5'!$A$63:$A$67</c:f>
              <c:strCache>
                <c:ptCount val="5"/>
                <c:pt idx="0">
                  <c:v>CybertruckLaunch</c:v>
                </c:pt>
                <c:pt idx="1">
                  <c:v>FSDUpdate</c:v>
                </c:pt>
                <c:pt idx="2">
                  <c:v>ModelYCampaign</c:v>
                </c:pt>
                <c:pt idx="3">
                  <c:v>notavailable</c:v>
                </c:pt>
                <c:pt idx="4">
                  <c:v>SustainabilityDrive</c:v>
                </c:pt>
              </c:strCache>
            </c:strRef>
          </c:cat>
          <c:val>
            <c:numRef>
              <c:f>'TASK 5'!$B$63:$B$67</c:f>
              <c:numCache>
                <c:formatCode>0</c:formatCode>
                <c:ptCount val="5"/>
                <c:pt idx="0">
                  <c:v>12024</c:v>
                </c:pt>
                <c:pt idx="1">
                  <c:v>23046</c:v>
                </c:pt>
                <c:pt idx="2">
                  <c:v>21042</c:v>
                </c:pt>
                <c:pt idx="3">
                  <c:v>19038</c:v>
                </c:pt>
                <c:pt idx="4">
                  <c:v>18036</c:v>
                </c:pt>
              </c:numCache>
            </c:numRef>
          </c:val>
          <c:extLst>
            <c:ext xmlns:c16="http://schemas.microsoft.com/office/drawing/2014/chart" uri="{C3380CC4-5D6E-409C-BE32-E72D297353CC}">
              <c16:uniqueId val="{00000000-CA2E-402E-91FD-B8B7ABCCFB70}"/>
            </c:ext>
          </c:extLst>
        </c:ser>
        <c:dLbls>
          <c:showLegendKey val="0"/>
          <c:showVal val="0"/>
          <c:showCatName val="0"/>
          <c:showSerName val="0"/>
          <c:showPercent val="0"/>
          <c:showBubbleSize val="0"/>
        </c:dLbls>
        <c:gapWidth val="150"/>
        <c:shape val="box"/>
        <c:axId val="617499199"/>
        <c:axId val="617507839"/>
        <c:axId val="0"/>
      </c:bar3DChart>
      <c:catAx>
        <c:axId val="61749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507839"/>
        <c:crosses val="autoZero"/>
        <c:auto val="1"/>
        <c:lblAlgn val="ctr"/>
        <c:lblOffset val="100"/>
        <c:noMultiLvlLbl val="0"/>
      </c:catAx>
      <c:valAx>
        <c:axId val="617507839"/>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49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6!PivotTable4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Follower Growth</a:t>
            </a:r>
            <a:r>
              <a:rPr lang="en-US" baseline="0"/>
              <a:t> by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'TASK 6'!$A$4:$A$45</c:f>
              <c:strCache>
                <c:ptCount val="42"/>
                <c:pt idx="0">
                  <c:v>1</c:v>
                </c:pt>
                <c:pt idx="1">
                  <c:v>2</c:v>
                </c:pt>
                <c:pt idx="2">
                  <c:v>3</c:v>
                </c:pt>
                <c:pt idx="3">
                  <c:v>4</c:v>
                </c:pt>
                <c:pt idx="4">
                  <c:v>5</c:v>
                </c:pt>
                <c:pt idx="5">
                  <c:v>6</c:v>
                </c:pt>
                <c:pt idx="6">
                  <c:v>7</c:v>
                </c:pt>
                <c:pt idx="7">
                  <c:v>8</c:v>
                </c:pt>
                <c:pt idx="8">
                  <c:v>9</c:v>
                </c:pt>
                <c:pt idx="9">
                  <c:v>10</c:v>
                </c:pt>
                <c:pt idx="10">
                  <c:v>11</c:v>
                </c:pt>
                <c:pt idx="11">
                  <c:v>13</c:v>
                </c:pt>
                <c:pt idx="12">
                  <c:v>14</c:v>
                </c:pt>
                <c:pt idx="13">
                  <c:v>15</c:v>
                </c:pt>
                <c:pt idx="14">
                  <c:v>17</c:v>
                </c:pt>
                <c:pt idx="15">
                  <c:v>18</c:v>
                </c:pt>
                <c:pt idx="16">
                  <c:v>19</c:v>
                </c:pt>
                <c:pt idx="17">
                  <c:v>20</c:v>
                </c:pt>
                <c:pt idx="18">
                  <c:v>22</c:v>
                </c:pt>
                <c:pt idx="19">
                  <c:v>23</c:v>
                </c:pt>
                <c:pt idx="20">
                  <c:v>24</c:v>
                </c:pt>
                <c:pt idx="21">
                  <c:v>25</c:v>
                </c:pt>
                <c:pt idx="22">
                  <c:v>28</c:v>
                </c:pt>
                <c:pt idx="23">
                  <c:v>29</c:v>
                </c:pt>
                <c:pt idx="24">
                  <c:v>30</c:v>
                </c:pt>
                <c:pt idx="25">
                  <c:v>31</c:v>
                </c:pt>
                <c:pt idx="26">
                  <c:v>32</c:v>
                </c:pt>
                <c:pt idx="27">
                  <c:v>33</c:v>
                </c:pt>
                <c:pt idx="28">
                  <c:v>34</c:v>
                </c:pt>
                <c:pt idx="29">
                  <c:v>35</c:v>
                </c:pt>
                <c:pt idx="30">
                  <c:v>41</c:v>
                </c:pt>
                <c:pt idx="31">
                  <c:v>42</c:v>
                </c:pt>
                <c:pt idx="32">
                  <c:v>43</c:v>
                </c:pt>
                <c:pt idx="33">
                  <c:v>44</c:v>
                </c:pt>
                <c:pt idx="34">
                  <c:v>45</c:v>
                </c:pt>
                <c:pt idx="35">
                  <c:v>46</c:v>
                </c:pt>
                <c:pt idx="36">
                  <c:v>47</c:v>
                </c:pt>
                <c:pt idx="37">
                  <c:v>48</c:v>
                </c:pt>
                <c:pt idx="38">
                  <c:v>49</c:v>
                </c:pt>
                <c:pt idx="39">
                  <c:v>50</c:v>
                </c:pt>
                <c:pt idx="40">
                  <c:v>51</c:v>
                </c:pt>
                <c:pt idx="41">
                  <c:v>52</c:v>
                </c:pt>
              </c:strCache>
            </c:strRef>
          </c:cat>
          <c:val>
            <c:numRef>
              <c:f>'TASK 6'!$B$4:$B$45</c:f>
              <c:numCache>
                <c:formatCode>General</c:formatCode>
                <c:ptCount val="42"/>
                <c:pt idx="0">
                  <c:v>1002</c:v>
                </c:pt>
                <c:pt idx="1">
                  <c:v>1002</c:v>
                </c:pt>
                <c:pt idx="2">
                  <c:v>1002</c:v>
                </c:pt>
                <c:pt idx="3">
                  <c:v>1002</c:v>
                </c:pt>
                <c:pt idx="4">
                  <c:v>1002</c:v>
                </c:pt>
                <c:pt idx="5">
                  <c:v>1002</c:v>
                </c:pt>
                <c:pt idx="6">
                  <c:v>1002</c:v>
                </c:pt>
                <c:pt idx="7">
                  <c:v>1002</c:v>
                </c:pt>
                <c:pt idx="8">
                  <c:v>1002</c:v>
                </c:pt>
                <c:pt idx="9">
                  <c:v>1002</c:v>
                </c:pt>
                <c:pt idx="10">
                  <c:v>1002</c:v>
                </c:pt>
                <c:pt idx="11">
                  <c:v>1002</c:v>
                </c:pt>
                <c:pt idx="12">
                  <c:v>1002</c:v>
                </c:pt>
                <c:pt idx="13">
                  <c:v>1002</c:v>
                </c:pt>
                <c:pt idx="14">
                  <c:v>1002</c:v>
                </c:pt>
                <c:pt idx="15">
                  <c:v>1002</c:v>
                </c:pt>
                <c:pt idx="16">
                  <c:v>1002</c:v>
                </c:pt>
                <c:pt idx="17">
                  <c:v>1002</c:v>
                </c:pt>
                <c:pt idx="18">
                  <c:v>1002</c:v>
                </c:pt>
                <c:pt idx="19">
                  <c:v>1002</c:v>
                </c:pt>
                <c:pt idx="20">
                  <c:v>1002</c:v>
                </c:pt>
                <c:pt idx="21">
                  <c:v>1002</c:v>
                </c:pt>
                <c:pt idx="22">
                  <c:v>1002</c:v>
                </c:pt>
                <c:pt idx="23">
                  <c:v>1002</c:v>
                </c:pt>
                <c:pt idx="24">
                  <c:v>1002</c:v>
                </c:pt>
                <c:pt idx="25">
                  <c:v>1002</c:v>
                </c:pt>
                <c:pt idx="26">
                  <c:v>1002</c:v>
                </c:pt>
                <c:pt idx="27">
                  <c:v>1002</c:v>
                </c:pt>
                <c:pt idx="28">
                  <c:v>1002</c:v>
                </c:pt>
                <c:pt idx="29">
                  <c:v>1002</c:v>
                </c:pt>
                <c:pt idx="30">
                  <c:v>1002</c:v>
                </c:pt>
                <c:pt idx="31">
                  <c:v>1002</c:v>
                </c:pt>
                <c:pt idx="32">
                  <c:v>1002</c:v>
                </c:pt>
                <c:pt idx="33">
                  <c:v>1002</c:v>
                </c:pt>
                <c:pt idx="34">
                  <c:v>1002</c:v>
                </c:pt>
                <c:pt idx="35">
                  <c:v>1002</c:v>
                </c:pt>
                <c:pt idx="36">
                  <c:v>1002</c:v>
                </c:pt>
                <c:pt idx="37">
                  <c:v>1002</c:v>
                </c:pt>
                <c:pt idx="38">
                  <c:v>1002</c:v>
                </c:pt>
                <c:pt idx="39">
                  <c:v>1002</c:v>
                </c:pt>
                <c:pt idx="40">
                  <c:v>1002</c:v>
                </c:pt>
                <c:pt idx="41">
                  <c:v>1002</c:v>
                </c:pt>
              </c:numCache>
            </c:numRef>
          </c:val>
          <c:smooth val="0"/>
          <c:extLst>
            <c:ext xmlns:c16="http://schemas.microsoft.com/office/drawing/2014/chart" uri="{C3380CC4-5D6E-409C-BE32-E72D297353CC}">
              <c16:uniqueId val="{00000000-770A-4786-A055-FF8AF2AB9475}"/>
            </c:ext>
          </c:extLst>
        </c:ser>
        <c:dLbls>
          <c:showLegendKey val="0"/>
          <c:showVal val="0"/>
          <c:showCatName val="0"/>
          <c:showSerName val="0"/>
          <c:showPercent val="0"/>
          <c:showBubbleSize val="0"/>
        </c:dLbls>
        <c:marker val="1"/>
        <c:smooth val="0"/>
        <c:axId val="294758063"/>
        <c:axId val="294758543"/>
      </c:lineChart>
      <c:catAx>
        <c:axId val="294758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94758543"/>
        <c:crosses val="autoZero"/>
        <c:auto val="1"/>
        <c:lblAlgn val="ctr"/>
        <c:lblOffset val="100"/>
        <c:noMultiLvlLbl val="0"/>
      </c:catAx>
      <c:valAx>
        <c:axId val="294758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75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6!PivotTable5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 Follower Growth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46130740877606E-2"/>
          <c:y val="0.20173308693556163"/>
          <c:w val="0.84956223883566906"/>
          <c:h val="0.69357464245540734"/>
        </c:manualLayout>
      </c:layout>
      <c:lineChart>
        <c:grouping val="standard"/>
        <c:varyColors val="0"/>
        <c:ser>
          <c:idx val="0"/>
          <c:order val="0"/>
          <c:tx>
            <c:strRef>
              <c:f>'TASK 6'!$D$64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'TASK 6'!$C$65:$C$114</c:f>
              <c:strCache>
                <c:ptCount val="50"/>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pt idx="49">
                  <c:v>53</c:v>
                </c:pt>
              </c:strCache>
            </c:strRef>
          </c:cat>
          <c:val>
            <c:numRef>
              <c:f>'TASK 6'!$D$65:$D$114</c:f>
              <c:numCache>
                <c:formatCode>0</c:formatCode>
                <c:ptCount val="50"/>
                <c:pt idx="0">
                  <c:v>889.25</c:v>
                </c:pt>
                <c:pt idx="1">
                  <c:v>694.25</c:v>
                </c:pt>
                <c:pt idx="2">
                  <c:v>903.5</c:v>
                </c:pt>
                <c:pt idx="3">
                  <c:v>845.75</c:v>
                </c:pt>
                <c:pt idx="4">
                  <c:v>548.5</c:v>
                </c:pt>
                <c:pt idx="5">
                  <c:v>1320.25</c:v>
                </c:pt>
                <c:pt idx="6">
                  <c:v>923.25</c:v>
                </c:pt>
                <c:pt idx="7">
                  <c:v>1201.5</c:v>
                </c:pt>
                <c:pt idx="8">
                  <c:v>602.5</c:v>
                </c:pt>
                <c:pt idx="9">
                  <c:v>928</c:v>
                </c:pt>
                <c:pt idx="10">
                  <c:v>1010.5</c:v>
                </c:pt>
                <c:pt idx="11">
                  <c:v>404</c:v>
                </c:pt>
                <c:pt idx="12">
                  <c:v>1074.5</c:v>
                </c:pt>
                <c:pt idx="13">
                  <c:v>603</c:v>
                </c:pt>
                <c:pt idx="14">
                  <c:v>-34.25</c:v>
                </c:pt>
                <c:pt idx="15">
                  <c:v>1010</c:v>
                </c:pt>
                <c:pt idx="16">
                  <c:v>894.25</c:v>
                </c:pt>
                <c:pt idx="17">
                  <c:v>1148.5</c:v>
                </c:pt>
                <c:pt idx="18">
                  <c:v>498.75</c:v>
                </c:pt>
                <c:pt idx="19">
                  <c:v>888.5</c:v>
                </c:pt>
                <c:pt idx="20">
                  <c:v>745</c:v>
                </c:pt>
                <c:pt idx="21">
                  <c:v>976.75</c:v>
                </c:pt>
                <c:pt idx="22">
                  <c:v>752.75</c:v>
                </c:pt>
                <c:pt idx="23">
                  <c:v>323.25</c:v>
                </c:pt>
                <c:pt idx="24">
                  <c:v>760.5</c:v>
                </c:pt>
                <c:pt idx="25">
                  <c:v>567.5</c:v>
                </c:pt>
                <c:pt idx="26">
                  <c:v>688.25</c:v>
                </c:pt>
                <c:pt idx="27">
                  <c:v>548.25</c:v>
                </c:pt>
                <c:pt idx="28">
                  <c:v>200.5</c:v>
                </c:pt>
                <c:pt idx="29">
                  <c:v>932</c:v>
                </c:pt>
                <c:pt idx="30">
                  <c:v>747.25</c:v>
                </c:pt>
                <c:pt idx="31">
                  <c:v>725.75</c:v>
                </c:pt>
                <c:pt idx="32">
                  <c:v>705.5</c:v>
                </c:pt>
                <c:pt idx="33">
                  <c:v>1090</c:v>
                </c:pt>
                <c:pt idx="34">
                  <c:v>392</c:v>
                </c:pt>
                <c:pt idx="35">
                  <c:v>833.25</c:v>
                </c:pt>
                <c:pt idx="36">
                  <c:v>787.75</c:v>
                </c:pt>
                <c:pt idx="37">
                  <c:v>939.75</c:v>
                </c:pt>
                <c:pt idx="38">
                  <c:v>464</c:v>
                </c:pt>
                <c:pt idx="39">
                  <c:v>705.25</c:v>
                </c:pt>
                <c:pt idx="40">
                  <c:v>664</c:v>
                </c:pt>
                <c:pt idx="41">
                  <c:v>1146</c:v>
                </c:pt>
                <c:pt idx="42">
                  <c:v>573.75</c:v>
                </c:pt>
                <c:pt idx="43">
                  <c:v>132</c:v>
                </c:pt>
                <c:pt idx="44">
                  <c:v>1002</c:v>
                </c:pt>
                <c:pt idx="45">
                  <c:v>1198.75</c:v>
                </c:pt>
                <c:pt idx="46">
                  <c:v>1198</c:v>
                </c:pt>
                <c:pt idx="47">
                  <c:v>1261</c:v>
                </c:pt>
                <c:pt idx="48">
                  <c:v>978.5</c:v>
                </c:pt>
                <c:pt idx="49">
                  <c:v>1632.5</c:v>
                </c:pt>
              </c:numCache>
            </c:numRef>
          </c:val>
          <c:smooth val="0"/>
          <c:extLst>
            <c:ext xmlns:c16="http://schemas.microsoft.com/office/drawing/2014/chart" uri="{C3380CC4-5D6E-409C-BE32-E72D297353CC}">
              <c16:uniqueId val="{00000000-E61F-4ACA-B8A4-D2405C53B974}"/>
            </c:ext>
          </c:extLst>
        </c:ser>
        <c:dLbls>
          <c:showLegendKey val="0"/>
          <c:showVal val="0"/>
          <c:showCatName val="0"/>
          <c:showSerName val="0"/>
          <c:showPercent val="0"/>
          <c:showBubbleSize val="0"/>
        </c:dLbls>
        <c:marker val="1"/>
        <c:smooth val="0"/>
        <c:axId val="1115716896"/>
        <c:axId val="272136560"/>
      </c:lineChart>
      <c:catAx>
        <c:axId val="11157168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272136560"/>
        <c:crosses val="autoZero"/>
        <c:auto val="1"/>
        <c:lblAlgn val="ctr"/>
        <c:lblOffset val="100"/>
        <c:noMultiLvlLbl val="0"/>
      </c:catAx>
      <c:valAx>
        <c:axId val="2721365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11571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Ad Spend Vs Follower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0"/>
              <c:tx>
                <c:rich>
                  <a:bodyPr/>
                  <a:lstStyle/>
                  <a:p>
                    <a:fld id="{0E18FA91-F17D-467A-8B11-C326660A916C}" type="CELLRANGE">
                      <a:rPr lang="en-US"/>
                      <a:pPr/>
                      <a:t>[CELLRANGE]</a:t>
                    </a:fld>
                    <a:r>
                      <a:rPr lang="en-US" baseline="0"/>
                      <a:t>, </a:t>
                    </a:r>
                    <a:fld id="{9DB1542B-B9ED-4E47-AC70-9F8473D84E2A}" type="YVALUE">
                      <a:rPr lang="en-US" baseline="0"/>
                      <a:pPr/>
                      <a:t>[Y VALUE]</a:t>
                    </a:fld>
                    <a:endParaRPr lang="en-US" baseline="0"/>
                  </a:p>
                </c:rich>
              </c:tx>
              <c:dLblPos val="l"/>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224-42CF-982D-3431A4222EF7}"/>
                </c:ext>
              </c:extLst>
            </c:dLbl>
            <c:dLbl>
              <c:idx val="1"/>
              <c:tx>
                <c:rich>
                  <a:bodyPr/>
                  <a:lstStyle/>
                  <a:p>
                    <a:fld id="{D3883B1C-B310-4FAE-96D0-4B0792239175}" type="CELLRANGE">
                      <a:rPr lang="en-US"/>
                      <a:pPr/>
                      <a:t>[CELLRANGE]</a:t>
                    </a:fld>
                    <a:r>
                      <a:rPr lang="en-US" baseline="0"/>
                      <a:t>, </a:t>
                    </a:r>
                    <a:fld id="{A0954FF1-DD6F-4405-B8C8-B18258C3B977}" type="YVALUE">
                      <a:rPr lang="en-US" baseline="0"/>
                      <a:pPr/>
                      <a:t>[Y VALUE]</a:t>
                    </a:fld>
                    <a:endParaRPr lang="en-US" baseline="0"/>
                  </a:p>
                </c:rich>
              </c:tx>
              <c:dLblPos val="l"/>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224-42CF-982D-3431A4222EF7}"/>
                </c:ext>
              </c:extLst>
            </c:dLbl>
            <c:dLbl>
              <c:idx val="2"/>
              <c:tx>
                <c:rich>
                  <a:bodyPr/>
                  <a:lstStyle/>
                  <a:p>
                    <a:fld id="{2038814D-A219-4157-8B18-9AC065B4833E}" type="CELLRANGE">
                      <a:rPr lang="en-US"/>
                      <a:pPr/>
                      <a:t>[CELLRANGE]</a:t>
                    </a:fld>
                    <a:r>
                      <a:rPr lang="en-US" baseline="0"/>
                      <a:t>, </a:t>
                    </a:r>
                    <a:fld id="{0E4763D3-215F-4F06-851B-8AAB0C3EB7B2}" type="YVALUE">
                      <a:rPr lang="en-US" baseline="0"/>
                      <a:pPr/>
                      <a:t>[Y VALUE]</a:t>
                    </a:fld>
                    <a:endParaRPr lang="en-US" baseline="0"/>
                  </a:p>
                </c:rich>
              </c:tx>
              <c:dLblPos val="l"/>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224-42CF-982D-3431A4222EF7}"/>
                </c:ext>
              </c:extLst>
            </c:dLbl>
            <c:dLbl>
              <c:idx val="3"/>
              <c:tx>
                <c:rich>
                  <a:bodyPr/>
                  <a:lstStyle/>
                  <a:p>
                    <a:fld id="{EB7724E0-26D1-4229-AC77-06E600BA7165}" type="CELLRANGE">
                      <a:rPr lang="en-US"/>
                      <a:pPr/>
                      <a:t>[CELLRANGE]</a:t>
                    </a:fld>
                    <a:r>
                      <a:rPr lang="en-US" baseline="0"/>
                      <a:t>, </a:t>
                    </a:r>
                    <a:fld id="{6E1B5C7A-5B4A-4C79-B73F-6893A70AAF02}" type="YVALUE">
                      <a:rPr lang="en-US" baseline="0"/>
                      <a:pPr/>
                      <a:t>[Y VALUE]</a:t>
                    </a:fld>
                    <a:endParaRPr lang="en-US" baseline="0"/>
                  </a:p>
                </c:rich>
              </c:tx>
              <c:dLblPos val="l"/>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224-42CF-982D-3431A4222E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50000"/>
                        </a:schemeClr>
                      </a:solidFill>
                      <a:round/>
                    </a:ln>
                    <a:effectLst/>
                  </c:spPr>
                </c15:leaderLines>
              </c:ext>
            </c:extLst>
          </c:dLbls>
          <c:xVal>
            <c:numRef>
              <c:f>'TASK 6'!$E$121:$E$124</c:f>
              <c:numCache>
                <c:formatCode>General</c:formatCode>
                <c:ptCount val="4"/>
                <c:pt idx="0">
                  <c:v>35557</c:v>
                </c:pt>
                <c:pt idx="1">
                  <c:v>48004</c:v>
                </c:pt>
                <c:pt idx="2">
                  <c:v>41177</c:v>
                </c:pt>
                <c:pt idx="3">
                  <c:v>35367</c:v>
                </c:pt>
              </c:numCache>
            </c:numRef>
          </c:xVal>
          <c:yVal>
            <c:numRef>
              <c:f>'TASK 6'!$D$121:$D$124</c:f>
              <c:numCache>
                <c:formatCode>_-[$$-409]* #,##0_ ;_-[$$-409]* \-#,##0\ ;_-[$$-409]* "-"??_ ;_-@_ </c:formatCode>
                <c:ptCount val="4"/>
                <c:pt idx="0">
                  <c:v>1379539</c:v>
                </c:pt>
                <c:pt idx="1">
                  <c:v>1164373</c:v>
                </c:pt>
                <c:pt idx="2">
                  <c:v>1060357</c:v>
                </c:pt>
                <c:pt idx="3">
                  <c:v>1228647</c:v>
                </c:pt>
              </c:numCache>
            </c:numRef>
          </c:yVal>
          <c:smooth val="1"/>
          <c:extLst>
            <c:ext xmlns:c15="http://schemas.microsoft.com/office/drawing/2012/chart" uri="{02D57815-91ED-43cb-92C2-25804820EDAC}">
              <c15:datalabelsRange>
                <c15:f>'TASK 6'!$C$121:$C$124</c15:f>
                <c15:dlblRangeCache>
                  <c:ptCount val="4"/>
                  <c:pt idx="0">
                    <c:v>Facebook</c:v>
                  </c:pt>
                  <c:pt idx="1">
                    <c:v>Instagram</c:v>
                  </c:pt>
                  <c:pt idx="2">
                    <c:v>Twitter</c:v>
                  </c:pt>
                  <c:pt idx="3">
                    <c:v>YouTube</c:v>
                  </c:pt>
                </c15:dlblRangeCache>
              </c15:datalabelsRange>
            </c:ext>
            <c:ext xmlns:c16="http://schemas.microsoft.com/office/drawing/2014/chart" uri="{C3380CC4-5D6E-409C-BE32-E72D297353CC}">
              <c16:uniqueId val="{00000000-A224-42CF-982D-3431A4222EF7}"/>
            </c:ext>
          </c:extLst>
        </c:ser>
        <c:dLbls>
          <c:dLblPos val="t"/>
          <c:showLegendKey val="0"/>
          <c:showVal val="1"/>
          <c:showCatName val="0"/>
          <c:showSerName val="0"/>
          <c:showPercent val="0"/>
          <c:showBubbleSize val="0"/>
        </c:dLbls>
        <c:axId val="2144966175"/>
        <c:axId val="2144965215"/>
      </c:scatterChart>
      <c:valAx>
        <c:axId val="214496617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Net</a:t>
                </a:r>
                <a:r>
                  <a:rPr lang="en-IN" baseline="0"/>
                  <a:t> Follower</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4965215"/>
        <c:crosses val="autoZero"/>
        <c:crossBetween val="midCat"/>
      </c:valAx>
      <c:valAx>
        <c:axId val="214496521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AD</a:t>
                </a:r>
                <a:r>
                  <a:rPr lang="en-US" baseline="0"/>
                  <a:t> Spend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49661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2!PivotTable5</c:name>
    <c:fmtId val="4"/>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Average Engagement Rate per Platform</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2'!$A$4</c:f>
              <c:strCache>
                <c:ptCount val="1"/>
                <c:pt idx="0">
                  <c:v>Facebook</c:v>
                </c:pt>
              </c:strCache>
            </c:strRef>
          </c:cat>
          <c:val>
            <c:numRef>
              <c:f>'TASK 2'!$B$4</c:f>
              <c:numCache>
                <c:formatCode>0%</c:formatCode>
                <c:ptCount val="1"/>
                <c:pt idx="0">
                  <c:v>0.12094203382654937</c:v>
                </c:pt>
              </c:numCache>
            </c:numRef>
          </c:val>
          <c:extLst>
            <c:ext xmlns:c16="http://schemas.microsoft.com/office/drawing/2014/chart" uri="{C3380CC4-5D6E-409C-BE32-E72D297353CC}">
              <c16:uniqueId val="{00000000-F6CD-4614-ADC6-F4AAF464D591}"/>
            </c:ext>
          </c:extLst>
        </c:ser>
        <c:dLbls>
          <c:showLegendKey val="0"/>
          <c:showVal val="0"/>
          <c:showCatName val="0"/>
          <c:showSerName val="0"/>
          <c:showPercent val="0"/>
          <c:showBubbleSize val="0"/>
        </c:dLbls>
        <c:gapWidth val="100"/>
        <c:overlap val="-24"/>
        <c:axId val="1162317167"/>
        <c:axId val="1162318607"/>
      </c:barChart>
      <c:catAx>
        <c:axId val="1162317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162318607"/>
        <c:crosses val="autoZero"/>
        <c:auto val="1"/>
        <c:lblAlgn val="ctr"/>
        <c:lblOffset val="100"/>
        <c:noMultiLvlLbl val="0"/>
      </c:catAx>
      <c:valAx>
        <c:axId val="1162318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16231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2!PivotTable6</c:name>
    <c:fmtId val="13"/>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Most</a:t>
            </a:r>
            <a:r>
              <a:rPr lang="en-US" sz="2800" baseline="0"/>
              <a:t> Viral Posts</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'TASK 2'!$B$13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1"/>
            <c:invertIfNegative val="0"/>
            <c:bubble3D val="0"/>
            <c:extLst>
              <c:ext xmlns:c16="http://schemas.microsoft.com/office/drawing/2014/chart" uri="{C3380CC4-5D6E-409C-BE32-E72D297353CC}">
                <c16:uniqueId val="{00000001-7B12-45DB-98E5-5FCD239357BB}"/>
              </c:ext>
            </c:extLst>
          </c:dPt>
          <c:cat>
            <c:strRef>
              <c:f>'TASK 2'!$A$14:$A$23</c:f>
              <c:strCache>
                <c:ptCount val="10"/>
                <c:pt idx="0">
                  <c:v>P247</c:v>
                </c:pt>
                <c:pt idx="1">
                  <c:v>P257</c:v>
                </c:pt>
                <c:pt idx="2">
                  <c:v>P215</c:v>
                </c:pt>
                <c:pt idx="3">
                  <c:v>P217</c:v>
                </c:pt>
                <c:pt idx="4">
                  <c:v>P140</c:v>
                </c:pt>
                <c:pt idx="5">
                  <c:v>P222</c:v>
                </c:pt>
                <c:pt idx="6">
                  <c:v>P152</c:v>
                </c:pt>
                <c:pt idx="7">
                  <c:v>P118</c:v>
                </c:pt>
                <c:pt idx="8">
                  <c:v>P067</c:v>
                </c:pt>
                <c:pt idx="9">
                  <c:v>P241</c:v>
                </c:pt>
              </c:strCache>
            </c:strRef>
          </c:cat>
          <c:val>
            <c:numRef>
              <c:f>'TASK 2'!$B$14:$B$23</c:f>
              <c:numCache>
                <c:formatCode>General</c:formatCode>
                <c:ptCount val="10"/>
                <c:pt idx="0">
                  <c:v>12702</c:v>
                </c:pt>
                <c:pt idx="1">
                  <c:v>11853</c:v>
                </c:pt>
                <c:pt idx="2">
                  <c:v>5973</c:v>
                </c:pt>
                <c:pt idx="3">
                  <c:v>5767</c:v>
                </c:pt>
                <c:pt idx="4">
                  <c:v>5708</c:v>
                </c:pt>
                <c:pt idx="5">
                  <c:v>5660</c:v>
                </c:pt>
                <c:pt idx="6">
                  <c:v>5624</c:v>
                </c:pt>
                <c:pt idx="7">
                  <c:v>5472</c:v>
                </c:pt>
                <c:pt idx="8">
                  <c:v>5407</c:v>
                </c:pt>
                <c:pt idx="9">
                  <c:v>5367</c:v>
                </c:pt>
              </c:numCache>
            </c:numRef>
          </c:val>
          <c:extLst>
            <c:ext xmlns:c16="http://schemas.microsoft.com/office/drawing/2014/chart" uri="{C3380CC4-5D6E-409C-BE32-E72D297353CC}">
              <c16:uniqueId val="{00000000-7B12-45DB-98E5-5FCD239357BB}"/>
            </c:ext>
          </c:extLst>
        </c:ser>
        <c:dLbls>
          <c:showLegendKey val="0"/>
          <c:showVal val="0"/>
          <c:showCatName val="0"/>
          <c:showSerName val="0"/>
          <c:showPercent val="0"/>
          <c:showBubbleSize val="0"/>
        </c:dLbls>
        <c:gapWidth val="150"/>
        <c:shape val="box"/>
        <c:axId val="1168321727"/>
        <c:axId val="1168322207"/>
        <c:axId val="0"/>
      </c:bar3DChart>
      <c:catAx>
        <c:axId val="116832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168322207"/>
        <c:crosses val="autoZero"/>
        <c:auto val="1"/>
        <c:lblAlgn val="ctr"/>
        <c:lblOffset val="100"/>
        <c:noMultiLvlLbl val="0"/>
      </c:catAx>
      <c:valAx>
        <c:axId val="116832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1683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3!PivotTable9</c:name>
    <c:fmtId val="4"/>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Popularity</a:t>
            </a:r>
            <a:r>
              <a:rPr lang="en-US" sz="2800" baseline="0"/>
              <a:t> of Platforms</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3'!$A$5</c:f>
              <c:strCache>
                <c:ptCount val="1"/>
                <c:pt idx="0">
                  <c:v>Facebook</c:v>
                </c:pt>
              </c:strCache>
            </c:strRef>
          </c:cat>
          <c:val>
            <c:numRef>
              <c:f>'TASK 3'!$B$5</c:f>
              <c:numCache>
                <c:formatCode>General</c:formatCode>
                <c:ptCount val="1"/>
                <c:pt idx="0">
                  <c:v>334541</c:v>
                </c:pt>
              </c:numCache>
            </c:numRef>
          </c:val>
          <c:extLst>
            <c:ext xmlns:c16="http://schemas.microsoft.com/office/drawing/2014/chart" uri="{C3380CC4-5D6E-409C-BE32-E72D297353CC}">
              <c16:uniqueId val="{00000000-3C18-48F3-8A5A-F5E4487EE138}"/>
            </c:ext>
          </c:extLst>
        </c:ser>
        <c:dLbls>
          <c:showLegendKey val="0"/>
          <c:showVal val="0"/>
          <c:showCatName val="0"/>
          <c:showSerName val="0"/>
          <c:showPercent val="0"/>
          <c:showBubbleSize val="0"/>
        </c:dLbls>
        <c:gapWidth val="100"/>
        <c:overlap val="-24"/>
        <c:axId val="76102656"/>
        <c:axId val="76101696"/>
      </c:barChart>
      <c:catAx>
        <c:axId val="76102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crossAx val="76101696"/>
        <c:crosses val="autoZero"/>
        <c:auto val="1"/>
        <c:lblAlgn val="ctr"/>
        <c:lblOffset val="100"/>
        <c:noMultiLvlLbl val="0"/>
      </c:catAx>
      <c:valAx>
        <c:axId val="7610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7610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2!PivotTable12</c:name>
    <c:fmtId val="5"/>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a:t>Engagement By Platform and Content Type</a:t>
            </a:r>
          </a:p>
        </c:rich>
      </c:tx>
      <c:layout>
        <c:manualLayout>
          <c:xMode val="edge"/>
          <c:yMode val="edge"/>
          <c:x val="0.21570486864631122"/>
          <c:y val="3.5336657083489501E-2"/>
        </c:manualLayout>
      </c:layout>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2'!$B$80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'TASK 2'!$A$81:$A$87</c:f>
              <c:multiLvlStrCache>
                <c:ptCount val="6"/>
                <c:lvl>
                  <c:pt idx="0">
                    <c:v>Carousel</c:v>
                  </c:pt>
                  <c:pt idx="1">
                    <c:v>Image</c:v>
                  </c:pt>
                  <c:pt idx="2">
                    <c:v>Reel</c:v>
                  </c:pt>
                  <c:pt idx="3">
                    <c:v>Story</c:v>
                  </c:pt>
                  <c:pt idx="4">
                    <c:v>Text</c:v>
                  </c:pt>
                  <c:pt idx="5">
                    <c:v>Video</c:v>
                  </c:pt>
                </c:lvl>
                <c:lvl>
                  <c:pt idx="0">
                    <c:v>Facebook</c:v>
                  </c:pt>
                </c:lvl>
              </c:multiLvlStrCache>
            </c:multiLvlStrRef>
          </c:cat>
          <c:val>
            <c:numRef>
              <c:f>'TASK 2'!$B$81:$B$87</c:f>
              <c:numCache>
                <c:formatCode>0</c:formatCode>
                <c:ptCount val="6"/>
                <c:pt idx="0">
                  <c:v>4033.2142857142858</c:v>
                </c:pt>
                <c:pt idx="1">
                  <c:v>3634.1785714285716</c:v>
                </c:pt>
                <c:pt idx="2">
                  <c:v>4070.2142857142858</c:v>
                </c:pt>
                <c:pt idx="3">
                  <c:v>3416.181818181818</c:v>
                </c:pt>
                <c:pt idx="4">
                  <c:v>2806.75</c:v>
                </c:pt>
                <c:pt idx="5">
                  <c:v>3685</c:v>
                </c:pt>
              </c:numCache>
            </c:numRef>
          </c:val>
          <c:extLst>
            <c:ext xmlns:c16="http://schemas.microsoft.com/office/drawing/2014/chart" uri="{C3380CC4-5D6E-409C-BE32-E72D297353CC}">
              <c16:uniqueId val="{00000000-BCCB-411D-A50E-C78203524AAF}"/>
            </c:ext>
          </c:extLst>
        </c:ser>
        <c:dLbls>
          <c:showLegendKey val="0"/>
          <c:showVal val="0"/>
          <c:showCatName val="0"/>
          <c:showSerName val="0"/>
          <c:showPercent val="0"/>
          <c:showBubbleSize val="0"/>
        </c:dLbls>
        <c:gapWidth val="150"/>
        <c:overlap val="100"/>
        <c:axId val="715294159"/>
        <c:axId val="715277839"/>
      </c:barChart>
      <c:catAx>
        <c:axId val="7152941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715277839"/>
        <c:crosses val="autoZero"/>
        <c:auto val="1"/>
        <c:lblAlgn val="ctr"/>
        <c:lblOffset val="100"/>
        <c:noMultiLvlLbl val="0"/>
      </c:catAx>
      <c:valAx>
        <c:axId val="715277839"/>
        <c:scaling>
          <c:orientation val="minMax"/>
        </c:scaling>
        <c:delete val="1"/>
        <c:axPos val="b"/>
        <c:numFmt formatCode="0" sourceLinked="1"/>
        <c:majorTickMark val="none"/>
        <c:minorTickMark val="none"/>
        <c:tickLblPos val="nextTo"/>
        <c:crossAx val="71529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2!PivotTable8</c:name>
    <c:fmtId val="21"/>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Best</a:t>
            </a:r>
            <a:r>
              <a:rPr lang="en-US" sz="2800" baseline="0"/>
              <a:t> Performing Hashtags</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'TASK 2'!$B$62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C7-47D3-B780-AE1C4A7EAC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C7-47D3-B780-AE1C4A7EACA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C7-47D3-B780-AE1C4A7EACA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AC7-47D3-B780-AE1C4A7EACA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AC7-47D3-B780-AE1C4A7EACA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AC7-47D3-B780-AE1C4A7EAC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2'!$A$63:$A$68</c:f>
              <c:strCache>
                <c:ptCount val="6"/>
                <c:pt idx="0">
                  <c:v>#AnytimeIsTeslaTime</c:v>
                </c:pt>
                <c:pt idx="1">
                  <c:v>#FutureOfDriving</c:v>
                </c:pt>
                <c:pt idx="2">
                  <c:v>#EVRevolution</c:v>
                </c:pt>
                <c:pt idx="3">
                  <c:v>#TeslaCoInnovation</c:v>
                </c:pt>
                <c:pt idx="4">
                  <c:v>#BetterWithTesla</c:v>
                </c:pt>
                <c:pt idx="5">
                  <c:v>#SmoothLikeNitroTesla</c:v>
                </c:pt>
              </c:strCache>
            </c:strRef>
          </c:cat>
          <c:val>
            <c:numRef>
              <c:f>'TASK 2'!$B$63:$B$68</c:f>
              <c:numCache>
                <c:formatCode>0.00</c:formatCode>
                <c:ptCount val="6"/>
                <c:pt idx="0">
                  <c:v>219</c:v>
                </c:pt>
                <c:pt idx="1">
                  <c:v>158.41379310344828</c:v>
                </c:pt>
                <c:pt idx="2">
                  <c:v>145.03571428571428</c:v>
                </c:pt>
                <c:pt idx="3">
                  <c:v>136.41379310344828</c:v>
                </c:pt>
                <c:pt idx="4">
                  <c:v>116.5</c:v>
                </c:pt>
                <c:pt idx="5">
                  <c:v>24.5</c:v>
                </c:pt>
              </c:numCache>
            </c:numRef>
          </c:val>
          <c:extLst>
            <c:ext xmlns:c16="http://schemas.microsoft.com/office/drawing/2014/chart" uri="{C3380CC4-5D6E-409C-BE32-E72D297353CC}">
              <c16:uniqueId val="{0000000C-3AC7-47D3-B780-AE1C4A7EACA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3!PivotTable11</c:name>
    <c:fmtId val="4"/>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a:t>Average Engagement</a:t>
            </a:r>
            <a:r>
              <a:rPr lang="en-IN" sz="2800" baseline="0"/>
              <a:t> Vs Ad Expenditure</a:t>
            </a:r>
            <a:endParaRPr lang="en-IN" sz="2800"/>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2874042394776465E-2"/>
          <c:y val="0.1335462982537956"/>
          <c:w val="0.57419937491813389"/>
          <c:h val="0.78536350993366666"/>
        </c:manualLayout>
      </c:layout>
      <c:barChart>
        <c:barDir val="col"/>
        <c:grouping val="stacked"/>
        <c:varyColors val="0"/>
        <c:ser>
          <c:idx val="0"/>
          <c:order val="0"/>
          <c:tx>
            <c:strRef>
              <c:f>'TASK 3'!$B$26</c:f>
              <c:strCache>
                <c:ptCount val="1"/>
                <c:pt idx="0">
                  <c:v>Average of Engagement_Rate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FC2-4517-AF4A-E949733FFA83}"/>
              </c:ext>
            </c:extLst>
          </c:dPt>
          <c:cat>
            <c:strRef>
              <c:f>'TASK 3'!$A$27:$A$30</c:f>
              <c:strCache>
                <c:ptCount val="4"/>
                <c:pt idx="0">
                  <c:v>Facebook</c:v>
                </c:pt>
                <c:pt idx="1">
                  <c:v>Instagram</c:v>
                </c:pt>
                <c:pt idx="2">
                  <c:v>Twitter</c:v>
                </c:pt>
                <c:pt idx="3">
                  <c:v>YouTube</c:v>
                </c:pt>
              </c:strCache>
            </c:strRef>
          </c:cat>
          <c:val>
            <c:numRef>
              <c:f>'TASK 3'!$B$27:$B$30</c:f>
              <c:numCache>
                <c:formatCode>General</c:formatCode>
                <c:ptCount val="4"/>
                <c:pt idx="0">
                  <c:v>5.6486000000000001</c:v>
                </c:pt>
                <c:pt idx="1">
                  <c:v>5.7156000000000002</c:v>
                </c:pt>
                <c:pt idx="2">
                  <c:v>5.6558000000000002</c:v>
                </c:pt>
                <c:pt idx="3">
                  <c:v>5.5587999999999997</c:v>
                </c:pt>
              </c:numCache>
            </c:numRef>
          </c:val>
          <c:extLst>
            <c:ext xmlns:c16="http://schemas.microsoft.com/office/drawing/2014/chart" uri="{C3380CC4-5D6E-409C-BE32-E72D297353CC}">
              <c16:uniqueId val="{00000000-4FC2-4517-AF4A-E949733FFA83}"/>
            </c:ext>
          </c:extLst>
        </c:ser>
        <c:dLbls>
          <c:showLegendKey val="0"/>
          <c:showVal val="0"/>
          <c:showCatName val="0"/>
          <c:showSerName val="0"/>
          <c:showPercent val="0"/>
          <c:showBubbleSize val="0"/>
        </c:dLbls>
        <c:gapWidth val="219"/>
        <c:overlap val="100"/>
        <c:axId val="367828800"/>
        <c:axId val="367829760"/>
      </c:barChart>
      <c:lineChart>
        <c:grouping val="standard"/>
        <c:varyColors val="0"/>
        <c:ser>
          <c:idx val="1"/>
          <c:order val="1"/>
          <c:tx>
            <c:strRef>
              <c:f>'TASK 3'!$C$26</c:f>
              <c:strCache>
                <c:ptCount val="1"/>
                <c:pt idx="0">
                  <c:v>Ad Spend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'TASK 3'!$A$27:$A$30</c:f>
              <c:strCache>
                <c:ptCount val="4"/>
                <c:pt idx="0">
                  <c:v>Facebook</c:v>
                </c:pt>
                <c:pt idx="1">
                  <c:v>Instagram</c:v>
                </c:pt>
                <c:pt idx="2">
                  <c:v>Twitter</c:v>
                </c:pt>
                <c:pt idx="3">
                  <c:v>YouTube</c:v>
                </c:pt>
              </c:strCache>
            </c:strRef>
          </c:cat>
          <c:val>
            <c:numRef>
              <c:f>'TASK 3'!$C$27:$C$30</c:f>
              <c:numCache>
                <c:formatCode>_-[$$-409]* #,##0_ ;_-[$$-409]* \-#,##0\ ;_-[$$-409]* "-"??_ ;_-@_ </c:formatCode>
                <c:ptCount val="4"/>
                <c:pt idx="0">
                  <c:v>1379539</c:v>
                </c:pt>
                <c:pt idx="1">
                  <c:v>1164373</c:v>
                </c:pt>
                <c:pt idx="2">
                  <c:v>1060357</c:v>
                </c:pt>
                <c:pt idx="3">
                  <c:v>1228647</c:v>
                </c:pt>
              </c:numCache>
            </c:numRef>
          </c:val>
          <c:smooth val="0"/>
          <c:extLst>
            <c:ext xmlns:c16="http://schemas.microsoft.com/office/drawing/2014/chart" uri="{C3380CC4-5D6E-409C-BE32-E72D297353CC}">
              <c16:uniqueId val="{00000001-4FC2-4517-AF4A-E949733FFA83}"/>
            </c:ext>
          </c:extLst>
        </c:ser>
        <c:dLbls>
          <c:showLegendKey val="0"/>
          <c:showVal val="0"/>
          <c:showCatName val="0"/>
          <c:showSerName val="0"/>
          <c:showPercent val="0"/>
          <c:showBubbleSize val="0"/>
        </c:dLbls>
        <c:marker val="1"/>
        <c:smooth val="0"/>
        <c:axId val="1157236255"/>
        <c:axId val="1157233375"/>
      </c:lineChart>
      <c:catAx>
        <c:axId val="367828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367829760"/>
        <c:crosses val="autoZero"/>
        <c:auto val="1"/>
        <c:lblAlgn val="ctr"/>
        <c:lblOffset val="100"/>
        <c:noMultiLvlLbl val="0"/>
      </c:catAx>
      <c:valAx>
        <c:axId val="36782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367828800"/>
        <c:crosses val="autoZero"/>
        <c:crossBetween val="between"/>
      </c:valAx>
      <c:valAx>
        <c:axId val="1157233375"/>
        <c:scaling>
          <c:orientation val="minMax"/>
        </c:scaling>
        <c:delete val="0"/>
        <c:axPos val="r"/>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157236255"/>
        <c:crosses val="max"/>
        <c:crossBetween val="between"/>
      </c:valAx>
      <c:catAx>
        <c:axId val="1157236255"/>
        <c:scaling>
          <c:orientation val="minMax"/>
        </c:scaling>
        <c:delete val="1"/>
        <c:axPos val="b"/>
        <c:numFmt formatCode="General" sourceLinked="1"/>
        <c:majorTickMark val="none"/>
        <c:minorTickMark val="none"/>
        <c:tickLblPos val="nextTo"/>
        <c:crossAx val="1157233375"/>
        <c:crosses val="autoZero"/>
        <c:auto val="1"/>
        <c:lblAlgn val="ctr"/>
        <c:lblOffset val="100"/>
        <c:noMultiLvlLbl val="0"/>
      </c:catAx>
      <c:spPr>
        <a:noFill/>
        <a:ln>
          <a:noFill/>
        </a:ln>
        <a:effectLst/>
      </c:spPr>
    </c:plotArea>
    <c:legend>
      <c:legendPos val="r"/>
      <c:layout>
        <c:manualLayout>
          <c:xMode val="edge"/>
          <c:yMode val="edge"/>
          <c:x val="0.72875513934097136"/>
          <c:y val="0.80004406491442093"/>
          <c:w val="0.25935526564618544"/>
          <c:h val="0.1950574840116816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6!PivotTable5</c:name>
    <c:fmtId val="7"/>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a:t>Weekly Follower Growth Rate</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9546130740877606E-2"/>
          <c:y val="0.20173308693556163"/>
          <c:w val="0.84956223883566906"/>
          <c:h val="0.69357464245540734"/>
        </c:manualLayout>
      </c:layout>
      <c:lineChart>
        <c:grouping val="standard"/>
        <c:varyColors val="0"/>
        <c:ser>
          <c:idx val="0"/>
          <c:order val="0"/>
          <c:tx>
            <c:strRef>
              <c:f>'TASK 6'!$D$64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4"/>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DF2-4758-99E6-C20D7AA29BB9}"/>
              </c:ext>
            </c:extLst>
          </c:dPt>
          <c:dPt>
            <c:idx val="49"/>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F2-4758-99E6-C20D7AA29BB9}"/>
              </c:ext>
            </c:extLst>
          </c:dPt>
          <c:cat>
            <c:strRef>
              <c:f>'TASK 6'!$C$65:$C$114</c:f>
              <c:strCache>
                <c:ptCount val="50"/>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pt idx="49">
                  <c:v>53</c:v>
                </c:pt>
              </c:strCache>
            </c:strRef>
          </c:cat>
          <c:val>
            <c:numRef>
              <c:f>'TASK 6'!$D$65:$D$114</c:f>
              <c:numCache>
                <c:formatCode>0</c:formatCode>
                <c:ptCount val="50"/>
                <c:pt idx="0">
                  <c:v>889.25</c:v>
                </c:pt>
                <c:pt idx="1">
                  <c:v>694.25</c:v>
                </c:pt>
                <c:pt idx="2">
                  <c:v>903.5</c:v>
                </c:pt>
                <c:pt idx="3">
                  <c:v>845.75</c:v>
                </c:pt>
                <c:pt idx="4">
                  <c:v>548.5</c:v>
                </c:pt>
                <c:pt idx="5">
                  <c:v>1320.25</c:v>
                </c:pt>
                <c:pt idx="6">
                  <c:v>923.25</c:v>
                </c:pt>
                <c:pt idx="7">
                  <c:v>1201.5</c:v>
                </c:pt>
                <c:pt idx="8">
                  <c:v>602.5</c:v>
                </c:pt>
                <c:pt idx="9">
                  <c:v>928</c:v>
                </c:pt>
                <c:pt idx="10">
                  <c:v>1010.5</c:v>
                </c:pt>
                <c:pt idx="11">
                  <c:v>404</c:v>
                </c:pt>
                <c:pt idx="12">
                  <c:v>1074.5</c:v>
                </c:pt>
                <c:pt idx="13">
                  <c:v>603</c:v>
                </c:pt>
                <c:pt idx="14">
                  <c:v>-34.25</c:v>
                </c:pt>
                <c:pt idx="15">
                  <c:v>1010</c:v>
                </c:pt>
                <c:pt idx="16">
                  <c:v>894.25</c:v>
                </c:pt>
                <c:pt idx="17">
                  <c:v>1148.5</c:v>
                </c:pt>
                <c:pt idx="18">
                  <c:v>498.75</c:v>
                </c:pt>
                <c:pt idx="19">
                  <c:v>888.5</c:v>
                </c:pt>
                <c:pt idx="20">
                  <c:v>745</c:v>
                </c:pt>
                <c:pt idx="21">
                  <c:v>976.75</c:v>
                </c:pt>
                <c:pt idx="22">
                  <c:v>752.75</c:v>
                </c:pt>
                <c:pt idx="23">
                  <c:v>323.25</c:v>
                </c:pt>
                <c:pt idx="24">
                  <c:v>760.5</c:v>
                </c:pt>
                <c:pt idx="25">
                  <c:v>567.5</c:v>
                </c:pt>
                <c:pt idx="26">
                  <c:v>688.25</c:v>
                </c:pt>
                <c:pt idx="27">
                  <c:v>548.25</c:v>
                </c:pt>
                <c:pt idx="28">
                  <c:v>200.5</c:v>
                </c:pt>
                <c:pt idx="29">
                  <c:v>932</c:v>
                </c:pt>
                <c:pt idx="30">
                  <c:v>747.25</c:v>
                </c:pt>
                <c:pt idx="31">
                  <c:v>725.75</c:v>
                </c:pt>
                <c:pt idx="32">
                  <c:v>705.5</c:v>
                </c:pt>
                <c:pt idx="33">
                  <c:v>1090</c:v>
                </c:pt>
                <c:pt idx="34">
                  <c:v>392</c:v>
                </c:pt>
                <c:pt idx="35">
                  <c:v>833.25</c:v>
                </c:pt>
                <c:pt idx="36">
                  <c:v>787.75</c:v>
                </c:pt>
                <c:pt idx="37">
                  <c:v>939.75</c:v>
                </c:pt>
                <c:pt idx="38">
                  <c:v>464</c:v>
                </c:pt>
                <c:pt idx="39">
                  <c:v>705.25</c:v>
                </c:pt>
                <c:pt idx="40">
                  <c:v>664</c:v>
                </c:pt>
                <c:pt idx="41">
                  <c:v>1146</c:v>
                </c:pt>
                <c:pt idx="42">
                  <c:v>573.75</c:v>
                </c:pt>
                <c:pt idx="43">
                  <c:v>132</c:v>
                </c:pt>
                <c:pt idx="44">
                  <c:v>1002</c:v>
                </c:pt>
                <c:pt idx="45">
                  <c:v>1198.75</c:v>
                </c:pt>
                <c:pt idx="46">
                  <c:v>1198</c:v>
                </c:pt>
                <c:pt idx="47">
                  <c:v>1261</c:v>
                </c:pt>
                <c:pt idx="48">
                  <c:v>978.5</c:v>
                </c:pt>
                <c:pt idx="49">
                  <c:v>1632.5</c:v>
                </c:pt>
              </c:numCache>
            </c:numRef>
          </c:val>
          <c:smooth val="0"/>
          <c:extLst>
            <c:ext xmlns:c16="http://schemas.microsoft.com/office/drawing/2014/chart" uri="{C3380CC4-5D6E-409C-BE32-E72D297353CC}">
              <c16:uniqueId val="{00000000-ADF2-4758-99E6-C20D7AA29BB9}"/>
            </c:ext>
          </c:extLst>
        </c:ser>
        <c:dLbls>
          <c:showLegendKey val="0"/>
          <c:showVal val="0"/>
          <c:showCatName val="0"/>
          <c:showSerName val="0"/>
          <c:showPercent val="0"/>
          <c:showBubbleSize val="0"/>
        </c:dLbls>
        <c:marker val="1"/>
        <c:smooth val="0"/>
        <c:axId val="1115716896"/>
        <c:axId val="272136560"/>
      </c:lineChart>
      <c:catAx>
        <c:axId val="1115716896"/>
        <c:scaling>
          <c:orientation val="minMax"/>
        </c:scaling>
        <c:delete val="0"/>
        <c:axPos val="b"/>
        <c:title>
          <c:tx>
            <c:rich>
              <a:bodyPr rot="0" spcFirstLastPara="1" vertOverflow="ellipsis" vert="horz" wrap="square" anchor="ctr" anchorCtr="1"/>
              <a:lstStyle/>
              <a:p>
                <a:pPr>
                  <a:defRPr sz="1600" b="0" i="0" u="none" strike="noStrike" kern="1200" cap="all" baseline="0">
                    <a:solidFill>
                      <a:schemeClr val="lt1">
                        <a:lumMod val="85000"/>
                      </a:schemeClr>
                    </a:solidFill>
                    <a:latin typeface="+mn-lt"/>
                    <a:ea typeface="+mn-ea"/>
                    <a:cs typeface="+mn-cs"/>
                  </a:defRPr>
                </a:pPr>
                <a:r>
                  <a:rPr lang="en-IN" sz="1600" b="0"/>
                  <a:t>WEEK</a:t>
                </a:r>
                <a:r>
                  <a:rPr lang="en-IN" sz="1600" b="0" baseline="0"/>
                  <a:t> NUMBER</a:t>
                </a:r>
                <a:endParaRPr lang="en-IN" sz="1600" b="0"/>
              </a:p>
            </c:rich>
          </c:tx>
          <c:overlay val="0"/>
          <c:spPr>
            <a:noFill/>
            <a:ln>
              <a:noFill/>
            </a:ln>
            <a:effectLst/>
          </c:spPr>
          <c:txPr>
            <a:bodyPr rot="0" spcFirstLastPara="1" vertOverflow="ellipsis" vert="horz" wrap="square" anchor="ctr" anchorCtr="1"/>
            <a:lstStyle/>
            <a:p>
              <a:pPr>
                <a:defRPr sz="1600" b="0"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272136560"/>
        <c:crosses val="autoZero"/>
        <c:auto val="1"/>
        <c:lblAlgn val="ctr"/>
        <c:lblOffset val="100"/>
        <c:noMultiLvlLbl val="0"/>
      </c:catAx>
      <c:valAx>
        <c:axId val="2721365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400" b="0"/>
                  <a:t>Follower</a:t>
                </a:r>
                <a:r>
                  <a:rPr lang="en-IN" sz="1400" b="0" baseline="0"/>
                  <a:t> Growth</a:t>
                </a:r>
                <a:endParaRPr lang="en-IN" sz="1400" b="0"/>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11571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5!PivotTable16</c:name>
    <c:fmtId val="10"/>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a:t>Total</a:t>
            </a:r>
            <a:r>
              <a:rPr lang="en-IN" sz="2800" baseline="0"/>
              <a:t> Performance per Campaign</a:t>
            </a:r>
            <a:endParaRPr lang="en-IN" sz="2800"/>
          </a:p>
        </c:rich>
      </c:tx>
      <c:layout>
        <c:manualLayout>
          <c:xMode val="edge"/>
          <c:yMode val="edge"/>
          <c:x val="0.26559274257702159"/>
          <c:y val="2.4323615822918906E-2"/>
        </c:manualLayout>
      </c:layout>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'TASK 5'!$B$3</c:f>
              <c:strCache>
                <c:ptCount val="1"/>
                <c:pt idx="0">
                  <c:v>Sum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5'!$B$4:$B$8</c:f>
              <c:numCache>
                <c:formatCode>General</c:formatCode>
                <c:ptCount val="5"/>
                <c:pt idx="0">
                  <c:v>54737</c:v>
                </c:pt>
                <c:pt idx="1">
                  <c:v>33436</c:v>
                </c:pt>
                <c:pt idx="2">
                  <c:v>51192</c:v>
                </c:pt>
                <c:pt idx="3">
                  <c:v>55180</c:v>
                </c:pt>
                <c:pt idx="4">
                  <c:v>71421</c:v>
                </c:pt>
              </c:numCache>
            </c:numRef>
          </c:val>
          <c:extLst>
            <c:ext xmlns:c16="http://schemas.microsoft.com/office/drawing/2014/chart" uri="{C3380CC4-5D6E-409C-BE32-E72D297353CC}">
              <c16:uniqueId val="{00000000-3343-4C32-BE03-19A97BC7F202}"/>
            </c:ext>
          </c:extLst>
        </c:ser>
        <c:ser>
          <c:idx val="1"/>
          <c:order val="1"/>
          <c:tx>
            <c:strRef>
              <c:f>'TASK 5'!$C$3</c:f>
              <c:strCache>
                <c:ptCount val="1"/>
                <c:pt idx="0">
                  <c:v>Average of Likes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5'!$C$4:$C$8</c:f>
              <c:numCache>
                <c:formatCode>0</c:formatCode>
                <c:ptCount val="5"/>
                <c:pt idx="0">
                  <c:v>2880.8947368421054</c:v>
                </c:pt>
                <c:pt idx="1">
                  <c:v>2786.3333333333335</c:v>
                </c:pt>
                <c:pt idx="2">
                  <c:v>2844</c:v>
                </c:pt>
                <c:pt idx="3">
                  <c:v>2627.6190476190477</c:v>
                </c:pt>
                <c:pt idx="4">
                  <c:v>3105.2608695652175</c:v>
                </c:pt>
              </c:numCache>
            </c:numRef>
          </c:val>
          <c:extLst>
            <c:ext xmlns:c16="http://schemas.microsoft.com/office/drawing/2014/chart" uri="{C3380CC4-5D6E-409C-BE32-E72D297353CC}">
              <c16:uniqueId val="{00000001-3343-4C32-BE03-19A97BC7F202}"/>
            </c:ext>
          </c:extLst>
        </c:ser>
        <c:ser>
          <c:idx val="2"/>
          <c:order val="2"/>
          <c:tx>
            <c:strRef>
              <c:f>'TASK 5'!$D$3</c:f>
              <c:strCache>
                <c:ptCount val="1"/>
                <c:pt idx="0">
                  <c:v>Sum of Clicks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5'!$D$4:$D$8</c:f>
              <c:numCache>
                <c:formatCode>General</c:formatCode>
                <c:ptCount val="5"/>
                <c:pt idx="0">
                  <c:v>3200</c:v>
                </c:pt>
                <c:pt idx="1">
                  <c:v>1812</c:v>
                </c:pt>
                <c:pt idx="2">
                  <c:v>2626</c:v>
                </c:pt>
                <c:pt idx="3">
                  <c:v>2893</c:v>
                </c:pt>
                <c:pt idx="4">
                  <c:v>3019</c:v>
                </c:pt>
              </c:numCache>
            </c:numRef>
          </c:val>
          <c:extLst>
            <c:ext xmlns:c16="http://schemas.microsoft.com/office/drawing/2014/chart" uri="{C3380CC4-5D6E-409C-BE32-E72D297353CC}">
              <c16:uniqueId val="{00000002-3343-4C32-BE03-19A97BC7F202}"/>
            </c:ext>
          </c:extLst>
        </c:ser>
        <c:ser>
          <c:idx val="3"/>
          <c:order val="3"/>
          <c:tx>
            <c:strRef>
              <c:f>'TASK 5'!$E$3</c:f>
              <c:strCache>
                <c:ptCount val="1"/>
                <c:pt idx="0">
                  <c:v>Average of Clicks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5'!$E$4:$E$8</c:f>
              <c:numCache>
                <c:formatCode>0</c:formatCode>
                <c:ptCount val="5"/>
                <c:pt idx="0">
                  <c:v>168.42105263157896</c:v>
                </c:pt>
                <c:pt idx="1">
                  <c:v>151</c:v>
                </c:pt>
                <c:pt idx="2">
                  <c:v>145.88888888888889</c:v>
                </c:pt>
                <c:pt idx="3">
                  <c:v>137.76190476190476</c:v>
                </c:pt>
                <c:pt idx="4">
                  <c:v>131.2608695652174</c:v>
                </c:pt>
              </c:numCache>
            </c:numRef>
          </c:val>
          <c:extLst>
            <c:ext xmlns:c16="http://schemas.microsoft.com/office/drawing/2014/chart" uri="{C3380CC4-5D6E-409C-BE32-E72D297353CC}">
              <c16:uniqueId val="{00000003-3343-4C32-BE03-19A97BC7F202}"/>
            </c:ext>
          </c:extLst>
        </c:ser>
        <c:ser>
          <c:idx val="4"/>
          <c:order val="4"/>
          <c:tx>
            <c:strRef>
              <c:f>'TASK 5'!$F$3</c:f>
              <c:strCache>
                <c:ptCount val="1"/>
                <c:pt idx="0">
                  <c:v>Sum of Impressions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5'!$F$4:$F$8</c:f>
              <c:numCache>
                <c:formatCode>General</c:formatCode>
                <c:ptCount val="5"/>
                <c:pt idx="0">
                  <c:v>661164</c:v>
                </c:pt>
                <c:pt idx="1">
                  <c:v>470831</c:v>
                </c:pt>
                <c:pt idx="2">
                  <c:v>678203</c:v>
                </c:pt>
                <c:pt idx="3">
                  <c:v>757676</c:v>
                </c:pt>
                <c:pt idx="4">
                  <c:v>954744</c:v>
                </c:pt>
              </c:numCache>
            </c:numRef>
          </c:val>
          <c:extLst>
            <c:ext xmlns:c16="http://schemas.microsoft.com/office/drawing/2014/chart" uri="{C3380CC4-5D6E-409C-BE32-E72D297353CC}">
              <c16:uniqueId val="{00000004-3343-4C32-BE03-19A97BC7F202}"/>
            </c:ext>
          </c:extLst>
        </c:ser>
        <c:ser>
          <c:idx val="5"/>
          <c:order val="5"/>
          <c:tx>
            <c:strRef>
              <c:f>'TASK 5'!$G$3</c:f>
              <c:strCache>
                <c:ptCount val="1"/>
                <c:pt idx="0">
                  <c:v>Average of Impressions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'TASK 5'!$A$4:$A$8</c:f>
              <c:strCache>
                <c:ptCount val="5"/>
                <c:pt idx="0">
                  <c:v>notavailable</c:v>
                </c:pt>
                <c:pt idx="1">
                  <c:v>CybertruckLaunch</c:v>
                </c:pt>
                <c:pt idx="2">
                  <c:v>SustainabilityDrive</c:v>
                </c:pt>
                <c:pt idx="3">
                  <c:v>ModelYCampaign</c:v>
                </c:pt>
                <c:pt idx="4">
                  <c:v>FSDUpdate</c:v>
                </c:pt>
              </c:strCache>
            </c:strRef>
          </c:cat>
          <c:val>
            <c:numRef>
              <c:f>'TASK 5'!$G$4:$G$8</c:f>
              <c:numCache>
                <c:formatCode>0</c:formatCode>
                <c:ptCount val="5"/>
                <c:pt idx="0">
                  <c:v>34798.105263157893</c:v>
                </c:pt>
                <c:pt idx="1">
                  <c:v>39235.916666666664</c:v>
                </c:pt>
                <c:pt idx="2">
                  <c:v>37677.944444444445</c:v>
                </c:pt>
                <c:pt idx="3">
                  <c:v>36079.809523809527</c:v>
                </c:pt>
                <c:pt idx="4">
                  <c:v>41510.608695652176</c:v>
                </c:pt>
              </c:numCache>
            </c:numRef>
          </c:val>
          <c:extLst>
            <c:ext xmlns:c16="http://schemas.microsoft.com/office/drawing/2014/chart" uri="{C3380CC4-5D6E-409C-BE32-E72D297353CC}">
              <c16:uniqueId val="{00000005-3343-4C32-BE03-19A97BC7F202}"/>
            </c:ext>
          </c:extLst>
        </c:ser>
        <c:dLbls>
          <c:showLegendKey val="0"/>
          <c:showVal val="0"/>
          <c:showCatName val="0"/>
          <c:showSerName val="0"/>
          <c:showPercent val="0"/>
          <c:showBubbleSize val="0"/>
        </c:dLbls>
        <c:gapWidth val="150"/>
        <c:shape val="box"/>
        <c:axId val="338672304"/>
        <c:axId val="366123312"/>
        <c:axId val="0"/>
      </c:bar3DChart>
      <c:catAx>
        <c:axId val="33867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366123312"/>
        <c:crosses val="autoZero"/>
        <c:auto val="1"/>
        <c:lblAlgn val="ctr"/>
        <c:lblOffset val="100"/>
        <c:noMultiLvlLbl val="0"/>
      </c:catAx>
      <c:valAx>
        <c:axId val="36612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33867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Project.xlsx]TASK 5!PivotTable2</c:name>
    <c:fmtId val="5"/>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a:t>R.O.I</a:t>
            </a:r>
          </a:p>
        </c:rich>
      </c:tx>
      <c:layout>
        <c:manualLayout>
          <c:xMode val="edge"/>
          <c:yMode val="edge"/>
          <c:x val="0.45931233595800525"/>
          <c:y val="6.3794109069699623E-2"/>
        </c:manualLayout>
      </c:layout>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167716535433068"/>
          <c:y val="0.25606262758821813"/>
          <c:w val="0.43247353455818027"/>
          <c:h val="0.72078922426363379"/>
        </c:manualLayout>
      </c:layout>
      <c:pieChart>
        <c:varyColors val="1"/>
        <c:ser>
          <c:idx val="0"/>
          <c:order val="0"/>
          <c:tx>
            <c:strRef>
              <c:f>'TASK 5'!$B$48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69C-4596-9787-9F4FBD20FB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69C-4596-9787-9F4FBD20FB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69C-4596-9787-9F4FBD20FB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69C-4596-9787-9F4FBD20FBC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69C-4596-9787-9F4FBD20FBC6}"/>
              </c:ext>
            </c:extLst>
          </c:dPt>
          <c:cat>
            <c:strRef>
              <c:f>'TASK 5'!$A$49:$A$53</c:f>
              <c:strCache>
                <c:ptCount val="5"/>
                <c:pt idx="0">
                  <c:v>CybertruckLaunch</c:v>
                </c:pt>
                <c:pt idx="1">
                  <c:v>FSDUpdate</c:v>
                </c:pt>
                <c:pt idx="2">
                  <c:v>ModelYCampaign</c:v>
                </c:pt>
                <c:pt idx="3">
                  <c:v>notavailable</c:v>
                </c:pt>
                <c:pt idx="4">
                  <c:v>SustainabilityDrive</c:v>
                </c:pt>
              </c:strCache>
            </c:strRef>
          </c:cat>
          <c:val>
            <c:numRef>
              <c:f>'TASK 5'!$B$49:$B$53</c:f>
              <c:numCache>
                <c:formatCode>0.00000</c:formatCode>
                <c:ptCount val="5"/>
                <c:pt idx="0">
                  <c:v>2.3740555555555556E-2</c:v>
                </c:pt>
                <c:pt idx="1">
                  <c:v>1.5498086956521736E-2</c:v>
                </c:pt>
                <c:pt idx="2">
                  <c:v>1.7267142857142856E-2</c:v>
                </c:pt>
                <c:pt idx="3">
                  <c:v>#N/A</c:v>
                </c:pt>
                <c:pt idx="4">
                  <c:v>1.9629012345679011E-2</c:v>
                </c:pt>
              </c:numCache>
            </c:numRef>
          </c:val>
          <c:extLst>
            <c:ext xmlns:c16="http://schemas.microsoft.com/office/drawing/2014/chart" uri="{C3380CC4-5D6E-409C-BE32-E72D297353CC}">
              <c16:uniqueId val="{0000000A-F69C-4596-9787-9F4FBD20FB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 Id="rId9"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2</xdr:col>
      <xdr:colOff>685800</xdr:colOff>
      <xdr:row>1</xdr:row>
      <xdr:rowOff>0</xdr:rowOff>
    </xdr:from>
    <xdr:to>
      <xdr:col>12</xdr:col>
      <xdr:colOff>502920</xdr:colOff>
      <xdr:row>10</xdr:row>
      <xdr:rowOff>152400</xdr:rowOff>
    </xdr:to>
    <xdr:graphicFrame macro="">
      <xdr:nvGraphicFramePr>
        <xdr:cNvPr id="2" name="Chart 1">
          <a:extLst>
            <a:ext uri="{FF2B5EF4-FFF2-40B4-BE49-F238E27FC236}">
              <a16:creationId xmlns:a16="http://schemas.microsoft.com/office/drawing/2014/main" id="{2F0253F6-A5D5-4622-683C-9183FC750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11</xdr:row>
      <xdr:rowOff>175260</xdr:rowOff>
    </xdr:from>
    <xdr:to>
      <xdr:col>13</xdr:col>
      <xdr:colOff>175260</xdr:colOff>
      <xdr:row>23</xdr:row>
      <xdr:rowOff>7620</xdr:rowOff>
    </xdr:to>
    <xdr:graphicFrame macro="">
      <xdr:nvGraphicFramePr>
        <xdr:cNvPr id="3" name="Chart 2">
          <a:extLst>
            <a:ext uri="{FF2B5EF4-FFF2-40B4-BE49-F238E27FC236}">
              <a16:creationId xmlns:a16="http://schemas.microsoft.com/office/drawing/2014/main" id="{1ABEB0BD-3D49-6AD6-BDEA-B8BF42D0C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25</xdr:row>
      <xdr:rowOff>0</xdr:rowOff>
    </xdr:from>
    <xdr:to>
      <xdr:col>19</xdr:col>
      <xdr:colOff>281940</xdr:colOff>
      <xdr:row>43</xdr:row>
      <xdr:rowOff>30480</xdr:rowOff>
    </xdr:to>
    <xdr:graphicFrame macro="">
      <xdr:nvGraphicFramePr>
        <xdr:cNvPr id="4" name="Chart 3">
          <a:extLst>
            <a:ext uri="{FF2B5EF4-FFF2-40B4-BE49-F238E27FC236}">
              <a16:creationId xmlns:a16="http://schemas.microsoft.com/office/drawing/2014/main" id="{311752A2-F328-7113-C6FA-D2361E242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106680</xdr:colOff>
      <xdr:row>78</xdr:row>
      <xdr:rowOff>7620</xdr:rowOff>
    </xdr:from>
    <xdr:to>
      <xdr:col>10</xdr:col>
      <xdr:colOff>114300</xdr:colOff>
      <xdr:row>95</xdr:row>
      <xdr:rowOff>171450</xdr:rowOff>
    </xdr:to>
    <xdr:graphicFrame macro="">
      <xdr:nvGraphicFramePr>
        <xdr:cNvPr id="7" name="Chart 6">
          <a:extLst>
            <a:ext uri="{FF2B5EF4-FFF2-40B4-BE49-F238E27FC236}">
              <a16:creationId xmlns:a16="http://schemas.microsoft.com/office/drawing/2014/main" id="{56893041-69D9-4AB7-8891-7AE012E54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60</xdr:row>
      <xdr:rowOff>0</xdr:rowOff>
    </xdr:from>
    <xdr:to>
      <xdr:col>5</xdr:col>
      <xdr:colOff>236220</xdr:colOff>
      <xdr:row>75</xdr:row>
      <xdr:rowOff>0</xdr:rowOff>
    </xdr:to>
    <xdr:graphicFrame macro="">
      <xdr:nvGraphicFramePr>
        <xdr:cNvPr id="9" name="Chart 8">
          <a:extLst>
            <a:ext uri="{FF2B5EF4-FFF2-40B4-BE49-F238E27FC236}">
              <a16:creationId xmlns:a16="http://schemas.microsoft.com/office/drawing/2014/main" id="{8304DA2E-FDCA-480A-800D-71EB9D7DB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1</xdr:row>
      <xdr:rowOff>7620</xdr:rowOff>
    </xdr:from>
    <xdr:to>
      <xdr:col>9</xdr:col>
      <xdr:colOff>167640</xdr:colOff>
      <xdr:row>14</xdr:row>
      <xdr:rowOff>7620</xdr:rowOff>
    </xdr:to>
    <xdr:graphicFrame macro="">
      <xdr:nvGraphicFramePr>
        <xdr:cNvPr id="2" name="Chart 1">
          <a:extLst>
            <a:ext uri="{FF2B5EF4-FFF2-40B4-BE49-F238E27FC236}">
              <a16:creationId xmlns:a16="http://schemas.microsoft.com/office/drawing/2014/main" id="{CFB5DE9C-1298-5EE3-B229-52BE0BBED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14</xdr:row>
      <xdr:rowOff>45720</xdr:rowOff>
    </xdr:from>
    <xdr:to>
      <xdr:col>9</xdr:col>
      <xdr:colOff>426720</xdr:colOff>
      <xdr:row>25</xdr:row>
      <xdr:rowOff>30480</xdr:rowOff>
    </xdr:to>
    <xdr:graphicFrame macro="">
      <xdr:nvGraphicFramePr>
        <xdr:cNvPr id="3" name="Chart 2">
          <a:extLst>
            <a:ext uri="{FF2B5EF4-FFF2-40B4-BE49-F238E27FC236}">
              <a16:creationId xmlns:a16="http://schemas.microsoft.com/office/drawing/2014/main" id="{19D101FC-5CB6-8316-7626-38A6A80F6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25</xdr:row>
      <xdr:rowOff>45720</xdr:rowOff>
    </xdr:from>
    <xdr:to>
      <xdr:col>8</xdr:col>
      <xdr:colOff>510540</xdr:colOff>
      <xdr:row>39</xdr:row>
      <xdr:rowOff>30480</xdr:rowOff>
    </xdr:to>
    <xdr:graphicFrame macro="">
      <xdr:nvGraphicFramePr>
        <xdr:cNvPr id="4" name="Chart 3">
          <a:extLst>
            <a:ext uri="{FF2B5EF4-FFF2-40B4-BE49-F238E27FC236}">
              <a16:creationId xmlns:a16="http://schemas.microsoft.com/office/drawing/2014/main" id="{8158EBD1-DEA1-BA22-ED27-D75A9ADD5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182880</xdr:colOff>
      <xdr:row>12</xdr:row>
      <xdr:rowOff>38100</xdr:rowOff>
    </xdr:from>
    <xdr:to>
      <xdr:col>8</xdr:col>
      <xdr:colOff>457200</xdr:colOff>
      <xdr:row>28</xdr:row>
      <xdr:rowOff>30480</xdr:rowOff>
    </xdr:to>
    <xdr:graphicFrame macro="">
      <xdr:nvGraphicFramePr>
        <xdr:cNvPr id="2" name="Chart 1">
          <a:extLst>
            <a:ext uri="{FF2B5EF4-FFF2-40B4-BE49-F238E27FC236}">
              <a16:creationId xmlns:a16="http://schemas.microsoft.com/office/drawing/2014/main" id="{942B35FF-A6FD-477F-4FAF-E4A4F062E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213360</xdr:colOff>
      <xdr:row>29</xdr:row>
      <xdr:rowOff>160020</xdr:rowOff>
    </xdr:from>
    <xdr:to>
      <xdr:col>8</xdr:col>
      <xdr:colOff>464820</xdr:colOff>
      <xdr:row>44</xdr:row>
      <xdr:rowOff>160020</xdr:rowOff>
    </xdr:to>
    <xdr:graphicFrame macro="">
      <xdr:nvGraphicFramePr>
        <xdr:cNvPr id="3" name="Chart 2">
          <a:extLst>
            <a:ext uri="{FF2B5EF4-FFF2-40B4-BE49-F238E27FC236}">
              <a16:creationId xmlns:a16="http://schemas.microsoft.com/office/drawing/2014/main" id="{B78B3717-9232-BE89-5DF5-323FBC8A1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167640</xdr:colOff>
      <xdr:row>45</xdr:row>
      <xdr:rowOff>30480</xdr:rowOff>
    </xdr:from>
    <xdr:to>
      <xdr:col>8</xdr:col>
      <xdr:colOff>472440</xdr:colOff>
      <xdr:row>60</xdr:row>
      <xdr:rowOff>15240</xdr:rowOff>
    </xdr:to>
    <xdr:graphicFrame macro="">
      <xdr:nvGraphicFramePr>
        <xdr:cNvPr id="4" name="Chart 3">
          <a:extLst>
            <a:ext uri="{FF2B5EF4-FFF2-40B4-BE49-F238E27FC236}">
              <a16:creationId xmlns:a16="http://schemas.microsoft.com/office/drawing/2014/main" id="{981CA5EC-ECA3-E122-433E-C213ED4FE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144780</xdr:rowOff>
    </xdr:from>
    <xdr:to>
      <xdr:col>6</xdr:col>
      <xdr:colOff>899160</xdr:colOff>
      <xdr:row>25</xdr:row>
      <xdr:rowOff>22860</xdr:rowOff>
    </xdr:to>
    <xdr:graphicFrame macro="">
      <xdr:nvGraphicFramePr>
        <xdr:cNvPr id="2" name="Chart 1">
          <a:extLst>
            <a:ext uri="{FF2B5EF4-FFF2-40B4-BE49-F238E27FC236}">
              <a16:creationId xmlns:a16="http://schemas.microsoft.com/office/drawing/2014/main" id="{50DA40E2-149A-DD70-A1AB-A6E0E29B0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xdr:colOff>
      <xdr:row>26</xdr:row>
      <xdr:rowOff>34290</xdr:rowOff>
    </xdr:from>
    <xdr:to>
      <xdr:col>11</xdr:col>
      <xdr:colOff>7620</xdr:colOff>
      <xdr:row>44</xdr:row>
      <xdr:rowOff>0</xdr:rowOff>
    </xdr:to>
    <xdr:graphicFrame macro="">
      <xdr:nvGraphicFramePr>
        <xdr:cNvPr id="3" name="Chart 2">
          <a:extLst>
            <a:ext uri="{FF2B5EF4-FFF2-40B4-BE49-F238E27FC236}">
              <a16:creationId xmlns:a16="http://schemas.microsoft.com/office/drawing/2014/main" id="{8AAACACF-0F7F-1273-2AD7-A720F0E86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369570</xdr:colOff>
      <xdr:row>44</xdr:row>
      <xdr:rowOff>179070</xdr:rowOff>
    </xdr:from>
    <xdr:to>
      <xdr:col>6</xdr:col>
      <xdr:colOff>697230</xdr:colOff>
      <xdr:row>59</xdr:row>
      <xdr:rowOff>179070</xdr:rowOff>
    </xdr:to>
    <xdr:graphicFrame macro="">
      <xdr:nvGraphicFramePr>
        <xdr:cNvPr id="4" name="Chart 3">
          <a:extLst>
            <a:ext uri="{FF2B5EF4-FFF2-40B4-BE49-F238E27FC236}">
              <a16:creationId xmlns:a16="http://schemas.microsoft.com/office/drawing/2014/main" id="{2A43A9B5-9311-45B4-CD21-99578E617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224790</xdr:colOff>
      <xdr:row>60</xdr:row>
      <xdr:rowOff>156210</xdr:rowOff>
    </xdr:from>
    <xdr:to>
      <xdr:col>6</xdr:col>
      <xdr:colOff>552450</xdr:colOff>
      <xdr:row>75</xdr:row>
      <xdr:rowOff>156210</xdr:rowOff>
    </xdr:to>
    <xdr:graphicFrame macro="">
      <xdr:nvGraphicFramePr>
        <xdr:cNvPr id="5" name="Chart 4">
          <a:extLst>
            <a:ext uri="{FF2B5EF4-FFF2-40B4-BE49-F238E27FC236}">
              <a16:creationId xmlns:a16="http://schemas.microsoft.com/office/drawing/2014/main" id="{ECFA3B27-88F5-B7EE-565C-45C1FB433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220980</xdr:colOff>
      <xdr:row>2</xdr:row>
      <xdr:rowOff>7620</xdr:rowOff>
    </xdr:from>
    <xdr:to>
      <xdr:col>25</xdr:col>
      <xdr:colOff>160020</xdr:colOff>
      <xdr:row>26</xdr:row>
      <xdr:rowOff>106680</xdr:rowOff>
    </xdr:to>
    <xdr:graphicFrame macro="">
      <xdr:nvGraphicFramePr>
        <xdr:cNvPr id="3" name="Chart 2">
          <a:extLst>
            <a:ext uri="{FF2B5EF4-FFF2-40B4-BE49-F238E27FC236}">
              <a16:creationId xmlns:a16="http://schemas.microsoft.com/office/drawing/2014/main" id="{746E4C46-003E-D05F-4913-D0FEDE927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243840</xdr:colOff>
      <xdr:row>62</xdr:row>
      <xdr:rowOff>22860</xdr:rowOff>
    </xdr:from>
    <xdr:to>
      <xdr:col>22</xdr:col>
      <xdr:colOff>320040</xdr:colOff>
      <xdr:row>85</xdr:row>
      <xdr:rowOff>152400</xdr:rowOff>
    </xdr:to>
    <xdr:graphicFrame macro="">
      <xdr:nvGraphicFramePr>
        <xdr:cNvPr id="5" name="Chart 4">
          <a:extLst>
            <a:ext uri="{FF2B5EF4-FFF2-40B4-BE49-F238E27FC236}">
              <a16:creationId xmlns:a16="http://schemas.microsoft.com/office/drawing/2014/main" id="{7FDD38B4-A9C4-497C-8AA1-2FD1F499A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24451</xdr:colOff>
      <xdr:row>120</xdr:row>
      <xdr:rowOff>91837</xdr:rowOff>
    </xdr:from>
    <xdr:to>
      <xdr:col>31</xdr:col>
      <xdr:colOff>200963</xdr:colOff>
      <xdr:row>138</xdr:row>
      <xdr:rowOff>11828</xdr:rowOff>
    </xdr:to>
    <xdr:graphicFrame macro="">
      <xdr:nvGraphicFramePr>
        <xdr:cNvPr id="2" name="Chart 1">
          <a:extLst>
            <a:ext uri="{FF2B5EF4-FFF2-40B4-BE49-F238E27FC236}">
              <a16:creationId xmlns:a16="http://schemas.microsoft.com/office/drawing/2014/main" id="{4BD9C2C3-C843-A39F-6243-C7225DA1D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162276</xdr:rowOff>
    </xdr:from>
    <xdr:to>
      <xdr:col>17</xdr:col>
      <xdr:colOff>81140</xdr:colOff>
      <xdr:row>33</xdr:row>
      <xdr:rowOff>63500</xdr:rowOff>
    </xdr:to>
    <xdr:graphicFrame macro="">
      <xdr:nvGraphicFramePr>
        <xdr:cNvPr id="3" name="Chart 2">
          <a:extLst>
            <a:ext uri="{FF2B5EF4-FFF2-40B4-BE49-F238E27FC236}">
              <a16:creationId xmlns:a16="http://schemas.microsoft.com/office/drawing/2014/main" id="{D1E37099-35A8-4B7E-A3CD-2F8CC1200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44</xdr:col>
      <xdr:colOff>571194</xdr:colOff>
      <xdr:row>23</xdr:row>
      <xdr:rowOff>132060</xdr:rowOff>
    </xdr:from>
    <xdr:to>
      <xdr:col>51</xdr:col>
      <xdr:colOff>558800</xdr:colOff>
      <xdr:row>36</xdr:row>
      <xdr:rowOff>88899</xdr:rowOff>
    </xdr:to>
    <mc:AlternateContent xmlns:mc="http://schemas.openxmlformats.org/markup-compatibility/2006" xmlns:a14="http://schemas.microsoft.com/office/drawing/2010/main">
      <mc:Choice Requires="a14">
        <xdr:graphicFrame macro="">
          <xdr:nvGraphicFramePr>
            <xdr:cNvPr id="14" name="Content Type">
              <a:extLst>
                <a:ext uri="{FF2B5EF4-FFF2-40B4-BE49-F238E27FC236}">
                  <a16:creationId xmlns:a16="http://schemas.microsoft.com/office/drawing/2014/main" id="{52C9A7EC-BCEB-9140-8584-F5FF3B60FC86}"/>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27622194" y="5313660"/>
              <a:ext cx="4254806" cy="2433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75279</xdr:colOff>
      <xdr:row>6</xdr:row>
      <xdr:rowOff>159775</xdr:rowOff>
    </xdr:from>
    <xdr:to>
      <xdr:col>30</xdr:col>
      <xdr:colOff>254000</xdr:colOff>
      <xdr:row>33</xdr:row>
      <xdr:rowOff>47624</xdr:rowOff>
    </xdr:to>
    <xdr:graphicFrame macro="">
      <xdr:nvGraphicFramePr>
        <xdr:cNvPr id="17" name="Chart 16">
          <a:extLst>
            <a:ext uri="{FF2B5EF4-FFF2-40B4-BE49-F238E27FC236}">
              <a16:creationId xmlns:a16="http://schemas.microsoft.com/office/drawing/2014/main" id="{510AB83D-F7D7-4A1B-9156-EC6A3D120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44</xdr:col>
      <xdr:colOff>595364</xdr:colOff>
      <xdr:row>6</xdr:row>
      <xdr:rowOff>139700</xdr:rowOff>
    </xdr:from>
    <xdr:to>
      <xdr:col>51</xdr:col>
      <xdr:colOff>552450</xdr:colOff>
      <xdr:row>22</xdr:row>
      <xdr:rowOff>69849</xdr:rowOff>
    </xdr:to>
    <mc:AlternateContent xmlns:mc="http://schemas.openxmlformats.org/markup-compatibility/2006" xmlns:a14="http://schemas.microsoft.com/office/drawing/2010/main">
      <mc:Choice Requires="a14">
        <xdr:graphicFrame macro="">
          <xdr:nvGraphicFramePr>
            <xdr:cNvPr id="18" name="Platform">
              <a:extLst>
                <a:ext uri="{FF2B5EF4-FFF2-40B4-BE49-F238E27FC236}">
                  <a16:creationId xmlns:a16="http://schemas.microsoft.com/office/drawing/2014/main" id="{A0781E19-89C1-4E5E-7C9D-FBCFDCBEBDFB}"/>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7646364" y="2082800"/>
              <a:ext cx="4224286" cy="318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222250</xdr:colOff>
      <xdr:row>6</xdr:row>
      <xdr:rowOff>154651</xdr:rowOff>
    </xdr:from>
    <xdr:to>
      <xdr:col>44</xdr:col>
      <xdr:colOff>571500</xdr:colOff>
      <xdr:row>33</xdr:row>
      <xdr:rowOff>47624</xdr:rowOff>
    </xdr:to>
    <xdr:graphicFrame macro="">
      <xdr:nvGraphicFramePr>
        <xdr:cNvPr id="20" name="Chart 19">
          <a:extLst>
            <a:ext uri="{FF2B5EF4-FFF2-40B4-BE49-F238E27FC236}">
              <a16:creationId xmlns:a16="http://schemas.microsoft.com/office/drawing/2014/main" id="{8F4E3B29-8A85-464D-9F99-3DB827B7B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15875</xdr:colOff>
      <xdr:row>32</xdr:row>
      <xdr:rowOff>174623</xdr:rowOff>
    </xdr:from>
    <xdr:to>
      <xdr:col>17</xdr:col>
      <xdr:colOff>63500</xdr:colOff>
      <xdr:row>68</xdr:row>
      <xdr:rowOff>79374</xdr:rowOff>
    </xdr:to>
    <xdr:graphicFrame macro="">
      <xdr:nvGraphicFramePr>
        <xdr:cNvPr id="22" name="Chart 21">
          <a:extLst>
            <a:ext uri="{FF2B5EF4-FFF2-40B4-BE49-F238E27FC236}">
              <a16:creationId xmlns:a16="http://schemas.microsoft.com/office/drawing/2014/main" id="{6A0DFBCE-66DD-4487-BB57-923E93409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63500</xdr:colOff>
      <xdr:row>33</xdr:row>
      <xdr:rowOff>31751</xdr:rowOff>
    </xdr:from>
    <xdr:to>
      <xdr:col>30</xdr:col>
      <xdr:colOff>317501</xdr:colOff>
      <xdr:row>68</xdr:row>
      <xdr:rowOff>95251</xdr:rowOff>
    </xdr:to>
    <xdr:graphicFrame macro="">
      <xdr:nvGraphicFramePr>
        <xdr:cNvPr id="25" name="Chart 24">
          <a:extLst>
            <a:ext uri="{FF2B5EF4-FFF2-40B4-BE49-F238E27FC236}">
              <a16:creationId xmlns:a16="http://schemas.microsoft.com/office/drawing/2014/main" id="{3B701260-75EE-41FB-BE32-DADFF20BA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301624</xdr:colOff>
      <xdr:row>33</xdr:row>
      <xdr:rowOff>47625</xdr:rowOff>
    </xdr:from>
    <xdr:to>
      <xdr:col>44</xdr:col>
      <xdr:colOff>539749</xdr:colOff>
      <xdr:row>68</xdr:row>
      <xdr:rowOff>79375</xdr:rowOff>
    </xdr:to>
    <xdr:graphicFrame macro="">
      <xdr:nvGraphicFramePr>
        <xdr:cNvPr id="27" name="Chart 26">
          <a:extLst>
            <a:ext uri="{FF2B5EF4-FFF2-40B4-BE49-F238E27FC236}">
              <a16:creationId xmlns:a16="http://schemas.microsoft.com/office/drawing/2014/main" id="{BA65F1C0-4222-47A5-A02D-E913EE14D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68</xdr:row>
      <xdr:rowOff>63499</xdr:rowOff>
    </xdr:from>
    <xdr:to>
      <xdr:col>16</xdr:col>
      <xdr:colOff>587375</xdr:colOff>
      <xdr:row>100</xdr:row>
      <xdr:rowOff>0</xdr:rowOff>
    </xdr:to>
    <xdr:graphicFrame macro="">
      <xdr:nvGraphicFramePr>
        <xdr:cNvPr id="29" name="Chart 28">
          <a:extLst>
            <a:ext uri="{FF2B5EF4-FFF2-40B4-BE49-F238E27FC236}">
              <a16:creationId xmlns:a16="http://schemas.microsoft.com/office/drawing/2014/main" id="{58BAA79D-C99B-4C44-91FB-CAF47D861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571500</xdr:colOff>
      <xdr:row>68</xdr:row>
      <xdr:rowOff>63500</xdr:rowOff>
    </xdr:from>
    <xdr:to>
      <xdr:col>30</xdr:col>
      <xdr:colOff>365125</xdr:colOff>
      <xdr:row>99</xdr:row>
      <xdr:rowOff>174625</xdr:rowOff>
    </xdr:to>
    <xdr:graphicFrame macro="">
      <xdr:nvGraphicFramePr>
        <xdr:cNvPr id="30" name="Chart 29">
          <a:extLst>
            <a:ext uri="{FF2B5EF4-FFF2-40B4-BE49-F238E27FC236}">
              <a16:creationId xmlns:a16="http://schemas.microsoft.com/office/drawing/2014/main" id="{18759896-3212-410F-B237-B8237F34C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349250</xdr:colOff>
      <xdr:row>68</xdr:row>
      <xdr:rowOff>63499</xdr:rowOff>
    </xdr:from>
    <xdr:to>
      <xdr:col>44</xdr:col>
      <xdr:colOff>539750</xdr:colOff>
      <xdr:row>99</xdr:row>
      <xdr:rowOff>158750</xdr:rowOff>
    </xdr:to>
    <xdr:graphicFrame macro="">
      <xdr:nvGraphicFramePr>
        <xdr:cNvPr id="32" name="Chart 31">
          <a:extLst>
            <a:ext uri="{FF2B5EF4-FFF2-40B4-BE49-F238E27FC236}">
              <a16:creationId xmlns:a16="http://schemas.microsoft.com/office/drawing/2014/main" id="{06D13469-2126-46B2-9761-71E389A06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44</xdr:col>
      <xdr:colOff>577214</xdr:colOff>
      <xdr:row>36</xdr:row>
      <xdr:rowOff>117475</xdr:rowOff>
    </xdr:from>
    <xdr:to>
      <xdr:col>52</xdr:col>
      <xdr:colOff>38099</xdr:colOff>
      <xdr:row>47</xdr:row>
      <xdr:rowOff>114300</xdr:rowOff>
    </xdr:to>
    <mc:AlternateContent xmlns:mc="http://schemas.openxmlformats.org/markup-compatibility/2006" xmlns:a14="http://schemas.microsoft.com/office/drawing/2010/main">
      <mc:Choice Requires="a14">
        <xdr:graphicFrame macro="">
          <xdr:nvGraphicFramePr>
            <xdr:cNvPr id="33" name="Campaign_Name">
              <a:extLst>
                <a:ext uri="{FF2B5EF4-FFF2-40B4-BE49-F238E27FC236}">
                  <a16:creationId xmlns:a16="http://schemas.microsoft.com/office/drawing/2014/main" id="{6C5A940B-B54F-3CA4-0C54-6FBAF1625FF5}"/>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27628214" y="7775575"/>
              <a:ext cx="4337685" cy="2092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ash sharma" refreshedDate="46090.941528009258" createdVersion="8" refreshedVersion="8" minRefreshableVersion="3" recordCount="339" xr:uid="{D7F17E8F-091A-495E-AFDA-3007E13FA8A4}">
  <cacheSource type="worksheet">
    <worksheetSource name="Table1_2"/>
  </cacheSource>
  <cacheFields count="27">
    <cacheField name="Post ID" numFmtId="0">
      <sharedItems count="3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6">
        <s v="#FutureOfDriving"/>
        <s v="#AnytimeIsTeslaTime"/>
        <s v="#TeslaCoInnovation"/>
        <s v="#BetterWithTesla"/>
        <s v="#EVRevolution"/>
        <s v="#SmoothLikeNitroTesla"/>
      </sharedItems>
    </cacheField>
    <cacheField name="Campaign_Name" numFmtId="0">
      <sharedItems count="5">
        <s v="CybertruckLaunch"/>
        <s v="ModelYCampaign"/>
        <s v="FSDUpdate"/>
        <s v="SustainabilityDrive"/>
        <s v="notavailable"/>
      </sharedItems>
    </cacheField>
    <cacheField name="Campaign Start Date" numFmtId="0">
      <sharedItems containsSemiMixedTypes="0" containsString="0" containsNumber="1" containsInteger="1" minValue="0" maxValue="45717"/>
    </cacheField>
    <cacheField name="Campaign End Date" numFmtId="0">
      <sharedItems containsSemiMixedTypes="0" containsString="0" containsNumber="1" containsInteger="1" minValue="0" maxValue="45747"/>
    </cacheField>
    <cacheField name="Column1" numFmtId="0">
      <sharedItems/>
    </cacheField>
    <cacheField name="Engagement" numFmtId="0">
      <sharedItems containsSemiMixedTypes="0" containsString="0" containsNumber="1" containsInteger="1" minValue="315" maxValue="6278" count="293">
        <n v="1989"/>
        <n v="4936"/>
        <n v="2949"/>
        <n v="2905"/>
        <n v="4668"/>
        <n v="4230"/>
        <n v="4340"/>
        <n v="4469"/>
        <n v="4996"/>
        <n v="5190"/>
        <n v="2903"/>
        <n v="3009"/>
        <n v="1688"/>
        <n v="4928"/>
        <n v="4620"/>
        <n v="4189"/>
        <n v="5022"/>
        <n v="3707"/>
        <n v="1612"/>
        <n v="4915"/>
        <n v="5606"/>
        <n v="2017"/>
        <n v="2469"/>
        <n v="4853"/>
        <n v="3536"/>
        <n v="3780"/>
        <n v="2375"/>
        <n v="1179"/>
        <n v="2721"/>
        <n v="3212"/>
        <n v="866"/>
        <n v="2609"/>
        <n v="2158"/>
        <n v="2098"/>
        <n v="4030"/>
        <n v="5186"/>
        <n v="4299"/>
        <n v="3552"/>
        <n v="4370"/>
        <n v="5316"/>
        <n v="1513"/>
        <n v="2696"/>
        <n v="2847"/>
        <n v="3486"/>
        <n v="3804"/>
        <n v="1497"/>
        <n v="3609"/>
        <n v="2723"/>
        <n v="2987"/>
        <n v="2974"/>
        <n v="2943"/>
        <n v="1635"/>
        <n v="1486"/>
        <n v="3062"/>
        <n v="1352"/>
        <n v="3811"/>
        <n v="3655"/>
        <n v="892"/>
        <n v="2830"/>
        <n v="1940"/>
        <n v="6278"/>
        <n v="513"/>
        <n v="4737"/>
        <n v="3542"/>
        <n v="2481"/>
        <n v="883"/>
        <n v="5407"/>
        <n v="3024"/>
        <n v="2414"/>
        <n v="1371"/>
        <n v="3671"/>
        <n v="497"/>
        <n v="5038"/>
        <n v="2229"/>
        <n v="2640"/>
        <n v="1274"/>
        <n v="1785"/>
        <n v="1566"/>
        <n v="3534"/>
        <n v="3098"/>
        <n v="1886"/>
        <n v="1241"/>
        <n v="1587"/>
        <n v="3034"/>
        <n v="4801"/>
        <n v="3818"/>
        <n v="2697"/>
        <n v="779"/>
        <n v="2615"/>
        <n v="4922"/>
        <n v="5169"/>
        <n v="2408"/>
        <n v="3121"/>
        <n v="3901"/>
        <n v="2048"/>
        <n v="5401"/>
        <n v="2832"/>
        <n v="4805"/>
        <n v="2282"/>
        <n v="5576"/>
        <n v="2140"/>
        <n v="4043"/>
        <n v="4509"/>
        <n v="578"/>
        <n v="5939"/>
        <n v="5735"/>
        <n v="5268"/>
        <n v="4277"/>
        <n v="4758"/>
        <n v="3021"/>
        <n v="3072"/>
        <n v="5024"/>
        <n v="5177"/>
        <n v="2634"/>
        <n v="4348"/>
        <n v="2462"/>
        <n v="5472"/>
        <n v="3123"/>
        <n v="2009"/>
        <n v="1611"/>
        <n v="4424"/>
        <n v="5152"/>
        <n v="1732"/>
        <n v="4893"/>
        <n v="4566"/>
        <n v="4546"/>
        <n v="3489"/>
        <n v="2970"/>
        <n v="3419"/>
        <n v="5709"/>
        <n v="2890"/>
        <n v="2675"/>
        <n v="3981"/>
        <n v="4900"/>
        <n v="4466"/>
        <n v="3139"/>
        <n v="735"/>
        <n v="3105"/>
        <n v="2854"/>
        <n v="4406"/>
        <n v="2731"/>
        <n v="522"/>
        <n v="6130"/>
        <n v="2119"/>
        <n v="3979"/>
        <n v="4926"/>
        <n v="2631"/>
        <n v="5473"/>
        <n v="3907"/>
        <n v="5624"/>
        <n v="1208"/>
        <n v="2204"/>
        <n v="2623"/>
        <n v="4775"/>
        <n v="5154"/>
        <n v="2590"/>
        <n v="2766"/>
        <n v="1775"/>
        <n v="5913"/>
        <n v="4160"/>
        <n v="5199"/>
        <n v="6061"/>
        <n v="3493"/>
        <n v="1695"/>
        <n v="5645"/>
        <n v="3226"/>
        <n v="4282"/>
        <n v="4666"/>
        <n v="1797"/>
        <n v="3800"/>
        <n v="2290"/>
        <n v="4229"/>
        <n v="1109"/>
        <n v="4108"/>
        <n v="3964"/>
        <n v="908"/>
        <n v="4858"/>
        <n v="4353"/>
        <n v="1865"/>
        <n v="5226"/>
        <n v="1343"/>
        <n v="4377"/>
        <n v="4741"/>
        <n v="4735"/>
        <n v="2340"/>
        <n v="3476"/>
        <n v="4385"/>
        <n v="2195"/>
        <n v="5547"/>
        <n v="2034"/>
        <n v="5304"/>
        <n v="5128"/>
        <n v="1624"/>
        <n v="2508"/>
        <n v="5585"/>
        <n v="1872"/>
        <n v="3004"/>
        <n v="4413"/>
        <n v="1308"/>
        <n v="2458"/>
        <n v="4110"/>
        <n v="3319"/>
        <n v="4785"/>
        <n v="1520"/>
        <n v="4895"/>
        <n v="3828"/>
        <n v="3661"/>
        <n v="1621"/>
        <n v="2370"/>
        <n v="4777"/>
        <n v="3767"/>
        <n v="1582"/>
        <n v="5973"/>
        <n v="1760"/>
        <n v="5767"/>
        <n v="2812"/>
        <n v="1832"/>
        <n v="1066"/>
        <n v="4984"/>
        <n v="3733"/>
        <n v="5029"/>
        <n v="2223"/>
        <n v="525"/>
        <n v="5900"/>
        <n v="5782"/>
        <n v="3975"/>
        <n v="1839"/>
        <n v="1071"/>
        <n v="2781"/>
        <n v="1836"/>
        <n v="4513"/>
        <n v="1627"/>
        <n v="4816"/>
        <n v="5487"/>
        <n v="5248"/>
        <n v="1443"/>
        <n v="5367"/>
        <n v="5297"/>
        <n v="4878"/>
        <n v="6029"/>
        <n v="5057"/>
        <n v="1514"/>
        <n v="4234"/>
        <n v="1165"/>
        <n v="1306"/>
        <n v="2560"/>
        <n v="4612"/>
        <n v="2871"/>
        <n v="4519"/>
        <n v="2359"/>
        <n v="3951"/>
        <n v="4371"/>
        <n v="869"/>
        <n v="5322"/>
        <n v="6030"/>
        <n v="1480"/>
        <n v="3498"/>
        <n v="315"/>
        <n v="5062"/>
        <n v="4284"/>
        <n v="5004"/>
        <n v="5053"/>
        <n v="4052"/>
        <n v="4435"/>
        <n v="5621"/>
        <n v="3913"/>
        <n v="4181"/>
        <n v="2917"/>
        <n v="1882"/>
        <n v="5245"/>
        <n v="5521"/>
        <n v="5879"/>
        <n v="5340"/>
        <n v="3597"/>
        <n v="2073"/>
        <n v="3726"/>
        <n v="1113"/>
        <n v="4892"/>
        <n v="3962"/>
        <n v="2104"/>
        <n v="5851"/>
        <n v="3214"/>
        <n v="3006"/>
        <n v="5033"/>
        <n v="1522"/>
        <n v="3601"/>
        <n v="5180"/>
        <n v="2583"/>
        <n v="3473"/>
        <n v="2637"/>
        <n v="5040"/>
        <n v="3215"/>
        <n v="5256"/>
      </sharedItems>
    </cacheField>
    <cacheField name="Engagement Rate" numFmtId="9">
      <sharedItems containsSemiMixedTypes="0" containsString="0" containsNumber="1" minValue="5.2551586421122697E-2" maxValue="1.8129251700680271"/>
    </cacheField>
    <cacheField name="Campaign Start Date2" numFmtId="14">
      <sharedItems containsDate="1" containsMixedTypes="1" minDate="2024-06-15T00:00:00" maxDate="2025-03-02T00:00:00"/>
    </cacheField>
    <cacheField name="Campaign End Date3" numFmtId="14">
      <sharedItems containsDate="1" containsMixedTypes="1" minDate="2024-07-15T00:00:00" maxDate="2025-04-01T00:00:00"/>
    </cacheField>
    <cacheField name="Campaign Category" numFmtId="0">
      <sharedItems count="2">
        <s v="Before Campaign"/>
        <s v="During Campaign"/>
      </sharedItems>
    </cacheField>
    <cacheField name="Campaign Budget" numFmtId="1">
      <sharedItems containsMixedTypes="1" containsNumber="1" containsInteger="1" minValue="150000" maxValue="250000" count="5">
        <n v="150000"/>
        <n v="200000"/>
        <n v="250000"/>
        <n v="180000"/>
        <s v="Not Available"/>
      </sharedItems>
    </cacheField>
    <cacheField name="ROI" numFmtId="0">
      <sharedItems containsMixedTypes="1" containsNumber="1" minValue="1.575E-3" maxValue="4.1853333333333333E-2" count="244">
        <n v="1.3259999999999999E-2"/>
        <n v="2.4680000000000001E-2"/>
        <n v="1.1795999999999999E-2"/>
        <n v="1.613888888888889E-2"/>
        <n v="3.1119999999999998E-2"/>
        <n v="2.1149999999999999E-2"/>
        <n v="2.1700000000000001E-2"/>
        <n v="2.4827777777777778E-2"/>
        <n v="2.4979999999999999E-2"/>
        <n v="2.5950000000000001E-2"/>
        <n v="1.6127777777777779E-2"/>
        <n v="1.2036E-2"/>
        <n v="1.1253333333333334E-2"/>
        <e v="#VALUE!"/>
        <n v="3.0800000000000001E-2"/>
        <n v="1.6756E-2"/>
        <n v="2.7900000000000001E-2"/>
        <n v="2.4713333333333334E-2"/>
        <n v="8.9555555555555551E-3"/>
        <n v="3.2766666666666666E-2"/>
        <n v="3.1144444444444443E-2"/>
        <n v="1.1205555555555555E-2"/>
        <n v="1.2345E-2"/>
        <n v="1.9411999999999999E-2"/>
        <n v="1.89E-2"/>
        <n v="1.3194444444444444E-2"/>
        <n v="6.5500000000000003E-3"/>
        <n v="1.0884E-2"/>
        <n v="4.3299999999999996E-3"/>
        <n v="1.7393333333333334E-2"/>
        <n v="1.4386666666666667E-2"/>
        <n v="8.3920000000000002E-3"/>
        <n v="2.0150000000000001E-2"/>
        <n v="2.5930000000000002E-2"/>
        <n v="2.1495E-2"/>
        <n v="1.9733333333333332E-2"/>
        <n v="2.9533333333333335E-2"/>
        <n v="8.405555555555555E-3"/>
        <n v="1.1388000000000001E-2"/>
        <n v="2.5360000000000001E-2"/>
        <n v="8.3166666666666667E-3"/>
        <n v="1.6594444444444443E-2"/>
        <n v="1.1896E-2"/>
        <n v="1.4715000000000001E-2"/>
        <n v="9.0833333333333339E-3"/>
        <n v="1.5310000000000001E-2"/>
        <n v="7.5111111111111108E-3"/>
        <n v="1.5244000000000001E-2"/>
        <n v="2.4366666666666665E-2"/>
        <n v="4.9555555555555559E-3"/>
        <n v="7.7600000000000004E-3"/>
        <n v="4.1853333333333333E-2"/>
        <n v="2.052E-3"/>
        <n v="1.8948E-2"/>
        <n v="1.4168E-2"/>
        <n v="5.8866666666666668E-3"/>
        <n v="2.1628000000000001E-2"/>
        <n v="9.6559999999999997E-3"/>
        <n v="1.8355E-2"/>
        <n v="2.4849999999999998E-3"/>
        <n v="2.798888888888889E-2"/>
        <n v="8.9160000000000003E-3"/>
        <n v="1.4666666666666666E-2"/>
        <n v="7.0777777777777775E-3"/>
        <n v="8.6999999999999994E-3"/>
        <n v="1.7670000000000002E-2"/>
        <n v="7.5440000000000004E-3"/>
        <n v="4.9639999999999997E-3"/>
        <n v="1.6855555555555554E-2"/>
        <n v="3.2006666666666669E-2"/>
        <n v="2.1211111111111111E-2"/>
        <n v="1.0788000000000001E-2"/>
        <n v="4.3277777777777776E-3"/>
        <n v="2.7344444444444446E-2"/>
        <n v="2.0676E-2"/>
        <n v="9.6319999999999999E-3"/>
        <n v="1.2484E-2"/>
        <n v="2.1672222222222221E-2"/>
        <n v="2.7005000000000001E-2"/>
        <n v="1.5733333333333332E-2"/>
        <n v="1.9220000000000001E-2"/>
        <n v="2.2304000000000001E-2"/>
        <n v="1.0699999999999999E-2"/>
        <n v="2.0215E-2"/>
        <n v="1.8036E-2"/>
        <n v="3.8533333333333332E-3"/>
        <n v="3.2994444444444444E-2"/>
        <n v="2.6339999999999999E-2"/>
        <n v="1.7108000000000002E-2"/>
        <n v="2.3789999999999999E-2"/>
        <n v="1.5105E-2"/>
        <n v="1.2288E-2"/>
        <n v="3.3493333333333333E-2"/>
        <n v="3.4513333333333333E-2"/>
        <n v="1.4633333333333333E-2"/>
        <n v="1.3677777777777778E-2"/>
        <n v="2.1888000000000001E-2"/>
        <n v="8.0359999999999997E-3"/>
        <n v="2.2120000000000001E-2"/>
        <n v="3.4346666666666664E-2"/>
        <n v="1.1546666666666667E-2"/>
        <n v="2.7183333333333334E-2"/>
        <n v="1.8183999999999999E-2"/>
        <n v="1.8994444444444446E-2"/>
        <n v="2.2835999999999999E-2"/>
        <n v="1.4449999999999999E-2"/>
        <n v="1.4861111111111111E-2"/>
        <n v="2.6540000000000001E-2"/>
        <n v="2.7222222222222221E-2"/>
        <n v="2.481111111111111E-2"/>
        <n v="2.9399999999999999E-3"/>
        <n v="2.07E-2"/>
        <n v="1.427E-2"/>
        <n v="1.5172222222222222E-2"/>
        <n v="2.088E-3"/>
        <n v="3.4055555555555554E-2"/>
        <n v="1.1772222222222222E-2"/>
        <n v="1.9904999999999999E-2"/>
        <n v="2.7366666666666668E-2"/>
        <n v="1.754E-2"/>
        <n v="3.0405555555555557E-2"/>
        <n v="2.6046666666666666E-2"/>
        <n v="3.1244444444444443E-2"/>
        <n v="4.8320000000000004E-3"/>
        <n v="1.2244444444444445E-2"/>
        <n v="1.3115E-2"/>
        <n v="2.3875E-2"/>
        <n v="2.5770000000000001E-2"/>
        <n v="1.7266666666666666E-2"/>
        <n v="1.383E-2"/>
        <n v="3.2849999999999997E-2"/>
        <n v="2.5995000000000001E-2"/>
        <n v="3.3672222222222221E-2"/>
        <n v="1.7465000000000001E-2"/>
        <n v="1.1299999999999999E-2"/>
        <n v="2.1506666666666667E-2"/>
        <n v="2.8546666666666668E-2"/>
        <n v="1.8664E-2"/>
        <n v="8.9849999999999999E-3"/>
        <n v="1.52E-2"/>
        <n v="9.1599999999999997E-3"/>
        <n v="6.1611111111111111E-3"/>
        <n v="2.7386666666666667E-2"/>
        <n v="1.5855999999999999E-2"/>
        <n v="5.0444444444444443E-3"/>
        <n v="2.9020000000000001E-2"/>
        <n v="7.4599999999999996E-3"/>
        <n v="2.9033333333333335E-2"/>
        <n v="6.7149999999999996E-3"/>
        <n v="2.9180000000000001E-2"/>
        <n v="1.8939999999999999E-2"/>
        <n v="9.3600000000000003E-3"/>
        <n v="1.738E-2"/>
        <n v="2.9233333333333333E-2"/>
        <n v="2.2187999999999999E-2"/>
        <n v="2.1215999999999999E-2"/>
        <n v="3.4186666666666664E-2"/>
        <n v="9.0222222222222214E-3"/>
        <n v="1.0031999999999999E-2"/>
        <n v="3.7233333333333334E-2"/>
        <n v="7.4879999999999999E-3"/>
        <n v="1.502E-2"/>
        <n v="2.2065000000000001E-2"/>
        <n v="8.7200000000000003E-3"/>
        <n v="9.8320000000000005E-3"/>
        <n v="2.7400000000000001E-2"/>
        <n v="1.3276E-2"/>
        <n v="2.6583333333333334E-2"/>
        <n v="1.0133333333333333E-2"/>
        <n v="1.958E-2"/>
        <n v="1.9140000000000001E-2"/>
        <n v="2.0338888888888889E-2"/>
        <n v="1.0806666666666666E-2"/>
        <n v="1.3166666666666667E-2"/>
        <n v="2.3885E-2"/>
        <n v="2.0927777777777778E-2"/>
        <n v="7.9100000000000004E-3"/>
        <n v="2.9864999999999999E-2"/>
        <n v="8.8000000000000005E-3"/>
        <n v="1.5622222222222221E-2"/>
        <n v="1.0177777777777779E-2"/>
        <n v="1.8866666666666667E-2"/>
        <n v="5.4079999999999996E-3"/>
        <n v="2.0999999999999999E-3"/>
        <n v="3.9333333333333331E-2"/>
        <n v="1.5900000000000001E-2"/>
        <n v="1.226E-2"/>
        <n v="5.9500000000000004E-3"/>
        <n v="1.545E-2"/>
        <n v="1.8051999999999999E-2"/>
        <n v="8.1349999999999999E-3"/>
        <n v="3.2106666666666665E-2"/>
        <n v="3.0483333333333335E-2"/>
        <n v="5.7720000000000002E-3"/>
        <n v="2.9816666666666668E-2"/>
        <n v="2.1187999999999999E-2"/>
        <n v="2.7099999999999999E-2"/>
        <n v="2.4115999999999999E-2"/>
        <n v="3.3713333333333331E-2"/>
        <n v="7.5700000000000003E-3"/>
        <n v="6.5300000000000002E-3"/>
        <n v="1.0536E-2"/>
        <n v="1.4355E-2"/>
        <n v="2.5105555555555555E-2"/>
        <n v="1.1795E-2"/>
        <n v="1.9755000000000002E-2"/>
        <n v="2.1854999999999999E-2"/>
        <n v="5.7933333333333335E-3"/>
        <n v="2.1288000000000001E-2"/>
        <n v="4.02E-2"/>
        <n v="1.7489999999999999E-2"/>
        <n v="1.575E-3"/>
        <n v="1.5816666666666666E-2"/>
        <n v="2.0247999999999999E-2"/>
        <n v="3.3360000000000001E-2"/>
        <n v="2.5264999999999999E-2"/>
        <n v="1.6208E-2"/>
        <n v="2.2175E-2"/>
        <n v="2.2484000000000001E-2"/>
        <n v="2.1738888888888887E-2"/>
        <n v="2.3227777777777778E-2"/>
        <n v="1.1668E-2"/>
        <n v="9.41E-3"/>
        <n v="3.4966666666666667E-2"/>
        <n v="3.0672222222222222E-2"/>
        <n v="2.9395000000000001E-2"/>
        <n v="2.9666666666666668E-2"/>
        <n v="1.7985000000000001E-2"/>
        <n v="8.2920000000000008E-3"/>
        <n v="1.8630000000000001E-2"/>
        <n v="6.1833333333333332E-3"/>
        <n v="1.5848000000000001E-2"/>
        <n v="1.4026666666666666E-2"/>
        <n v="2.3404000000000001E-2"/>
        <n v="1.67E-2"/>
        <n v="2.796111111111111E-2"/>
        <n v="2.4006666666666666E-2"/>
        <n v="2.0719999999999999E-2"/>
        <n v="1.2914999999999999E-2"/>
        <n v="1.9294444444444444E-2"/>
        <n v="1.465E-2"/>
        <n v="2.0160000000000001E-2"/>
        <n v="1.286E-2"/>
        <n v="3.5040000000000002E-2"/>
      </sharedItems>
    </cacheField>
    <cacheField name="Follower Growth" numFmtId="0">
      <sharedItems containsSemiMixedTypes="0" containsString="0" containsNumber="1" containsInteger="1" minValue="415" maxValue="1090" count="4">
        <n v="415"/>
        <n v="1090"/>
        <n v="1047"/>
        <n v="1002"/>
      </sharedItems>
    </cacheField>
    <cacheField name="Week Number" numFmtId="0">
      <sharedItems containsSemiMixedTypes="0" containsString="0" containsNumber="1" containsInteger="1" minValue="1" maxValue="53" count="52">
        <n v="52"/>
        <n v="14"/>
        <n v="20"/>
        <n v="33"/>
        <n v="26"/>
        <n v="44"/>
        <n v="28"/>
        <n v="35"/>
        <n v="11"/>
        <n v="6"/>
        <n v="30"/>
        <n v="47"/>
        <n v="8"/>
        <n v="43"/>
        <n v="19"/>
        <n v="34"/>
        <n v="37"/>
        <n v="1"/>
        <n v="9"/>
        <n v="45"/>
        <n v="4"/>
        <n v="15"/>
        <n v="38"/>
        <n v="10"/>
        <n v="5"/>
        <n v="51"/>
        <n v="31"/>
        <n v="13"/>
        <n v="48"/>
        <n v="16"/>
        <n v="2"/>
        <n v="50"/>
        <n v="18"/>
        <n v="24"/>
        <n v="27"/>
        <n v="25"/>
        <n v="36"/>
        <n v="42"/>
        <n v="41"/>
        <n v="23"/>
        <n v="7"/>
        <n v="32"/>
        <n v="40"/>
        <n v="46"/>
        <n v="12"/>
        <n v="17"/>
        <n v="29"/>
        <n v="49"/>
        <n v="53"/>
        <n v="3"/>
        <n v="22"/>
        <n v="39"/>
      </sharedItems>
    </cacheField>
    <cacheField name="Moving Average" numFmtId="0">
      <sharedItems containsString="0" containsBlank="1" containsNumber="1" minValue="449.40117994100297" maxValue="449.40117994100297"/>
    </cacheField>
    <cacheField name="Ad Spend" numFmtId="0">
      <sharedItems containsSemiMixedTypes="0" containsString="0" containsNumber="1" containsInteger="1" minValue="5904" maxValue="30671" count="4">
        <n v="26752"/>
        <n v="30671"/>
        <n v="5904"/>
        <n v="9566"/>
      </sharedItems>
    </cacheField>
  </cacheFields>
  <extLst>
    <ext xmlns:x14="http://schemas.microsoft.com/office/spreadsheetml/2009/9/main" uri="{725AE2AE-9491-48be-B2B4-4EB974FC3084}">
      <x14:pivotCacheDefinition pivotCacheId="11241306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ash sharma" refreshedDate="46090.941529282405" createdVersion="8" refreshedVersion="8" minRefreshableVersion="3" recordCount="200" xr:uid="{2CA4DF1B-4617-4587-B211-5D3C67A4C2E6}">
  <cacheSource type="worksheet">
    <worksheetSource ref="A1:I201" sheet="Engagement Summary"/>
  </cacheSource>
  <cacheFields count="9">
    <cacheField name="Week_Start_Date" numFmtId="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167">
      <sharedItems containsSemiMixedTypes="0" containsString="0" containsNumber="1" containsInteger="1" minValue="1083" maxValue="49772"/>
    </cacheField>
    <cacheField name="Net Follower" numFmtId="0">
      <sharedItems containsSemiMixedTypes="0" containsString="0" containsNumber="1" containsInteger="1" minValue="-337" maxValue="1881"/>
    </cacheField>
    <cacheField name="Follower Growth Rate" numFmtId="10">
      <sharedItems containsSemiMixedTypes="0" containsString="0"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ash sharma" refreshedDate="46090.94152951389" createdVersion="8" refreshedVersion="8" minRefreshableVersion="3" recordCount="200" xr:uid="{6F756F84-0C61-44CD-BEFD-538326D9B071}">
  <cacheSource type="worksheet">
    <worksheetSource name="Table4"/>
  </cacheSource>
  <cacheFields count="10">
    <cacheField name="Week_Start_Date" numFmtId="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167">
      <sharedItems containsSemiMixedTypes="0" containsString="0" containsNumber="1" containsInteger="1" minValue="1083" maxValue="49772" count="199">
        <n v="5904"/>
        <n v="9566"/>
        <n v="26752"/>
        <n v="30671"/>
        <n v="9920"/>
        <n v="7924"/>
        <n v="8912"/>
        <n v="21205"/>
        <n v="11329"/>
        <n v="46670"/>
        <n v="22482"/>
        <n v="24313"/>
        <n v="18050"/>
        <n v="30635"/>
        <n v="31280"/>
        <n v="1783"/>
        <n v="42307"/>
        <n v="5914"/>
        <n v="30060"/>
        <n v="22728"/>
        <n v="38610"/>
        <n v="2932"/>
        <n v="15071"/>
        <n v="10740"/>
        <n v="43420"/>
        <n v="32393"/>
        <n v="28474"/>
        <n v="17328"/>
        <n v="26067"/>
        <n v="32763"/>
        <n v="26452"/>
        <n v="15353"/>
        <n v="4839"/>
        <n v="39272"/>
        <n v="16804"/>
        <n v="49303"/>
        <n v="26455"/>
        <n v="12384"/>
        <n v="49372"/>
        <n v="47101"/>
        <n v="37903"/>
        <n v="33258"/>
        <n v="6915"/>
        <n v="35501"/>
        <n v="14203"/>
        <n v="22206"/>
        <n v="10283"/>
        <n v="24913"/>
        <n v="26925"/>
        <n v="9942"/>
        <n v="32929"/>
        <n v="37829"/>
        <n v="24384"/>
        <n v="25797"/>
        <n v="12646"/>
        <n v="26663"/>
        <n v="40478"/>
        <n v="15476"/>
        <n v="10217"/>
        <n v="21939"/>
        <n v="47462"/>
        <n v="30270"/>
        <n v="5442"/>
        <n v="1083"/>
        <n v="11901"/>
        <n v="24018"/>
        <n v="38883"/>
        <n v="30575"/>
        <n v="2315"/>
        <n v="12148"/>
        <n v="36851"/>
        <n v="41215"/>
        <n v="43836"/>
        <n v="4509"/>
        <n v="27822"/>
        <n v="36397"/>
        <n v="7285"/>
        <n v="33174"/>
        <n v="6742"/>
        <n v="32478"/>
        <n v="42824"/>
        <n v="21208"/>
        <n v="44321"/>
        <n v="13116"/>
        <n v="30214"/>
        <n v="15827"/>
        <n v="46643"/>
        <n v="36484"/>
        <n v="4996"/>
        <n v="36095"/>
        <n v="16443"/>
        <n v="47812"/>
        <n v="38452"/>
        <n v="30428"/>
        <n v="9269"/>
        <n v="29533"/>
        <n v="39997"/>
        <n v="5391"/>
        <n v="22373"/>
        <n v="1810"/>
        <n v="28498"/>
        <n v="39530"/>
        <n v="37876"/>
        <n v="36103"/>
        <n v="26103"/>
        <n v="3455"/>
        <n v="40888"/>
        <n v="22724"/>
        <n v="18601"/>
        <n v="20861"/>
        <n v="46625"/>
        <n v="20692"/>
        <n v="18656"/>
        <n v="13316"/>
        <n v="49558"/>
        <n v="4683"/>
        <n v="47502"/>
        <n v="35359"/>
        <n v="14154"/>
        <n v="4313"/>
        <n v="25140"/>
        <n v="9118"/>
        <n v="39931"/>
        <n v="37132"/>
        <n v="17951"/>
        <n v="2798"/>
        <n v="15045"/>
        <n v="14548"/>
        <n v="45708"/>
        <n v="12350"/>
        <n v="40868"/>
        <n v="43122"/>
        <n v="23853"/>
        <n v="45380"/>
        <n v="7705"/>
        <n v="25525"/>
        <n v="20560"/>
        <n v="19119"/>
        <n v="43999"/>
        <n v="10825"/>
        <n v="40323"/>
        <n v="48270"/>
        <n v="18001"/>
        <n v="3314"/>
        <n v="23489"/>
        <n v="42832"/>
        <n v="24494"/>
        <n v="44097"/>
        <n v="31853"/>
        <n v="37636"/>
        <n v="22996"/>
        <n v="49772"/>
        <n v="22713"/>
        <n v="8718"/>
        <n v="39031"/>
        <n v="33799"/>
        <n v="20553"/>
        <n v="10002"/>
        <n v="30987"/>
        <n v="6296"/>
        <n v="21539"/>
        <n v="14722"/>
        <n v="11383"/>
        <n v="9480"/>
        <n v="29116"/>
        <n v="14068"/>
        <n v="35801"/>
        <n v="49077"/>
        <n v="21453"/>
        <n v="21061"/>
        <n v="20059"/>
        <n v="23140"/>
        <n v="23461"/>
        <n v="11805"/>
        <n v="15969"/>
        <n v="2436"/>
        <n v="47603"/>
        <n v="42964"/>
        <n v="39923"/>
        <n v="2293"/>
        <n v="25920"/>
        <n v="11035"/>
        <n v="20733"/>
        <n v="18693"/>
        <n v="7875"/>
        <n v="8471"/>
        <n v="14090"/>
        <n v="14216"/>
        <n v="3582"/>
        <n v="32500"/>
        <n v="6832"/>
        <n v="33381"/>
        <n v="48419"/>
        <n v="16149"/>
        <n v="7541"/>
        <n v="20042"/>
        <n v="49400"/>
        <n v="4007"/>
        <n v="12174"/>
      </sharedItems>
    </cacheField>
    <cacheField name="Net Follower" numFmtId="0">
      <sharedItems containsSemiMixedTypes="0" containsString="0" containsNumber="1" containsInteger="1" minValue="-337" maxValue="1881"/>
    </cacheField>
    <cacheField name="Follower Growth Rate" numFmtId="10">
      <sharedItems containsSemiMixedTypes="0" containsString="0" containsNumber="1" minValue="-4.0819787301048958E-3" maxValue="0.10825114265095021"/>
    </cacheField>
    <cacheField name="week number" numFmtId="0">
      <sharedItems containsSemiMixedTypes="0" containsString="0" containsNumber="1" containsInteger="1" minValue="2" maxValue="53" count="50">
        <n v="23"/>
        <n v="24"/>
        <n v="25"/>
        <n v="26"/>
        <n v="27"/>
        <n v="28"/>
        <n v="29"/>
        <n v="30"/>
        <n v="31"/>
        <n v="32"/>
        <n v="33"/>
        <n v="34"/>
        <n v="35"/>
        <n v="36"/>
        <n v="37"/>
        <n v="38"/>
        <n v="39"/>
        <n v="40"/>
        <n v="41"/>
        <n v="42"/>
        <n v="43"/>
        <n v="44"/>
        <n v="45"/>
        <n v="46"/>
        <n v="47"/>
        <n v="48"/>
        <n v="49"/>
        <n v="50"/>
        <n v="51"/>
        <n v="52"/>
        <n v="53"/>
        <n v="2"/>
        <n v="3"/>
        <n v="4"/>
        <n v="5"/>
        <n v="6"/>
        <n v="7"/>
        <n v="8"/>
        <n v="9"/>
        <n v="10"/>
        <n v="11"/>
        <n v="12"/>
        <n v="13"/>
        <n v="14"/>
        <n v="15"/>
        <n v="16"/>
        <n v="17"/>
        <n v="18"/>
        <n v="19"/>
        <n v="2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x v="0"/>
    <d v="2024-12-23T00:00:00"/>
    <x v="0"/>
    <s v="Check out our latest reel on twitter!"/>
    <n v="1461"/>
    <n v="184"/>
    <n v="344"/>
    <n v="21915"/>
    <n v="21675"/>
    <n v="15"/>
    <x v="0"/>
    <x v="0"/>
    <n v="45458"/>
    <n v="45488"/>
    <s v="Before Campaign"/>
    <x v="0"/>
    <n v="9.0759753593429152E-2"/>
    <d v="2024-06-15T00:00:00"/>
    <d v="2024-07-15T00:00:00"/>
    <x v="0"/>
    <x v="0"/>
    <n v="1.3259999999999999E-2"/>
    <x v="0"/>
    <x v="0"/>
    <n v="449.40117994100297"/>
    <x v="0"/>
  </r>
  <r>
    <x v="0"/>
    <x v="0"/>
    <d v="2024-12-23T00:00:00"/>
    <x v="0"/>
    <s v="Check out our latest reel on twitter!"/>
    <n v="1461"/>
    <n v="184"/>
    <n v="344"/>
    <n v="21915"/>
    <n v="21675"/>
    <n v="15"/>
    <x v="1"/>
    <x v="0"/>
    <n v="45458"/>
    <n v="45488"/>
    <s v="Before Campaign"/>
    <x v="0"/>
    <n v="9.0759753593429152E-2"/>
    <d v="2024-06-15T00:00:00"/>
    <d v="2024-07-15T00:00:00"/>
    <x v="0"/>
    <x v="0"/>
    <n v="1.3259999999999999E-2"/>
    <x v="0"/>
    <x v="0"/>
    <m/>
    <x v="0"/>
  </r>
  <r>
    <x v="1"/>
    <x v="0"/>
    <d v="2025-04-03T00:00:00"/>
    <x v="1"/>
    <s v="Check out our latest text on twitter!"/>
    <n v="4054"/>
    <n v="389"/>
    <n v="493"/>
    <n v="64864"/>
    <n v="64383"/>
    <n v="117"/>
    <x v="2"/>
    <x v="1"/>
    <n v="45566"/>
    <n v="45596"/>
    <s v="Before Campaign"/>
    <x v="1"/>
    <n v="7.6097681302417369E-2"/>
    <d v="2024-10-01T00:00:00"/>
    <d v="2024-10-31T00:00:00"/>
    <x v="0"/>
    <x v="1"/>
    <n v="2.4680000000000001E-2"/>
    <x v="0"/>
    <x v="1"/>
    <m/>
    <x v="0"/>
  </r>
  <r>
    <x v="1"/>
    <x v="0"/>
    <d v="2025-04-03T00:00:00"/>
    <x v="1"/>
    <s v="Check out our latest text on twitter!"/>
    <n v="4054"/>
    <n v="389"/>
    <n v="493"/>
    <n v="64864"/>
    <n v="64383"/>
    <n v="117"/>
    <x v="3"/>
    <x v="1"/>
    <n v="45566"/>
    <n v="45596"/>
    <s v="Before Campaign"/>
    <x v="1"/>
    <n v="7.6097681302417369E-2"/>
    <d v="2024-10-01T00:00:00"/>
    <d v="2024-10-31T00:00:00"/>
    <x v="0"/>
    <x v="1"/>
    <n v="2.4680000000000001E-2"/>
    <x v="0"/>
    <x v="1"/>
    <m/>
    <x v="0"/>
  </r>
  <r>
    <x v="2"/>
    <x v="1"/>
    <d v="2025-05-12T00:00:00"/>
    <x v="0"/>
    <s v="Check out our latest reel on youtube!"/>
    <n v="2795"/>
    <n v="105"/>
    <n v="49"/>
    <n v="53105"/>
    <n v="52307"/>
    <n v="204"/>
    <x v="2"/>
    <x v="2"/>
    <n v="45651"/>
    <n v="45667"/>
    <s v="Before Campaign"/>
    <x v="2"/>
    <n v="5.5531494209584788E-2"/>
    <d v="2024-12-25T00:00:00"/>
    <d v="2025-01-10T00:00:00"/>
    <x v="0"/>
    <x v="2"/>
    <n v="1.1795999999999999E-2"/>
    <x v="1"/>
    <x v="2"/>
    <m/>
    <x v="1"/>
  </r>
  <r>
    <x v="3"/>
    <x v="2"/>
    <d v="2024-08-12T00:00:00"/>
    <x v="2"/>
    <s v="Check out our latest story on instagram!"/>
    <n v="2404"/>
    <n v="363"/>
    <n v="138"/>
    <n v="19232"/>
    <n v="18636"/>
    <n v="128"/>
    <x v="4"/>
    <x v="3"/>
    <n v="45717"/>
    <n v="45747"/>
    <s v="Before Campaign"/>
    <x v="3"/>
    <n v="0.15105033277870217"/>
    <d v="2025-03-01T00:00:00"/>
    <d v="2025-03-31T00:00:00"/>
    <x v="0"/>
    <x v="3"/>
    <n v="1.613888888888889E-2"/>
    <x v="2"/>
    <x v="3"/>
    <m/>
    <x v="2"/>
  </r>
  <r>
    <x v="4"/>
    <x v="1"/>
    <d v="2024-06-26T00:00:00"/>
    <x v="0"/>
    <s v="Check out our latest reel on youtube!"/>
    <n v="3557"/>
    <n v="687"/>
    <n v="424"/>
    <n v="71140"/>
    <n v="70701"/>
    <n v="224"/>
    <x v="4"/>
    <x v="0"/>
    <n v="45458"/>
    <n v="45488"/>
    <s v="Before Campaign"/>
    <x v="4"/>
    <n v="6.5617093055946027E-2"/>
    <d v="2024-06-15T00:00:00"/>
    <d v="2024-07-15T00:00:00"/>
    <x v="1"/>
    <x v="0"/>
    <n v="3.1119999999999998E-2"/>
    <x v="1"/>
    <x v="4"/>
    <m/>
    <x v="1"/>
  </r>
  <r>
    <x v="4"/>
    <x v="1"/>
    <d v="2024-06-26T00:00:00"/>
    <x v="0"/>
    <s v="Check out our latest reel on youtube!"/>
    <n v="3557"/>
    <n v="687"/>
    <n v="424"/>
    <n v="71140"/>
    <n v="70701"/>
    <n v="224"/>
    <x v="2"/>
    <x v="0"/>
    <n v="45458"/>
    <n v="45488"/>
    <s v="Before Campaign"/>
    <x v="4"/>
    <n v="6.5617093055946027E-2"/>
    <d v="2024-06-15T00:00:00"/>
    <d v="2024-07-15T00:00:00"/>
    <x v="1"/>
    <x v="0"/>
    <n v="3.1119999999999998E-2"/>
    <x v="1"/>
    <x v="4"/>
    <m/>
    <x v="1"/>
  </r>
  <r>
    <x v="5"/>
    <x v="3"/>
    <d v="2024-10-31T00:00:00"/>
    <x v="3"/>
    <s v="Check out our latest carousel on facebook!"/>
    <n v="2945"/>
    <n v="930"/>
    <n v="355"/>
    <n v="23560"/>
    <n v="23275"/>
    <n v="256"/>
    <x v="2"/>
    <x v="1"/>
    <n v="45566"/>
    <n v="45596"/>
    <s v="Before Campaign"/>
    <x v="5"/>
    <n v="0.17954159592529711"/>
    <d v="2024-10-01T00:00:00"/>
    <d v="2024-10-31T00:00:00"/>
    <x v="1"/>
    <x v="1"/>
    <n v="2.1149999999999999E-2"/>
    <x v="3"/>
    <x v="5"/>
    <m/>
    <x v="3"/>
  </r>
  <r>
    <x v="6"/>
    <x v="0"/>
    <d v="2024-06-24T00:00:00"/>
    <x v="3"/>
    <s v="Check out our latest carousel on twitter!"/>
    <n v="3860"/>
    <n v="201"/>
    <n v="279"/>
    <n v="61760"/>
    <n v="61660"/>
    <n v="235"/>
    <x v="2"/>
    <x v="1"/>
    <n v="45566"/>
    <n v="45596"/>
    <s v="Before Campaign"/>
    <x v="6"/>
    <n v="7.0272020725388601E-2"/>
    <d v="2024-10-01T00:00:00"/>
    <d v="2024-10-31T00:00:00"/>
    <x v="0"/>
    <x v="1"/>
    <n v="2.1700000000000001E-2"/>
    <x v="0"/>
    <x v="4"/>
    <m/>
    <x v="0"/>
  </r>
  <r>
    <x v="7"/>
    <x v="1"/>
    <d v="2024-07-13T00:00:00"/>
    <x v="4"/>
    <s v="Check out our latest image on youtube!"/>
    <n v="3929"/>
    <n v="262"/>
    <n v="278"/>
    <n v="43219"/>
    <n v="42841"/>
    <n v="39"/>
    <x v="4"/>
    <x v="3"/>
    <n v="45717"/>
    <n v="45747"/>
    <s v="Before Campaign"/>
    <x v="7"/>
    <n v="0.10340359564080613"/>
    <d v="2025-03-01T00:00:00"/>
    <d v="2025-03-31T00:00:00"/>
    <x v="0"/>
    <x v="3"/>
    <n v="2.4827777777777778E-2"/>
    <x v="1"/>
    <x v="6"/>
    <m/>
    <x v="1"/>
  </r>
  <r>
    <x v="8"/>
    <x v="3"/>
    <d v="2024-08-30T00:00:00"/>
    <x v="1"/>
    <s v="Check out our latest text on facebook!"/>
    <n v="3784"/>
    <n v="808"/>
    <n v="404"/>
    <n v="56760"/>
    <n v="56343"/>
    <n v="131"/>
    <x v="2"/>
    <x v="1"/>
    <n v="45566"/>
    <n v="45596"/>
    <s v="Before Campaign"/>
    <x v="8"/>
    <n v="8.8019732205778717E-2"/>
    <d v="2024-10-01T00:00:00"/>
    <d v="2024-10-31T00:00:00"/>
    <x v="0"/>
    <x v="1"/>
    <n v="2.4979999999999999E-2"/>
    <x v="3"/>
    <x v="7"/>
    <m/>
    <x v="3"/>
  </r>
  <r>
    <x v="9"/>
    <x v="3"/>
    <d v="2025-03-11T00:00:00"/>
    <x v="4"/>
    <s v="Check out our latest image on facebook!"/>
    <n v="4241"/>
    <n v="902"/>
    <n v="47"/>
    <n v="72097"/>
    <n v="71598"/>
    <n v="167"/>
    <x v="2"/>
    <x v="1"/>
    <n v="45566"/>
    <n v="45596"/>
    <s v="Before Campaign"/>
    <x v="9"/>
    <n v="7.198635172059864E-2"/>
    <d v="2024-10-01T00:00:00"/>
    <d v="2024-10-31T00:00:00"/>
    <x v="0"/>
    <x v="1"/>
    <n v="2.5950000000000001E-2"/>
    <x v="3"/>
    <x v="8"/>
    <m/>
    <x v="3"/>
  </r>
  <r>
    <x v="10"/>
    <x v="2"/>
    <d v="2025-02-02T00:00:00"/>
    <x v="2"/>
    <s v="Check out our latest story on instagram!"/>
    <n v="1792"/>
    <n v="614"/>
    <n v="497"/>
    <n v="25088"/>
    <n v="24675"/>
    <n v="65"/>
    <x v="0"/>
    <x v="3"/>
    <n v="45717"/>
    <n v="45747"/>
    <s v="Before Campaign"/>
    <x v="10"/>
    <n v="0.11571269132653061"/>
    <d v="2025-03-01T00:00:00"/>
    <d v="2025-03-31T00:00:00"/>
    <x v="0"/>
    <x v="3"/>
    <n v="1.6127777777777779E-2"/>
    <x v="2"/>
    <x v="9"/>
    <m/>
    <x v="2"/>
  </r>
  <r>
    <x v="11"/>
    <x v="3"/>
    <d v="2024-07-21T00:00:00"/>
    <x v="0"/>
    <s v="Check out our latest reel on facebook!"/>
    <n v="1946"/>
    <n v="686"/>
    <n v="377"/>
    <n v="23352"/>
    <n v="22982"/>
    <n v="213"/>
    <x v="0"/>
    <x v="2"/>
    <n v="45651"/>
    <n v="45667"/>
    <s v="Before Campaign"/>
    <x v="11"/>
    <n v="0.12885405960945528"/>
    <d v="2024-12-25T00:00:00"/>
    <d v="2025-01-10T00:00:00"/>
    <x v="0"/>
    <x v="2"/>
    <n v="1.2036E-2"/>
    <x v="3"/>
    <x v="10"/>
    <m/>
    <x v="3"/>
  </r>
  <r>
    <x v="12"/>
    <x v="1"/>
    <d v="2024-11-18T00:00:00"/>
    <x v="3"/>
    <s v="Check out our latest carousel on youtube!"/>
    <n v="1171"/>
    <n v="286"/>
    <n v="231"/>
    <n v="22249"/>
    <n v="21282"/>
    <n v="114"/>
    <x v="4"/>
    <x v="0"/>
    <n v="45458"/>
    <n v="45488"/>
    <s v="Before Campaign"/>
    <x v="12"/>
    <n v="7.5868578363072495E-2"/>
    <d v="2024-06-15T00:00:00"/>
    <d v="2024-07-15T00:00:00"/>
    <x v="0"/>
    <x v="0"/>
    <n v="1.1253333333333334E-2"/>
    <x v="1"/>
    <x v="11"/>
    <m/>
    <x v="1"/>
  </r>
  <r>
    <x v="13"/>
    <x v="3"/>
    <d v="2025-02-16T00:00:00"/>
    <x v="2"/>
    <s v="Check out our latest story on facebook!"/>
    <n v="4242"/>
    <n v="555"/>
    <n v="131"/>
    <n v="33936"/>
    <n v="33802"/>
    <n v="265"/>
    <x v="0"/>
    <x v="4"/>
    <n v="0"/>
    <n v="0"/>
    <s v="Before Campaign"/>
    <x v="13"/>
    <n v="0.14521452145214522"/>
    <s v="not found"/>
    <s v="not found"/>
    <x v="0"/>
    <x v="4"/>
    <e v="#VALUE!"/>
    <x v="3"/>
    <x v="12"/>
    <m/>
    <x v="3"/>
  </r>
  <r>
    <x v="14"/>
    <x v="3"/>
    <d v="2024-10-24T00:00:00"/>
    <x v="5"/>
    <s v="Check out our latest video on facebook!"/>
    <n v="3888"/>
    <n v="604"/>
    <n v="128"/>
    <n v="77760"/>
    <n v="77167"/>
    <n v="20"/>
    <x v="0"/>
    <x v="0"/>
    <n v="45458"/>
    <n v="45488"/>
    <s v="Before Campaign"/>
    <x v="14"/>
    <n v="5.941358024691358E-2"/>
    <d v="2024-06-15T00:00:00"/>
    <d v="2024-07-15T00:00:00"/>
    <x v="0"/>
    <x v="0"/>
    <n v="3.0800000000000001E-2"/>
    <x v="3"/>
    <x v="13"/>
    <m/>
    <x v="3"/>
  </r>
  <r>
    <x v="15"/>
    <x v="3"/>
    <d v="2024-08-26T00:00:00"/>
    <x v="1"/>
    <s v="Check out our latest text on facebook!"/>
    <n v="3452"/>
    <n v="377"/>
    <n v="360"/>
    <n v="55232"/>
    <n v="55075"/>
    <n v="87"/>
    <x v="0"/>
    <x v="2"/>
    <n v="45651"/>
    <n v="45667"/>
    <s v="Before Campaign"/>
    <x v="15"/>
    <n v="7.5843713789107758E-2"/>
    <d v="2024-12-25T00:00:00"/>
    <d v="2025-01-10T00:00:00"/>
    <x v="0"/>
    <x v="2"/>
    <n v="1.6756E-2"/>
    <x v="3"/>
    <x v="7"/>
    <m/>
    <x v="3"/>
  </r>
  <r>
    <x v="16"/>
    <x v="3"/>
    <d v="2025-05-05T00:00:00"/>
    <x v="1"/>
    <s v="Check out our latest text on facebook!"/>
    <n v="4441"/>
    <n v="511"/>
    <n v="70"/>
    <n v="53292"/>
    <n v="53082"/>
    <n v="159"/>
    <x v="4"/>
    <x v="3"/>
    <n v="45717"/>
    <n v="45747"/>
    <s v="Before Campaign"/>
    <x v="16"/>
    <n v="9.4235532537716729E-2"/>
    <d v="2025-03-01T00:00:00"/>
    <d v="2025-03-31T00:00:00"/>
    <x v="0"/>
    <x v="3"/>
    <n v="2.7900000000000001E-2"/>
    <x v="3"/>
    <x v="14"/>
    <m/>
    <x v="3"/>
  </r>
  <r>
    <x v="17"/>
    <x v="2"/>
    <d v="2024-08-19T00:00:00"/>
    <x v="0"/>
    <s v="Check out our latest reel on instagram!"/>
    <n v="3000"/>
    <n v="382"/>
    <n v="325"/>
    <n v="36000"/>
    <n v="35819"/>
    <n v="19"/>
    <x v="0"/>
    <x v="0"/>
    <n v="45458"/>
    <n v="45488"/>
    <s v="Before Campaign"/>
    <x v="17"/>
    <n v="0.10297222222222223"/>
    <d v="2024-06-15T00:00:00"/>
    <d v="2024-07-15T00:00:00"/>
    <x v="0"/>
    <x v="0"/>
    <n v="2.4713333333333334E-2"/>
    <x v="2"/>
    <x v="15"/>
    <m/>
    <x v="2"/>
  </r>
  <r>
    <x v="18"/>
    <x v="2"/>
    <d v="2024-06-23T00:00:00"/>
    <x v="5"/>
    <s v="Check out our latest video on instagram!"/>
    <n v="1071"/>
    <n v="519"/>
    <n v="22"/>
    <n v="16065"/>
    <n v="15865"/>
    <n v="103"/>
    <x v="2"/>
    <x v="3"/>
    <n v="45717"/>
    <n v="45747"/>
    <s v="Before Campaign"/>
    <x v="18"/>
    <n v="0.10034235916588857"/>
    <d v="2025-03-01T00:00:00"/>
    <d v="2025-03-31T00:00:00"/>
    <x v="0"/>
    <x v="3"/>
    <n v="8.9555555555555551E-3"/>
    <x v="2"/>
    <x v="4"/>
    <m/>
    <x v="2"/>
  </r>
  <r>
    <x v="19"/>
    <x v="2"/>
    <d v="2024-09-09T00:00:00"/>
    <x v="3"/>
    <s v="Check out our latest carousel on instagram!"/>
    <n v="4054"/>
    <n v="488"/>
    <n v="373"/>
    <n v="77026"/>
    <n v="76881"/>
    <n v="25"/>
    <x v="2"/>
    <x v="0"/>
    <n v="45458"/>
    <n v="45488"/>
    <s v="Before Campaign"/>
    <x v="19"/>
    <n v="6.3809622724794221E-2"/>
    <d v="2024-06-15T00:00:00"/>
    <d v="2024-07-15T00:00:00"/>
    <x v="0"/>
    <x v="0"/>
    <n v="3.2766666666666666E-2"/>
    <x v="2"/>
    <x v="16"/>
    <m/>
    <x v="2"/>
  </r>
  <r>
    <x v="20"/>
    <x v="2"/>
    <d v="2025-01-04T00:00:00"/>
    <x v="0"/>
    <s v="Check out our latest reel on instagram!"/>
    <n v="4838"/>
    <n v="640"/>
    <n v="128"/>
    <n v="72570"/>
    <n v="72396"/>
    <n v="83"/>
    <x v="0"/>
    <x v="3"/>
    <n v="45717"/>
    <n v="45747"/>
    <s v="Before Campaign"/>
    <x v="20"/>
    <n v="7.7249552156538517E-2"/>
    <d v="2025-03-01T00:00:00"/>
    <d v="2025-03-31T00:00:00"/>
    <x v="0"/>
    <x v="3"/>
    <n v="3.1144444444444443E-2"/>
    <x v="2"/>
    <x v="17"/>
    <m/>
    <x v="2"/>
  </r>
  <r>
    <x v="21"/>
    <x v="3"/>
    <d v="2025-02-27T00:00:00"/>
    <x v="1"/>
    <s v="Check out our latest text on facebook!"/>
    <n v="1570"/>
    <n v="187"/>
    <n v="260"/>
    <n v="25120"/>
    <n v="24613"/>
    <n v="133"/>
    <x v="2"/>
    <x v="3"/>
    <n v="45717"/>
    <n v="45747"/>
    <s v="Before Campaign"/>
    <x v="21"/>
    <n v="8.0294585987261149E-2"/>
    <d v="2025-03-01T00:00:00"/>
    <d v="2025-03-31T00:00:00"/>
    <x v="0"/>
    <x v="3"/>
    <n v="1.1205555555555555E-2"/>
    <x v="3"/>
    <x v="18"/>
    <m/>
    <x v="3"/>
  </r>
  <r>
    <x v="22"/>
    <x v="3"/>
    <d v="2024-11-06T00:00:00"/>
    <x v="5"/>
    <s v="Check out our latest video on facebook!"/>
    <n v="1606"/>
    <n v="547"/>
    <n v="316"/>
    <n v="32120"/>
    <n v="31736"/>
    <n v="225"/>
    <x v="2"/>
    <x v="1"/>
    <n v="45566"/>
    <n v="45596"/>
    <s v="Before Campaign"/>
    <x v="22"/>
    <n v="7.6867995018679955E-2"/>
    <d v="2024-10-01T00:00:00"/>
    <d v="2024-10-31T00:00:00"/>
    <x v="0"/>
    <x v="1"/>
    <n v="1.2345E-2"/>
    <x v="3"/>
    <x v="19"/>
    <m/>
    <x v="3"/>
  </r>
  <r>
    <x v="22"/>
    <x v="3"/>
    <d v="2024-11-06T00:00:00"/>
    <x v="5"/>
    <s v="Check out our latest video on facebook!"/>
    <n v="1606"/>
    <n v="547"/>
    <n v="316"/>
    <n v="32120"/>
    <n v="31736"/>
    <n v="225"/>
    <x v="1"/>
    <x v="1"/>
    <n v="45566"/>
    <n v="45596"/>
    <s v="Before Campaign"/>
    <x v="22"/>
    <n v="7.6867995018679955E-2"/>
    <d v="2024-10-01T00:00:00"/>
    <d v="2024-10-31T00:00:00"/>
    <x v="0"/>
    <x v="1"/>
    <n v="1.2345E-2"/>
    <x v="3"/>
    <x v="19"/>
    <m/>
    <x v="3"/>
  </r>
  <r>
    <x v="23"/>
    <x v="3"/>
    <d v="2025-01-23T00:00:00"/>
    <x v="5"/>
    <s v="Check out our latest video on facebook!"/>
    <n v="3961"/>
    <n v="761"/>
    <n v="131"/>
    <n v="67337"/>
    <n v="66615"/>
    <n v="161"/>
    <x v="0"/>
    <x v="2"/>
    <n v="45651"/>
    <n v="45667"/>
    <s v="Before Campaign"/>
    <x v="23"/>
    <n v="7.2070332803659209E-2"/>
    <d v="2024-12-25T00:00:00"/>
    <d v="2025-01-10T00:00:00"/>
    <x v="0"/>
    <x v="2"/>
    <n v="1.9411999999999999E-2"/>
    <x v="3"/>
    <x v="20"/>
    <m/>
    <x v="3"/>
  </r>
  <r>
    <x v="24"/>
    <x v="0"/>
    <d v="2025-04-10T00:00:00"/>
    <x v="3"/>
    <s v="Check out our latest carousel on twitter!"/>
    <n v="3128"/>
    <n v="211"/>
    <n v="197"/>
    <n v="59432"/>
    <n v="59182"/>
    <n v="238"/>
    <x v="4"/>
    <x v="4"/>
    <n v="0"/>
    <n v="0"/>
    <s v="Before Campaign"/>
    <x v="24"/>
    <n v="5.9496567505720827E-2"/>
    <s v="not found"/>
    <s v="not found"/>
    <x v="0"/>
    <x v="4"/>
    <e v="#VALUE!"/>
    <x v="0"/>
    <x v="21"/>
    <m/>
    <x v="0"/>
  </r>
  <r>
    <x v="25"/>
    <x v="1"/>
    <d v="2025-04-05T00:00:00"/>
    <x v="0"/>
    <s v="Check out our latest reel on youtube!"/>
    <n v="3009"/>
    <n v="413"/>
    <n v="358"/>
    <n v="42126"/>
    <n v="41309"/>
    <n v="211"/>
    <x v="0"/>
    <x v="1"/>
    <n v="45566"/>
    <n v="45596"/>
    <s v="Before Campaign"/>
    <x v="25"/>
    <n v="8.9730807577268201E-2"/>
    <d v="2024-10-01T00:00:00"/>
    <d v="2024-10-31T00:00:00"/>
    <x v="0"/>
    <x v="1"/>
    <n v="1.89E-2"/>
    <x v="1"/>
    <x v="1"/>
    <m/>
    <x v="1"/>
  </r>
  <r>
    <x v="26"/>
    <x v="1"/>
    <d v="2024-09-17T00:00:00"/>
    <x v="1"/>
    <s v="Check out our latest text on youtube!"/>
    <n v="2076"/>
    <n v="195"/>
    <n v="104"/>
    <n v="33216"/>
    <n v="32244"/>
    <n v="51"/>
    <x v="0"/>
    <x v="3"/>
    <n v="45717"/>
    <n v="45747"/>
    <s v="Before Campaign"/>
    <x v="26"/>
    <n v="7.1501685934489398E-2"/>
    <d v="2025-03-01T00:00:00"/>
    <d v="2025-03-31T00:00:00"/>
    <x v="0"/>
    <x v="3"/>
    <n v="1.3194444444444444E-2"/>
    <x v="1"/>
    <x v="22"/>
    <m/>
    <x v="1"/>
  </r>
  <r>
    <x v="27"/>
    <x v="2"/>
    <d v="2025-03-04T00:00:00"/>
    <x v="5"/>
    <s v="Check out our latest video on instagram!"/>
    <n v="432"/>
    <n v="624"/>
    <n v="123"/>
    <n v="6912"/>
    <n v="6259"/>
    <n v="79"/>
    <x v="0"/>
    <x v="3"/>
    <n v="45717"/>
    <n v="45747"/>
    <s v="Before Campaign"/>
    <x v="27"/>
    <n v="0.17057291666666666"/>
    <d v="2025-03-01T00:00:00"/>
    <d v="2025-03-31T00:00:00"/>
    <x v="1"/>
    <x v="3"/>
    <n v="6.5500000000000003E-3"/>
    <x v="2"/>
    <x v="23"/>
    <m/>
    <x v="2"/>
  </r>
  <r>
    <x v="28"/>
    <x v="2"/>
    <d v="2025-01-31T00:00:00"/>
    <x v="3"/>
    <s v="Check out our latest carousel on instagram!"/>
    <n v="2566"/>
    <n v="118"/>
    <n v="37"/>
    <n v="12830"/>
    <n v="12264"/>
    <n v="221"/>
    <x v="0"/>
    <x v="2"/>
    <n v="45651"/>
    <n v="45667"/>
    <s v="Before Campaign"/>
    <x v="28"/>
    <n v="0.21208106001558846"/>
    <d v="2024-12-25T00:00:00"/>
    <d v="2025-01-10T00:00:00"/>
    <x v="0"/>
    <x v="2"/>
    <n v="1.0884E-2"/>
    <x v="2"/>
    <x v="24"/>
    <m/>
    <x v="2"/>
  </r>
  <r>
    <x v="29"/>
    <x v="2"/>
    <d v="2025-02-25T00:00:00"/>
    <x v="5"/>
    <s v="Check out our latest video on instagram!"/>
    <n v="3095"/>
    <n v="39"/>
    <n v="78"/>
    <n v="55710"/>
    <n v="54808"/>
    <n v="93"/>
    <x v="4"/>
    <x v="4"/>
    <n v="0"/>
    <n v="0"/>
    <s v="Before Campaign"/>
    <x v="29"/>
    <n v="5.7655717106444085E-2"/>
    <s v="not found"/>
    <s v="not found"/>
    <x v="0"/>
    <x v="4"/>
    <e v="#VALUE!"/>
    <x v="2"/>
    <x v="18"/>
    <m/>
    <x v="2"/>
  </r>
  <r>
    <x v="30"/>
    <x v="2"/>
    <d v="2024-12-16T00:00:00"/>
    <x v="1"/>
    <s v="Check out our latest text on instagram!"/>
    <n v="438"/>
    <n v="153"/>
    <n v="275"/>
    <n v="3066"/>
    <n v="2701"/>
    <n v="282"/>
    <x v="2"/>
    <x v="1"/>
    <n v="45566"/>
    <n v="45596"/>
    <s v="Before Campaign"/>
    <x v="30"/>
    <n v="0.28245270711024134"/>
    <d v="2024-10-01T00:00:00"/>
    <d v="2024-10-31T00:00:00"/>
    <x v="0"/>
    <x v="1"/>
    <n v="4.3299999999999996E-3"/>
    <x v="2"/>
    <x v="25"/>
    <m/>
    <x v="2"/>
  </r>
  <r>
    <x v="31"/>
    <x v="0"/>
    <d v="2024-07-31T00:00:00"/>
    <x v="3"/>
    <s v="Check out our latest carousel on twitter!"/>
    <n v="2278"/>
    <n v="10"/>
    <n v="321"/>
    <n v="13668"/>
    <n v="12676"/>
    <n v="275"/>
    <x v="4"/>
    <x v="0"/>
    <n v="45458"/>
    <n v="45488"/>
    <s v="Before Campaign"/>
    <x v="31"/>
    <n v="0.19088381621305239"/>
    <d v="2024-06-15T00:00:00"/>
    <d v="2024-07-15T00:00:00"/>
    <x v="0"/>
    <x v="0"/>
    <n v="1.7393333333333334E-2"/>
    <x v="0"/>
    <x v="26"/>
    <m/>
    <x v="0"/>
  </r>
  <r>
    <x v="32"/>
    <x v="3"/>
    <d v="2024-08-21T00:00:00"/>
    <x v="4"/>
    <s v="Check out our latest image on facebook!"/>
    <n v="1407"/>
    <n v="400"/>
    <n v="351"/>
    <n v="16884"/>
    <n v="15954"/>
    <n v="113"/>
    <x v="2"/>
    <x v="0"/>
    <n v="45458"/>
    <n v="45488"/>
    <s v="Before Campaign"/>
    <x v="32"/>
    <n v="0.12781331438047855"/>
    <d v="2024-06-15T00:00:00"/>
    <d v="2024-07-15T00:00:00"/>
    <x v="0"/>
    <x v="0"/>
    <n v="1.4386666666666667E-2"/>
    <x v="3"/>
    <x v="15"/>
    <m/>
    <x v="3"/>
  </r>
  <r>
    <x v="33"/>
    <x v="3"/>
    <d v="2025-03-26T00:00:00"/>
    <x v="1"/>
    <s v="Check out our latest text on facebook!"/>
    <n v="1652"/>
    <n v="89"/>
    <n v="357"/>
    <n v="29736"/>
    <n v="28771"/>
    <n v="215"/>
    <x v="2"/>
    <x v="2"/>
    <n v="45651"/>
    <n v="45667"/>
    <s v="Before Campaign"/>
    <x v="33"/>
    <n v="7.055421038471886E-2"/>
    <d v="2024-12-25T00:00:00"/>
    <d v="2025-01-10T00:00:00"/>
    <x v="0"/>
    <x v="2"/>
    <n v="8.3920000000000002E-3"/>
    <x v="3"/>
    <x v="27"/>
    <m/>
    <x v="3"/>
  </r>
  <r>
    <x v="34"/>
    <x v="2"/>
    <d v="2024-11-30T00:00:00"/>
    <x v="5"/>
    <s v="Check out our latest video on instagram!"/>
    <n v="3775"/>
    <n v="16"/>
    <n v="239"/>
    <n v="33975"/>
    <n v="33310"/>
    <n v="271"/>
    <x v="0"/>
    <x v="1"/>
    <n v="45566"/>
    <n v="45596"/>
    <s v="Before Campaign"/>
    <x v="34"/>
    <n v="0.11861662987490802"/>
    <d v="2024-10-01T00:00:00"/>
    <d v="2024-10-31T00:00:00"/>
    <x v="0"/>
    <x v="1"/>
    <n v="2.0150000000000001E-2"/>
    <x v="2"/>
    <x v="28"/>
    <m/>
    <x v="2"/>
  </r>
  <r>
    <x v="35"/>
    <x v="2"/>
    <d v="2025-04-19T00:00:00"/>
    <x v="2"/>
    <s v="Check out our latest story on instagram!"/>
    <n v="4518"/>
    <n v="285"/>
    <n v="383"/>
    <n v="67770"/>
    <n v="67621"/>
    <n v="31"/>
    <x v="4"/>
    <x v="1"/>
    <n v="45566"/>
    <n v="45596"/>
    <s v="Before Campaign"/>
    <x v="35"/>
    <n v="7.6523535487678915E-2"/>
    <d v="2024-10-01T00:00:00"/>
    <d v="2024-10-31T00:00:00"/>
    <x v="0"/>
    <x v="1"/>
    <n v="2.5930000000000002E-2"/>
    <x v="2"/>
    <x v="29"/>
    <m/>
    <x v="2"/>
  </r>
  <r>
    <x v="36"/>
    <x v="3"/>
    <d v="2025-01-06T00:00:00"/>
    <x v="3"/>
    <s v="Check out our latest carousel on facebook!"/>
    <n v="3024"/>
    <n v="925"/>
    <n v="350"/>
    <n v="24192"/>
    <n v="23518"/>
    <n v="36"/>
    <x v="4"/>
    <x v="1"/>
    <n v="45566"/>
    <n v="45596"/>
    <s v="Before Campaign"/>
    <x v="36"/>
    <n v="0.17770337301587302"/>
    <d v="2024-10-01T00:00:00"/>
    <d v="2024-10-31T00:00:00"/>
    <x v="0"/>
    <x v="1"/>
    <n v="2.1495E-2"/>
    <x v="3"/>
    <x v="30"/>
    <m/>
    <x v="3"/>
  </r>
  <r>
    <x v="37"/>
    <x v="1"/>
    <d v="2025-02-17T00:00:00"/>
    <x v="0"/>
    <s v="Check out our latest reel on youtube!"/>
    <n v="3138"/>
    <n v="123"/>
    <n v="291"/>
    <n v="28242"/>
    <n v="27550"/>
    <n v="87"/>
    <x v="2"/>
    <x v="3"/>
    <n v="45717"/>
    <n v="45747"/>
    <s v="Before Campaign"/>
    <x v="37"/>
    <n v="0.12577012959422137"/>
    <d v="2025-03-01T00:00:00"/>
    <d v="2025-03-31T00:00:00"/>
    <x v="0"/>
    <x v="3"/>
    <n v="1.9733333333333332E-2"/>
    <x v="1"/>
    <x v="12"/>
    <m/>
    <x v="1"/>
  </r>
  <r>
    <x v="38"/>
    <x v="3"/>
    <d v="2024-11-25T00:00:00"/>
    <x v="4"/>
    <s v="Check out our latest image on facebook!"/>
    <n v="3564"/>
    <n v="629"/>
    <n v="177"/>
    <n v="60588"/>
    <n v="59627"/>
    <n v="92"/>
    <x v="2"/>
    <x v="4"/>
    <n v="0"/>
    <n v="0"/>
    <s v="Before Campaign"/>
    <x v="38"/>
    <n v="7.2126493695121141E-2"/>
    <s v="not found"/>
    <s v="not found"/>
    <x v="0"/>
    <x v="4"/>
    <e v="#VALUE!"/>
    <x v="3"/>
    <x v="28"/>
    <m/>
    <x v="3"/>
  </r>
  <r>
    <x v="39"/>
    <x v="0"/>
    <d v="2025-03-07T00:00:00"/>
    <x v="4"/>
    <s v="Check out our latest image on twitter!"/>
    <n v="4750"/>
    <n v="151"/>
    <n v="415"/>
    <n v="38000"/>
    <n v="37792"/>
    <n v="299"/>
    <x v="4"/>
    <x v="3"/>
    <n v="45717"/>
    <n v="45747"/>
    <s v="Before Campaign"/>
    <x v="39"/>
    <n v="0.13989473684210527"/>
    <d v="2025-03-01T00:00:00"/>
    <d v="2025-03-31T00:00:00"/>
    <x v="1"/>
    <x v="3"/>
    <n v="2.9533333333333335E-2"/>
    <x v="0"/>
    <x v="23"/>
    <m/>
    <x v="0"/>
  </r>
  <r>
    <x v="40"/>
    <x v="2"/>
    <d v="2025-03-08T00:00:00"/>
    <x v="0"/>
    <s v="Check out our latest reel on instagram!"/>
    <n v="456"/>
    <n v="629"/>
    <n v="428"/>
    <n v="8208"/>
    <n v="7377"/>
    <n v="205"/>
    <x v="0"/>
    <x v="3"/>
    <n v="45717"/>
    <n v="45747"/>
    <s v="Before Campaign"/>
    <x v="40"/>
    <n v="0.18433235867446393"/>
    <d v="2025-03-01T00:00:00"/>
    <d v="2025-03-31T00:00:00"/>
    <x v="1"/>
    <x v="3"/>
    <n v="8.405555555555555E-3"/>
    <x v="2"/>
    <x v="23"/>
    <m/>
    <x v="2"/>
  </r>
  <r>
    <x v="41"/>
    <x v="1"/>
    <d v="2025-03-05T00:00:00"/>
    <x v="0"/>
    <s v="Check out our latest reel on youtube!"/>
    <n v="1543"/>
    <n v="820"/>
    <n v="333"/>
    <n v="12344"/>
    <n v="11496"/>
    <n v="241"/>
    <x v="4"/>
    <x v="4"/>
    <n v="0"/>
    <n v="0"/>
    <s v="Before Campaign"/>
    <x v="41"/>
    <n v="0.21840570317563188"/>
    <s v="not found"/>
    <s v="not found"/>
    <x v="0"/>
    <x v="4"/>
    <e v="#VALUE!"/>
    <x v="1"/>
    <x v="23"/>
    <m/>
    <x v="1"/>
  </r>
  <r>
    <x v="42"/>
    <x v="2"/>
    <d v="2024-12-14T00:00:00"/>
    <x v="3"/>
    <s v="Check out our latest carousel on instagram!"/>
    <n v="2174"/>
    <n v="658"/>
    <n v="15"/>
    <n v="13044"/>
    <n v="12206"/>
    <n v="137"/>
    <x v="2"/>
    <x v="2"/>
    <n v="45651"/>
    <n v="45667"/>
    <s v="Before Campaign"/>
    <x v="42"/>
    <n v="0.21826126954921804"/>
    <d v="2024-12-25T00:00:00"/>
    <d v="2025-01-10T00:00:00"/>
    <x v="0"/>
    <x v="2"/>
    <n v="1.1388000000000001E-2"/>
    <x v="2"/>
    <x v="31"/>
    <m/>
    <x v="2"/>
  </r>
  <r>
    <x v="43"/>
    <x v="0"/>
    <d v="2025-03-02T00:00:00"/>
    <x v="4"/>
    <s v="Check out our latest image on twitter!"/>
    <n v="2358"/>
    <n v="784"/>
    <n v="344"/>
    <n v="35370"/>
    <n v="34475"/>
    <n v="216"/>
    <x v="2"/>
    <x v="4"/>
    <n v="0"/>
    <n v="0"/>
    <s v="Before Campaign"/>
    <x v="43"/>
    <n v="9.8558100084817649E-2"/>
    <s v="not found"/>
    <s v="not found"/>
    <x v="0"/>
    <x v="4"/>
    <e v="#VALUE!"/>
    <x v="0"/>
    <x v="23"/>
    <m/>
    <x v="0"/>
  </r>
  <r>
    <x v="44"/>
    <x v="3"/>
    <d v="2024-11-01T00:00:00"/>
    <x v="5"/>
    <s v="Check out our latest video on facebook!"/>
    <n v="3371"/>
    <n v="106"/>
    <n v="327"/>
    <n v="50565"/>
    <n v="49816"/>
    <n v="176"/>
    <x v="0"/>
    <x v="0"/>
    <n v="45458"/>
    <n v="45488"/>
    <s v="Before Campaign"/>
    <x v="44"/>
    <n v="7.5229902106199939E-2"/>
    <d v="2024-06-15T00:00:00"/>
    <d v="2024-07-15T00:00:00"/>
    <x v="0"/>
    <x v="0"/>
    <n v="2.5360000000000001E-2"/>
    <x v="3"/>
    <x v="5"/>
    <m/>
    <x v="3"/>
  </r>
  <r>
    <x v="45"/>
    <x v="0"/>
    <d v="2025-05-02T00:00:00"/>
    <x v="5"/>
    <s v="Check out our latest video on twitter!"/>
    <n v="1108"/>
    <n v="177"/>
    <n v="212"/>
    <n v="8864"/>
    <n v="8710"/>
    <n v="97"/>
    <x v="2"/>
    <x v="3"/>
    <n v="45717"/>
    <n v="45747"/>
    <s v="Before Campaign"/>
    <x v="45"/>
    <n v="0.16888537906137185"/>
    <d v="2025-03-01T00:00:00"/>
    <d v="2025-03-31T00:00:00"/>
    <x v="0"/>
    <x v="3"/>
    <n v="8.3166666666666667E-3"/>
    <x v="0"/>
    <x v="32"/>
    <m/>
    <x v="0"/>
  </r>
  <r>
    <x v="46"/>
    <x v="0"/>
    <d v="2025-02-24T00:00:00"/>
    <x v="3"/>
    <s v="Check out our latest carousel on twitter!"/>
    <n v="2704"/>
    <n v="752"/>
    <n v="153"/>
    <n v="21632"/>
    <n v="20792"/>
    <n v="127"/>
    <x v="0"/>
    <x v="4"/>
    <n v="0"/>
    <n v="0"/>
    <s v="Before Campaign"/>
    <x v="46"/>
    <n v="0.16683616863905326"/>
    <s v="not found"/>
    <s v="not found"/>
    <x v="0"/>
    <x v="4"/>
    <e v="#VALUE!"/>
    <x v="0"/>
    <x v="18"/>
    <m/>
    <x v="0"/>
  </r>
  <r>
    <x v="47"/>
    <x v="0"/>
    <d v="2025-03-11T00:00:00"/>
    <x v="2"/>
    <s v="Check out our latest story on twitter!"/>
    <n v="1950"/>
    <n v="295"/>
    <n v="478"/>
    <n v="37050"/>
    <n v="36272"/>
    <n v="119"/>
    <x v="2"/>
    <x v="4"/>
    <n v="0"/>
    <n v="0"/>
    <s v="Before Campaign"/>
    <x v="47"/>
    <n v="7.349527665317139E-2"/>
    <s v="not found"/>
    <s v="not found"/>
    <x v="0"/>
    <x v="4"/>
    <e v="#VALUE!"/>
    <x v="0"/>
    <x v="8"/>
    <m/>
    <x v="0"/>
  </r>
  <r>
    <x v="48"/>
    <x v="0"/>
    <d v="2024-06-10T00:00:00"/>
    <x v="2"/>
    <s v="Check out our latest story on twitter!"/>
    <n v="2164"/>
    <n v="549"/>
    <n v="274"/>
    <n v="28132"/>
    <n v="27361"/>
    <n v="177"/>
    <x v="2"/>
    <x v="3"/>
    <n v="45717"/>
    <n v="45747"/>
    <s v="Before Campaign"/>
    <x v="48"/>
    <n v="0.10617801791554102"/>
    <d v="2025-03-01T00:00:00"/>
    <d v="2025-03-31T00:00:00"/>
    <x v="0"/>
    <x v="3"/>
    <n v="1.6594444444444443E-2"/>
    <x v="0"/>
    <x v="33"/>
    <m/>
    <x v="0"/>
  </r>
  <r>
    <x v="49"/>
    <x v="1"/>
    <d v="2024-07-03T00:00:00"/>
    <x v="2"/>
    <s v="Check out our latest story on youtube!"/>
    <n v="2754"/>
    <n v="130"/>
    <n v="90"/>
    <n v="22032"/>
    <n v="21288"/>
    <n v="112"/>
    <x v="2"/>
    <x v="2"/>
    <n v="45651"/>
    <n v="45667"/>
    <s v="Before Campaign"/>
    <x v="49"/>
    <n v="0.13498547567175018"/>
    <d v="2024-12-25T00:00:00"/>
    <d v="2025-01-10T00:00:00"/>
    <x v="0"/>
    <x v="2"/>
    <n v="1.1896E-2"/>
    <x v="1"/>
    <x v="34"/>
    <m/>
    <x v="1"/>
  </r>
  <r>
    <x v="50"/>
    <x v="3"/>
    <d v="2024-06-13T00:00:00"/>
    <x v="3"/>
    <s v="Check out our latest carousel on facebook!"/>
    <n v="2200"/>
    <n v="504"/>
    <n v="239"/>
    <n v="37400"/>
    <n v="36938"/>
    <n v="225"/>
    <x v="0"/>
    <x v="1"/>
    <n v="45566"/>
    <n v="45596"/>
    <s v="Before Campaign"/>
    <x v="50"/>
    <n v="7.8689839572192513E-2"/>
    <d v="2024-10-01T00:00:00"/>
    <d v="2024-10-31T00:00:00"/>
    <x v="0"/>
    <x v="1"/>
    <n v="1.4715000000000001E-2"/>
    <x v="3"/>
    <x v="33"/>
    <m/>
    <x v="3"/>
  </r>
  <r>
    <x v="51"/>
    <x v="3"/>
    <d v="2025-01-03T00:00:00"/>
    <x v="4"/>
    <s v="Check out our latest image on facebook!"/>
    <n v="947"/>
    <n v="338"/>
    <n v="350"/>
    <n v="10417"/>
    <n v="9730"/>
    <n v="34"/>
    <x v="2"/>
    <x v="3"/>
    <n v="45717"/>
    <n v="45747"/>
    <s v="Before Campaign"/>
    <x v="51"/>
    <n v="0.1569549774407219"/>
    <d v="2025-03-01T00:00:00"/>
    <d v="2025-03-31T00:00:00"/>
    <x v="0"/>
    <x v="3"/>
    <n v="9.0833333333333339E-3"/>
    <x v="3"/>
    <x v="17"/>
    <m/>
    <x v="3"/>
  </r>
  <r>
    <x v="52"/>
    <x v="1"/>
    <d v="2025-02-24T00:00:00"/>
    <x v="3"/>
    <s v="Check out our latest carousel on youtube!"/>
    <n v="804"/>
    <n v="639"/>
    <n v="43"/>
    <n v="4020"/>
    <n v="3144"/>
    <n v="11"/>
    <x v="4"/>
    <x v="4"/>
    <n v="0"/>
    <n v="0"/>
    <s v="Before Campaign"/>
    <x v="52"/>
    <n v="0.36965174129353234"/>
    <s v="not found"/>
    <s v="not found"/>
    <x v="0"/>
    <x v="4"/>
    <e v="#VALUE!"/>
    <x v="1"/>
    <x v="18"/>
    <m/>
    <x v="1"/>
  </r>
  <r>
    <x v="52"/>
    <x v="1"/>
    <d v="2025-02-24T00:00:00"/>
    <x v="3"/>
    <s v="Check out our latest carousel on youtube!"/>
    <n v="804"/>
    <n v="639"/>
    <n v="43"/>
    <n v="4020"/>
    <n v="3144"/>
    <n v="11"/>
    <x v="3"/>
    <x v="4"/>
    <n v="0"/>
    <n v="0"/>
    <s v="Before Campaign"/>
    <x v="52"/>
    <n v="0.36965174129353234"/>
    <s v="not found"/>
    <s v="not found"/>
    <x v="0"/>
    <x v="4"/>
    <e v="#VALUE!"/>
    <x v="1"/>
    <x v="18"/>
    <m/>
    <x v="1"/>
  </r>
  <r>
    <x v="53"/>
    <x v="1"/>
    <d v="2025-03-13T00:00:00"/>
    <x v="3"/>
    <s v="Check out our latest carousel on youtube!"/>
    <n v="1686"/>
    <n v="904"/>
    <n v="472"/>
    <n v="18546"/>
    <n v="18171"/>
    <n v="52"/>
    <x v="0"/>
    <x v="1"/>
    <n v="45566"/>
    <n v="45596"/>
    <s v="Before Campaign"/>
    <x v="53"/>
    <n v="0.16510298716704411"/>
    <d v="2024-10-01T00:00:00"/>
    <d v="2024-10-31T00:00:00"/>
    <x v="0"/>
    <x v="1"/>
    <n v="1.5310000000000001E-2"/>
    <x v="1"/>
    <x v="8"/>
    <m/>
    <x v="1"/>
  </r>
  <r>
    <x v="54"/>
    <x v="3"/>
    <d v="2024-06-17T00:00:00"/>
    <x v="4"/>
    <s v="Check out our latest image on facebook!"/>
    <n v="1226"/>
    <n v="119"/>
    <n v="7"/>
    <n v="14712"/>
    <n v="14049"/>
    <n v="123"/>
    <x v="4"/>
    <x v="3"/>
    <n v="45717"/>
    <n v="45747"/>
    <s v="Before Campaign"/>
    <x v="54"/>
    <n v="9.1897770527460579E-2"/>
    <d v="2025-03-01T00:00:00"/>
    <d v="2025-03-31T00:00:00"/>
    <x v="0"/>
    <x v="3"/>
    <n v="7.5111111111111108E-3"/>
    <x v="3"/>
    <x v="35"/>
    <m/>
    <x v="3"/>
  </r>
  <r>
    <x v="55"/>
    <x v="3"/>
    <d v="2024-12-18T00:00:00"/>
    <x v="3"/>
    <s v="Check out our latest carousel on facebook!"/>
    <n v="2946"/>
    <n v="498"/>
    <n v="367"/>
    <n v="29460"/>
    <n v="28527"/>
    <n v="60"/>
    <x v="0"/>
    <x v="2"/>
    <n v="45651"/>
    <n v="45667"/>
    <s v="Before Campaign"/>
    <x v="55"/>
    <n v="0.12936184657162253"/>
    <d v="2024-12-25T00:00:00"/>
    <d v="2025-01-10T00:00:00"/>
    <x v="0"/>
    <x v="2"/>
    <n v="1.5244000000000001E-2"/>
    <x v="3"/>
    <x v="25"/>
    <m/>
    <x v="3"/>
  </r>
  <r>
    <x v="56"/>
    <x v="0"/>
    <d v="2024-10-21T00:00:00"/>
    <x v="5"/>
    <s v="Check out our latest video on twitter!"/>
    <n v="2825"/>
    <n v="535"/>
    <n v="295"/>
    <n v="45200"/>
    <n v="44739"/>
    <n v="169"/>
    <x v="2"/>
    <x v="0"/>
    <n v="45458"/>
    <n v="45488"/>
    <s v="Before Campaign"/>
    <x v="56"/>
    <n v="8.0862831858407078E-2"/>
    <d v="2024-06-15T00:00:00"/>
    <d v="2024-07-15T00:00:00"/>
    <x v="0"/>
    <x v="0"/>
    <n v="2.4366666666666665E-2"/>
    <x v="0"/>
    <x v="13"/>
    <m/>
    <x v="0"/>
  </r>
  <r>
    <x v="57"/>
    <x v="2"/>
    <d v="2025-04-15T00:00:00"/>
    <x v="0"/>
    <s v="Check out our latest reel on instagram!"/>
    <n v="103"/>
    <n v="770"/>
    <n v="19"/>
    <n v="1030"/>
    <n v="410"/>
    <n v="262"/>
    <x v="2"/>
    <x v="3"/>
    <n v="45717"/>
    <n v="45747"/>
    <s v="Before Campaign"/>
    <x v="57"/>
    <n v="0.86601941747572819"/>
    <d v="2025-03-01T00:00:00"/>
    <d v="2025-03-31T00:00:00"/>
    <x v="0"/>
    <x v="3"/>
    <n v="4.9555555555555559E-3"/>
    <x v="2"/>
    <x v="29"/>
    <m/>
    <x v="2"/>
  </r>
  <r>
    <x v="58"/>
    <x v="2"/>
    <d v="2024-06-22T00:00:00"/>
    <x v="1"/>
    <s v="Check out our latest text on instagram!"/>
    <n v="2180"/>
    <n v="263"/>
    <n v="387"/>
    <n v="30520"/>
    <n v="30059"/>
    <n v="174"/>
    <x v="4"/>
    <x v="4"/>
    <n v="0"/>
    <n v="0"/>
    <s v="Before Campaign"/>
    <x v="58"/>
    <n v="9.2726081258191345E-2"/>
    <s v="not found"/>
    <s v="not found"/>
    <x v="0"/>
    <x v="4"/>
    <e v="#VALUE!"/>
    <x v="2"/>
    <x v="35"/>
    <m/>
    <x v="2"/>
  </r>
  <r>
    <x v="59"/>
    <x v="2"/>
    <d v="2025-01-28T00:00:00"/>
    <x v="5"/>
    <s v="Check out our latest video on instagram!"/>
    <n v="904"/>
    <n v="973"/>
    <n v="63"/>
    <n v="11752"/>
    <n v="11580"/>
    <n v="84"/>
    <x v="4"/>
    <x v="2"/>
    <n v="45651"/>
    <n v="45667"/>
    <s v="Before Campaign"/>
    <x v="59"/>
    <n v="0.1650782845473111"/>
    <d v="2024-12-25T00:00:00"/>
    <d v="2025-01-10T00:00:00"/>
    <x v="0"/>
    <x v="2"/>
    <n v="7.7600000000000004E-3"/>
    <x v="2"/>
    <x v="24"/>
    <m/>
    <x v="2"/>
  </r>
  <r>
    <x v="59"/>
    <x v="2"/>
    <d v="2025-01-28T00:00:00"/>
    <x v="5"/>
    <s v="Check out our latest video on instagram!"/>
    <n v="904"/>
    <n v="973"/>
    <n v="63"/>
    <n v="11752"/>
    <n v="11580"/>
    <n v="84"/>
    <x v="2"/>
    <x v="2"/>
    <n v="45651"/>
    <n v="45667"/>
    <s v="Before Campaign"/>
    <x v="59"/>
    <n v="0.1650782845473111"/>
    <d v="2024-12-25T00:00:00"/>
    <d v="2025-01-10T00:00:00"/>
    <x v="0"/>
    <x v="2"/>
    <n v="7.7600000000000004E-3"/>
    <x v="2"/>
    <x v="24"/>
    <m/>
    <x v="2"/>
  </r>
  <r>
    <x v="59"/>
    <x v="2"/>
    <d v="2025-01-28T00:00:00"/>
    <x v="5"/>
    <s v="Check out our latest video on instagram!"/>
    <n v="904"/>
    <n v="973"/>
    <n v="63"/>
    <n v="11752"/>
    <n v="11580"/>
    <n v="84"/>
    <x v="1"/>
    <x v="2"/>
    <n v="45651"/>
    <n v="45667"/>
    <s v="Before Campaign"/>
    <x v="59"/>
    <n v="0.1650782845473111"/>
    <d v="2024-12-25T00:00:00"/>
    <d v="2025-01-10T00:00:00"/>
    <x v="0"/>
    <x v="2"/>
    <n v="7.7600000000000004E-3"/>
    <x v="2"/>
    <x v="24"/>
    <m/>
    <x v="2"/>
  </r>
  <r>
    <x v="60"/>
    <x v="0"/>
    <d v="2024-09-05T00:00:00"/>
    <x v="5"/>
    <s v="Check out our latest video on twitter!"/>
    <n v="4886"/>
    <n v="983"/>
    <n v="409"/>
    <n v="43974"/>
    <n v="43239"/>
    <n v="65"/>
    <x v="2"/>
    <x v="0"/>
    <n v="45458"/>
    <n v="45488"/>
    <s v="Before Campaign"/>
    <x v="60"/>
    <n v="0.14276618001546368"/>
    <d v="2024-06-15T00:00:00"/>
    <d v="2024-07-15T00:00:00"/>
    <x v="0"/>
    <x v="0"/>
    <n v="4.1853333333333333E-2"/>
    <x v="0"/>
    <x v="36"/>
    <m/>
    <x v="0"/>
  </r>
  <r>
    <x v="61"/>
    <x v="0"/>
    <d v="2024-11-22T00:00:00"/>
    <x v="3"/>
    <s v="Check out our latest carousel on twitter!"/>
    <n v="53"/>
    <n v="81"/>
    <n v="379"/>
    <n v="954"/>
    <n v="7"/>
    <n v="148"/>
    <x v="2"/>
    <x v="2"/>
    <n v="45651"/>
    <n v="45667"/>
    <s v="Before Campaign"/>
    <x v="61"/>
    <n v="0.53773584905660377"/>
    <d v="2024-12-25T00:00:00"/>
    <d v="2025-01-10T00:00:00"/>
    <x v="0"/>
    <x v="2"/>
    <n v="2.052E-3"/>
    <x v="0"/>
    <x v="11"/>
    <m/>
    <x v="0"/>
  </r>
  <r>
    <x v="62"/>
    <x v="0"/>
    <d v="2024-07-31T00:00:00"/>
    <x v="3"/>
    <s v="Check out our latest carousel on twitter!"/>
    <n v="4507"/>
    <n v="217"/>
    <n v="13"/>
    <n v="90140"/>
    <n v="89591"/>
    <n v="125"/>
    <x v="0"/>
    <x v="2"/>
    <n v="45651"/>
    <n v="45667"/>
    <s v="Before Campaign"/>
    <x v="62"/>
    <n v="5.2551586421122697E-2"/>
    <d v="2024-12-25T00:00:00"/>
    <d v="2025-01-10T00:00:00"/>
    <x v="0"/>
    <x v="2"/>
    <n v="1.8948E-2"/>
    <x v="0"/>
    <x v="26"/>
    <m/>
    <x v="0"/>
  </r>
  <r>
    <x v="63"/>
    <x v="3"/>
    <d v="2024-08-17T00:00:00"/>
    <x v="4"/>
    <s v="Check out our latest image on facebook!"/>
    <n v="2878"/>
    <n v="248"/>
    <n v="416"/>
    <n v="43170"/>
    <n v="42667"/>
    <n v="75"/>
    <x v="0"/>
    <x v="2"/>
    <n v="45651"/>
    <n v="45667"/>
    <s v="Before Campaign"/>
    <x v="63"/>
    <n v="8.2047718322909427E-2"/>
    <d v="2024-12-25T00:00:00"/>
    <d v="2025-01-10T00:00:00"/>
    <x v="0"/>
    <x v="2"/>
    <n v="1.4168E-2"/>
    <x v="3"/>
    <x v="3"/>
    <m/>
    <x v="3"/>
  </r>
  <r>
    <x v="64"/>
    <x v="2"/>
    <d v="2025-03-28T00:00:00"/>
    <x v="2"/>
    <s v="Check out our latest story on instagram!"/>
    <n v="1881"/>
    <n v="501"/>
    <n v="99"/>
    <n v="20691"/>
    <n v="19987"/>
    <n v="289"/>
    <x v="4"/>
    <x v="4"/>
    <n v="0"/>
    <n v="0"/>
    <s v="Before Campaign"/>
    <x v="64"/>
    <n v="0.11990720603160794"/>
    <s v="not found"/>
    <s v="not found"/>
    <x v="0"/>
    <x v="4"/>
    <e v="#VALUE!"/>
    <x v="2"/>
    <x v="27"/>
    <m/>
    <x v="2"/>
  </r>
  <r>
    <x v="65"/>
    <x v="0"/>
    <d v="2024-07-26T00:00:00"/>
    <x v="3"/>
    <s v="Check out our latest carousel on twitter!"/>
    <n v="432"/>
    <n v="171"/>
    <n v="280"/>
    <n v="3024"/>
    <n v="2285"/>
    <n v="184"/>
    <x v="4"/>
    <x v="0"/>
    <n v="45458"/>
    <n v="45488"/>
    <s v="Before Campaign"/>
    <x v="65"/>
    <n v="0.29199735449735448"/>
    <d v="2024-06-15T00:00:00"/>
    <d v="2024-07-15T00:00:00"/>
    <x v="0"/>
    <x v="0"/>
    <n v="5.8866666666666668E-3"/>
    <x v="0"/>
    <x v="10"/>
    <m/>
    <x v="0"/>
  </r>
  <r>
    <x v="66"/>
    <x v="3"/>
    <d v="2025-03-29T00:00:00"/>
    <x v="3"/>
    <s v="Check out our latest carousel on facebook!"/>
    <n v="4712"/>
    <n v="568"/>
    <n v="127"/>
    <n v="84816"/>
    <n v="84691"/>
    <n v="100"/>
    <x v="4"/>
    <x v="2"/>
    <n v="45651"/>
    <n v="45667"/>
    <s v="Before Campaign"/>
    <x v="66"/>
    <n v="6.3749764195434822E-2"/>
    <d v="2024-12-25T00:00:00"/>
    <d v="2025-01-10T00:00:00"/>
    <x v="0"/>
    <x v="2"/>
    <n v="2.1628000000000001E-2"/>
    <x v="3"/>
    <x v="27"/>
    <m/>
    <x v="3"/>
  </r>
  <r>
    <x v="67"/>
    <x v="2"/>
    <d v="2024-12-08T00:00:00"/>
    <x v="2"/>
    <s v="Check out our latest story on instagram!"/>
    <n v="2610"/>
    <n v="126"/>
    <n v="288"/>
    <n v="15660"/>
    <n v="15145"/>
    <n v="73"/>
    <x v="4"/>
    <x v="4"/>
    <n v="0"/>
    <n v="0"/>
    <s v="Before Campaign"/>
    <x v="67"/>
    <n v="0.19310344827586207"/>
    <s v="not found"/>
    <s v="not found"/>
    <x v="0"/>
    <x v="4"/>
    <e v="#VALUE!"/>
    <x v="2"/>
    <x v="31"/>
    <m/>
    <x v="2"/>
  </r>
  <r>
    <x v="68"/>
    <x v="0"/>
    <d v="2025-03-08T00:00:00"/>
    <x v="1"/>
    <s v="Check out our latest text on twitter!"/>
    <n v="1292"/>
    <n v="626"/>
    <n v="496"/>
    <n v="25840"/>
    <n v="24916"/>
    <n v="149"/>
    <x v="0"/>
    <x v="2"/>
    <n v="45651"/>
    <n v="45667"/>
    <s v="Before Campaign"/>
    <x v="68"/>
    <n v="9.3421052631578946E-2"/>
    <d v="2024-12-25T00:00:00"/>
    <d v="2025-01-10T00:00:00"/>
    <x v="0"/>
    <x v="2"/>
    <n v="9.6559999999999997E-3"/>
    <x v="0"/>
    <x v="23"/>
    <m/>
    <x v="0"/>
  </r>
  <r>
    <x v="69"/>
    <x v="3"/>
    <d v="2025-04-02T00:00:00"/>
    <x v="5"/>
    <s v="Check out our latest video on facebook!"/>
    <n v="199"/>
    <n v="772"/>
    <n v="400"/>
    <n v="3582"/>
    <n v="2988"/>
    <n v="43"/>
    <x v="2"/>
    <x v="4"/>
    <n v="0"/>
    <n v="0"/>
    <s v="Before Campaign"/>
    <x v="69"/>
    <n v="0.38274706867671693"/>
    <s v="not found"/>
    <s v="not found"/>
    <x v="0"/>
    <x v="4"/>
    <e v="#VALUE!"/>
    <x v="3"/>
    <x v="1"/>
    <m/>
    <x v="3"/>
  </r>
  <r>
    <x v="70"/>
    <x v="1"/>
    <d v="2024-09-02T00:00:00"/>
    <x v="3"/>
    <s v="Check out our latest carousel on youtube!"/>
    <n v="2551"/>
    <n v="915"/>
    <n v="205"/>
    <n v="30612"/>
    <n v="30360"/>
    <n v="227"/>
    <x v="2"/>
    <x v="1"/>
    <n v="45566"/>
    <n v="45596"/>
    <s v="Before Campaign"/>
    <x v="70"/>
    <n v="0.1199202926956749"/>
    <d v="2024-10-01T00:00:00"/>
    <d v="2024-10-31T00:00:00"/>
    <x v="0"/>
    <x v="1"/>
    <n v="1.8355E-2"/>
    <x v="1"/>
    <x v="36"/>
    <m/>
    <x v="1"/>
  </r>
  <r>
    <x v="71"/>
    <x v="1"/>
    <d v="2025-03-03T00:00:00"/>
    <x v="0"/>
    <s v="Check out our latest reel on youtube!"/>
    <n v="296"/>
    <n v="60"/>
    <n v="141"/>
    <n v="5624"/>
    <n v="5239"/>
    <n v="88"/>
    <x v="4"/>
    <x v="1"/>
    <n v="45566"/>
    <n v="45596"/>
    <s v="Before Campaign"/>
    <x v="71"/>
    <n v="8.837126600284495E-2"/>
    <d v="2024-10-01T00:00:00"/>
    <d v="2024-10-31T00:00:00"/>
    <x v="0"/>
    <x v="1"/>
    <n v="2.4849999999999998E-3"/>
    <x v="1"/>
    <x v="23"/>
    <m/>
    <x v="1"/>
  </r>
  <r>
    <x v="72"/>
    <x v="3"/>
    <d v="2024-10-18T00:00:00"/>
    <x v="2"/>
    <s v="Check out our latest story on facebook!"/>
    <n v="4126"/>
    <n v="426"/>
    <n v="486"/>
    <n v="78394"/>
    <n v="77798"/>
    <n v="88"/>
    <x v="0"/>
    <x v="3"/>
    <n v="45717"/>
    <n v="45747"/>
    <s v="Before Campaign"/>
    <x v="72"/>
    <n v="6.4265122330790625E-2"/>
    <d v="2025-03-01T00:00:00"/>
    <d v="2025-03-31T00:00:00"/>
    <x v="0"/>
    <x v="3"/>
    <n v="2.798888888888889E-2"/>
    <x v="3"/>
    <x v="37"/>
    <m/>
    <x v="3"/>
  </r>
  <r>
    <x v="73"/>
    <x v="1"/>
    <d v="2024-10-28T00:00:00"/>
    <x v="0"/>
    <s v="Check out our latest reel on youtube!"/>
    <n v="1855"/>
    <n v="200"/>
    <n v="174"/>
    <n v="16695"/>
    <n v="16330"/>
    <n v="123"/>
    <x v="2"/>
    <x v="2"/>
    <n v="45651"/>
    <n v="45667"/>
    <s v="Before Campaign"/>
    <x v="73"/>
    <n v="0.13351302785265048"/>
    <d v="2024-12-25T00:00:00"/>
    <d v="2025-01-10T00:00:00"/>
    <x v="0"/>
    <x v="2"/>
    <n v="8.9160000000000003E-3"/>
    <x v="1"/>
    <x v="5"/>
    <m/>
    <x v="1"/>
  </r>
  <r>
    <x v="74"/>
    <x v="2"/>
    <d v="2024-08-01T00:00:00"/>
    <x v="0"/>
    <s v="Check out our latest reel on instagram!"/>
    <n v="1674"/>
    <n v="929"/>
    <n v="37"/>
    <n v="21762"/>
    <n v="20998"/>
    <n v="255"/>
    <x v="2"/>
    <x v="3"/>
    <n v="45717"/>
    <n v="45747"/>
    <s v="Before Campaign"/>
    <x v="74"/>
    <n v="0.12131237937689551"/>
    <d v="2025-03-01T00:00:00"/>
    <d v="2025-03-31T00:00:00"/>
    <x v="0"/>
    <x v="3"/>
    <n v="1.4666666666666666E-2"/>
    <x v="2"/>
    <x v="26"/>
    <m/>
    <x v="2"/>
  </r>
  <r>
    <x v="75"/>
    <x v="0"/>
    <d v="2024-11-07T00:00:00"/>
    <x v="2"/>
    <s v="Check out our latest story on twitter!"/>
    <n v="1121"/>
    <n v="135"/>
    <n v="18"/>
    <n v="15694"/>
    <n v="14957"/>
    <n v="99"/>
    <x v="2"/>
    <x v="3"/>
    <n v="45717"/>
    <n v="45747"/>
    <s v="Before Campaign"/>
    <x v="75"/>
    <n v="8.1177520071364848E-2"/>
    <d v="2025-03-01T00:00:00"/>
    <d v="2025-03-31T00:00:00"/>
    <x v="0"/>
    <x v="3"/>
    <n v="7.0777777777777775E-3"/>
    <x v="0"/>
    <x v="19"/>
    <m/>
    <x v="0"/>
  </r>
  <r>
    <x v="76"/>
    <x v="3"/>
    <d v="2025-03-04T00:00:00"/>
    <x v="2"/>
    <s v="Check out our latest story on facebook!"/>
    <n v="1249"/>
    <n v="116"/>
    <n v="420"/>
    <n v="8743"/>
    <n v="8538"/>
    <n v="63"/>
    <x v="2"/>
    <x v="4"/>
    <n v="0"/>
    <n v="0"/>
    <s v="Before Campaign"/>
    <x v="76"/>
    <n v="0.20416333066453163"/>
    <s v="not found"/>
    <s v="not found"/>
    <x v="0"/>
    <x v="4"/>
    <e v="#VALUE!"/>
    <x v="3"/>
    <x v="23"/>
    <m/>
    <x v="3"/>
  </r>
  <r>
    <x v="77"/>
    <x v="0"/>
    <d v="2024-06-17T00:00:00"/>
    <x v="4"/>
    <s v="Check out our latest image on twitter!"/>
    <n v="954"/>
    <n v="324"/>
    <n v="288"/>
    <n v="19080"/>
    <n v="18859"/>
    <n v="21"/>
    <x v="0"/>
    <x v="3"/>
    <n v="45717"/>
    <n v="45747"/>
    <s v="Before Campaign"/>
    <x v="77"/>
    <n v="8.2075471698113203E-2"/>
    <d v="2025-03-01T00:00:00"/>
    <d v="2025-03-31T00:00:00"/>
    <x v="0"/>
    <x v="3"/>
    <n v="8.6999999999999994E-3"/>
    <x v="0"/>
    <x v="35"/>
    <m/>
    <x v="0"/>
  </r>
  <r>
    <x v="78"/>
    <x v="2"/>
    <d v="2024-10-09T00:00:00"/>
    <x v="3"/>
    <s v="Check out our latest carousel on instagram!"/>
    <n v="3068"/>
    <n v="137"/>
    <n v="329"/>
    <n v="39884"/>
    <n v="39404"/>
    <n v="266"/>
    <x v="4"/>
    <x v="1"/>
    <n v="45566"/>
    <n v="45596"/>
    <s v="Before Campaign"/>
    <x v="78"/>
    <n v="8.860696018453515E-2"/>
    <d v="2024-10-01T00:00:00"/>
    <d v="2024-10-31T00:00:00"/>
    <x v="1"/>
    <x v="1"/>
    <n v="1.7670000000000002E-2"/>
    <x v="2"/>
    <x v="38"/>
    <m/>
    <x v="2"/>
  </r>
  <r>
    <x v="79"/>
    <x v="2"/>
    <d v="2024-06-13T00:00:00"/>
    <x v="2"/>
    <s v="Check out our latest story on instagram!"/>
    <n v="2103"/>
    <n v="892"/>
    <n v="103"/>
    <n v="39957"/>
    <n v="39466"/>
    <n v="28"/>
    <x v="0"/>
    <x v="4"/>
    <n v="0"/>
    <n v="0"/>
    <s v="Before Campaign"/>
    <x v="79"/>
    <n v="7.7533348349475686E-2"/>
    <s v="not found"/>
    <s v="not found"/>
    <x v="0"/>
    <x v="4"/>
    <e v="#VALUE!"/>
    <x v="2"/>
    <x v="33"/>
    <m/>
    <x v="2"/>
  </r>
  <r>
    <x v="80"/>
    <x v="2"/>
    <d v="2024-10-19T00:00:00"/>
    <x v="2"/>
    <s v="Check out our latest story on instagram!"/>
    <n v="1816"/>
    <n v="29"/>
    <n v="41"/>
    <n v="19976"/>
    <n v="19262"/>
    <n v="283"/>
    <x v="2"/>
    <x v="2"/>
    <n v="45651"/>
    <n v="45667"/>
    <s v="Before Campaign"/>
    <x v="80"/>
    <n v="9.4413295955146179E-2"/>
    <d v="2024-12-25T00:00:00"/>
    <d v="2025-01-10T00:00:00"/>
    <x v="0"/>
    <x v="2"/>
    <n v="7.5440000000000004E-3"/>
    <x v="2"/>
    <x v="37"/>
    <m/>
    <x v="2"/>
  </r>
  <r>
    <x v="81"/>
    <x v="2"/>
    <d v="2024-07-24T00:00:00"/>
    <x v="4"/>
    <s v="Check out our latest image on instagram!"/>
    <n v="725"/>
    <n v="88"/>
    <n v="428"/>
    <n v="14500"/>
    <n v="13637"/>
    <n v="200"/>
    <x v="0"/>
    <x v="2"/>
    <n v="45651"/>
    <n v="45667"/>
    <s v="Before Campaign"/>
    <x v="81"/>
    <n v="8.558620689655172E-2"/>
    <d v="2024-12-25T00:00:00"/>
    <d v="2025-01-10T00:00:00"/>
    <x v="0"/>
    <x v="2"/>
    <n v="4.9639999999999997E-3"/>
    <x v="2"/>
    <x v="10"/>
    <m/>
    <x v="2"/>
  </r>
  <r>
    <x v="81"/>
    <x v="2"/>
    <d v="2024-07-24T00:00:00"/>
    <x v="4"/>
    <s v="Check out our latest image on instagram!"/>
    <n v="725"/>
    <n v="88"/>
    <n v="428"/>
    <n v="14500"/>
    <n v="13637"/>
    <n v="200"/>
    <x v="2"/>
    <x v="2"/>
    <n v="45651"/>
    <n v="45667"/>
    <s v="Before Campaign"/>
    <x v="81"/>
    <n v="8.558620689655172E-2"/>
    <d v="2024-12-25T00:00:00"/>
    <d v="2025-01-10T00:00:00"/>
    <x v="0"/>
    <x v="2"/>
    <n v="4.9639999999999997E-3"/>
    <x v="2"/>
    <x v="10"/>
    <m/>
    <x v="2"/>
  </r>
  <r>
    <x v="81"/>
    <x v="2"/>
    <d v="2024-07-24T00:00:00"/>
    <x v="4"/>
    <s v="Check out our latest image on instagram!"/>
    <n v="725"/>
    <n v="88"/>
    <n v="428"/>
    <n v="14500"/>
    <n v="13637"/>
    <n v="200"/>
    <x v="1"/>
    <x v="2"/>
    <n v="45651"/>
    <n v="45667"/>
    <s v="Before Campaign"/>
    <x v="81"/>
    <n v="8.558620689655172E-2"/>
    <d v="2024-12-25T00:00:00"/>
    <d v="2025-01-10T00:00:00"/>
    <x v="0"/>
    <x v="2"/>
    <n v="4.9639999999999997E-3"/>
    <x v="2"/>
    <x v="10"/>
    <m/>
    <x v="2"/>
  </r>
  <r>
    <x v="82"/>
    <x v="1"/>
    <d v="2024-10-15T00:00:00"/>
    <x v="5"/>
    <s v="Check out our latest video on youtube!"/>
    <n v="1094"/>
    <n v="472"/>
    <n v="21"/>
    <n v="9846"/>
    <n v="9609"/>
    <n v="112"/>
    <x v="4"/>
    <x v="4"/>
    <n v="0"/>
    <n v="0"/>
    <s v="Before Campaign"/>
    <x v="82"/>
    <n v="0.16118220597196831"/>
    <s v="not found"/>
    <s v="not found"/>
    <x v="0"/>
    <x v="4"/>
    <e v="#VALUE!"/>
    <x v="1"/>
    <x v="37"/>
    <m/>
    <x v="1"/>
  </r>
  <r>
    <x v="83"/>
    <x v="3"/>
    <d v="2024-12-09T00:00:00"/>
    <x v="4"/>
    <s v="Check out our latest image on facebook!"/>
    <n v="1841"/>
    <n v="851"/>
    <n v="342"/>
    <n v="34979"/>
    <n v="34154"/>
    <n v="255"/>
    <x v="0"/>
    <x v="3"/>
    <n v="45717"/>
    <n v="45747"/>
    <s v="Before Campaign"/>
    <x v="83"/>
    <n v="8.6737756939878216E-2"/>
    <d v="2025-03-01T00:00:00"/>
    <d v="2025-03-31T00:00:00"/>
    <x v="0"/>
    <x v="3"/>
    <n v="1.6855555555555554E-2"/>
    <x v="3"/>
    <x v="31"/>
    <m/>
    <x v="3"/>
  </r>
  <r>
    <x v="84"/>
    <x v="2"/>
    <d v="2025-04-19T00:00:00"/>
    <x v="4"/>
    <s v="Check out our latest image on instagram!"/>
    <n v="4177"/>
    <n v="569"/>
    <n v="55"/>
    <n v="25062"/>
    <n v="24847"/>
    <n v="230"/>
    <x v="0"/>
    <x v="0"/>
    <n v="45458"/>
    <n v="45488"/>
    <s v="Before Campaign"/>
    <x v="84"/>
    <n v="0.19156491900087783"/>
    <d v="2024-06-15T00:00:00"/>
    <d v="2024-07-15T00:00:00"/>
    <x v="0"/>
    <x v="0"/>
    <n v="3.2006666666666669E-2"/>
    <x v="2"/>
    <x v="29"/>
    <m/>
    <x v="2"/>
  </r>
  <r>
    <x v="85"/>
    <x v="1"/>
    <d v="2025-01-27T00:00:00"/>
    <x v="1"/>
    <s v="Check out our latest text on youtube!"/>
    <n v="3428"/>
    <n v="305"/>
    <n v="85"/>
    <n v="58276"/>
    <n v="58052"/>
    <n v="242"/>
    <x v="4"/>
    <x v="3"/>
    <n v="45717"/>
    <n v="45747"/>
    <s v="Before Campaign"/>
    <x v="85"/>
    <n v="6.5515821264328367E-2"/>
    <d v="2025-03-01T00:00:00"/>
    <d v="2025-03-31T00:00:00"/>
    <x v="0"/>
    <x v="3"/>
    <n v="2.1211111111111111E-2"/>
    <x v="1"/>
    <x v="24"/>
    <m/>
    <x v="1"/>
  </r>
  <r>
    <x v="85"/>
    <x v="1"/>
    <d v="2025-01-27T00:00:00"/>
    <x v="1"/>
    <s v="Check out our latest text on youtube!"/>
    <n v="3428"/>
    <n v="305"/>
    <n v="85"/>
    <n v="58276"/>
    <n v="58052"/>
    <n v="242"/>
    <x v="3"/>
    <x v="3"/>
    <n v="45717"/>
    <n v="45747"/>
    <s v="Before Campaign"/>
    <x v="85"/>
    <n v="6.5515821264328367E-2"/>
    <d v="2025-03-01T00:00:00"/>
    <d v="2025-03-31T00:00:00"/>
    <x v="0"/>
    <x v="3"/>
    <n v="2.1211111111111111E-2"/>
    <x v="1"/>
    <x v="24"/>
    <m/>
    <x v="1"/>
  </r>
  <r>
    <x v="86"/>
    <x v="0"/>
    <d v="2024-06-06T00:00:00"/>
    <x v="5"/>
    <s v="Check out our latest video on twitter!"/>
    <n v="1436"/>
    <n v="765"/>
    <n v="496"/>
    <n v="12924"/>
    <n v="12701"/>
    <n v="197"/>
    <x v="0"/>
    <x v="2"/>
    <n v="45651"/>
    <n v="45667"/>
    <s v="Before Campaign"/>
    <x v="86"/>
    <n v="0.20868152274837512"/>
    <d v="2024-12-25T00:00:00"/>
    <d v="2025-01-10T00:00:00"/>
    <x v="0"/>
    <x v="2"/>
    <n v="1.0788000000000001E-2"/>
    <x v="0"/>
    <x v="39"/>
    <m/>
    <x v="0"/>
  </r>
  <r>
    <x v="87"/>
    <x v="3"/>
    <d v="2024-07-07T00:00:00"/>
    <x v="2"/>
    <s v="Check out our latest story on facebook!"/>
    <n v="302"/>
    <n v="47"/>
    <n v="430"/>
    <n v="5738"/>
    <n v="4890"/>
    <n v="25"/>
    <x v="2"/>
    <x v="3"/>
    <n v="45717"/>
    <n v="45747"/>
    <s v="Before Campaign"/>
    <x v="87"/>
    <n v="0.13576158940397351"/>
    <d v="2025-03-01T00:00:00"/>
    <d v="2025-03-31T00:00:00"/>
    <x v="0"/>
    <x v="3"/>
    <n v="4.3277777777777776E-3"/>
    <x v="3"/>
    <x v="6"/>
    <m/>
    <x v="3"/>
  </r>
  <r>
    <x v="88"/>
    <x v="0"/>
    <d v="2025-01-10T00:00:00"/>
    <x v="4"/>
    <s v="Check out our latest image on twitter!"/>
    <n v="2214"/>
    <n v="249"/>
    <n v="152"/>
    <n v="15498"/>
    <n v="14800"/>
    <n v="180"/>
    <x v="4"/>
    <x v="4"/>
    <n v="0"/>
    <n v="0"/>
    <s v="Before Campaign"/>
    <x v="88"/>
    <n v="0.16873144921925409"/>
    <s v="not found"/>
    <s v="not found"/>
    <x v="0"/>
    <x v="4"/>
    <e v="#VALUE!"/>
    <x v="0"/>
    <x v="30"/>
    <m/>
    <x v="0"/>
  </r>
  <r>
    <x v="89"/>
    <x v="2"/>
    <d v="2024-06-03T00:00:00"/>
    <x v="4"/>
    <s v="Check out our latest image on instagram!"/>
    <n v="3861"/>
    <n v="960"/>
    <n v="101"/>
    <n v="69498"/>
    <n v="68817"/>
    <n v="297"/>
    <x v="2"/>
    <x v="3"/>
    <n v="45717"/>
    <n v="45747"/>
    <s v="Before Campaign"/>
    <x v="89"/>
    <n v="7.0822181933293038E-2"/>
    <d v="2025-03-01T00:00:00"/>
    <d v="2025-03-31T00:00:00"/>
    <x v="0"/>
    <x v="3"/>
    <n v="2.7344444444444446E-2"/>
    <x v="2"/>
    <x v="39"/>
    <m/>
    <x v="2"/>
  </r>
  <r>
    <x v="90"/>
    <x v="3"/>
    <d v="2025-03-24T00:00:00"/>
    <x v="4"/>
    <s v="Check out our latest image on facebook!"/>
    <n v="1263"/>
    <n v="397"/>
    <n v="357"/>
    <n v="25260"/>
    <n v="24615"/>
    <n v="137"/>
    <x v="4"/>
    <x v="3"/>
    <n v="45717"/>
    <n v="45747"/>
    <s v="Before Campaign"/>
    <x v="21"/>
    <n v="7.984956452889945E-2"/>
    <d v="2025-03-01T00:00:00"/>
    <d v="2025-03-31T00:00:00"/>
    <x v="1"/>
    <x v="3"/>
    <n v="1.1205555555555555E-2"/>
    <x v="3"/>
    <x v="27"/>
    <m/>
    <x v="3"/>
  </r>
  <r>
    <x v="91"/>
    <x v="0"/>
    <d v="2024-10-21T00:00:00"/>
    <x v="2"/>
    <s v="Check out our latest story on twitter!"/>
    <n v="3801"/>
    <n v="967"/>
    <n v="401"/>
    <n v="38010"/>
    <n v="37625"/>
    <n v="236"/>
    <x v="0"/>
    <x v="2"/>
    <n v="45651"/>
    <n v="45667"/>
    <s v="Before Campaign"/>
    <x v="90"/>
    <n v="0.13599052880820836"/>
    <d v="2024-12-25T00:00:00"/>
    <d v="2025-01-10T00:00:00"/>
    <x v="0"/>
    <x v="2"/>
    <n v="2.0676E-2"/>
    <x v="0"/>
    <x v="13"/>
    <m/>
    <x v="0"/>
  </r>
  <r>
    <x v="92"/>
    <x v="2"/>
    <d v="2024-12-11T00:00:00"/>
    <x v="5"/>
    <s v="Check out our latest video on instagram!"/>
    <n v="1431"/>
    <n v="951"/>
    <n v="26"/>
    <n v="8586"/>
    <n v="8396"/>
    <n v="150"/>
    <x v="4"/>
    <x v="2"/>
    <n v="45651"/>
    <n v="45667"/>
    <s v="Before Campaign"/>
    <x v="91"/>
    <n v="0.28045655718611695"/>
    <d v="2024-12-25T00:00:00"/>
    <d v="2025-01-10T00:00:00"/>
    <x v="0"/>
    <x v="2"/>
    <n v="9.6319999999999999E-3"/>
    <x v="2"/>
    <x v="31"/>
    <m/>
    <x v="2"/>
  </r>
  <r>
    <x v="93"/>
    <x v="2"/>
    <d v="2024-11-07T00:00:00"/>
    <x v="4"/>
    <s v="Check out our latest image on instagram!"/>
    <n v="2647"/>
    <n v="304"/>
    <n v="170"/>
    <n v="18529"/>
    <n v="17841"/>
    <n v="46"/>
    <x v="0"/>
    <x v="2"/>
    <n v="45651"/>
    <n v="45667"/>
    <s v="Before Campaign"/>
    <x v="92"/>
    <n v="0.16843866371633656"/>
    <d v="2024-12-25T00:00:00"/>
    <d v="2025-01-10T00:00:00"/>
    <x v="0"/>
    <x v="2"/>
    <n v="1.2484E-2"/>
    <x v="2"/>
    <x v="19"/>
    <m/>
    <x v="2"/>
  </r>
  <r>
    <x v="94"/>
    <x v="2"/>
    <d v="2024-11-08T00:00:00"/>
    <x v="1"/>
    <s v="Check out our latest text on instagram!"/>
    <n v="3182"/>
    <n v="559"/>
    <n v="160"/>
    <n v="57276"/>
    <n v="56890"/>
    <n v="163"/>
    <x v="0"/>
    <x v="3"/>
    <n v="45717"/>
    <n v="45747"/>
    <s v="Before Campaign"/>
    <x v="93"/>
    <n v="6.8108806480899509E-2"/>
    <d v="2025-03-01T00:00:00"/>
    <d v="2025-03-31T00:00:00"/>
    <x v="0"/>
    <x v="3"/>
    <n v="2.1672222222222221E-2"/>
    <x v="2"/>
    <x v="19"/>
    <m/>
    <x v="2"/>
  </r>
  <r>
    <x v="95"/>
    <x v="0"/>
    <d v="2024-09-10T00:00:00"/>
    <x v="4"/>
    <s v="Check out our latest image on twitter!"/>
    <n v="1238"/>
    <n v="366"/>
    <n v="444"/>
    <n v="19808"/>
    <n v="19334"/>
    <n v="123"/>
    <x v="0"/>
    <x v="4"/>
    <n v="0"/>
    <n v="0"/>
    <s v="Before Campaign"/>
    <x v="94"/>
    <n v="0.10339256865912763"/>
    <s v="not found"/>
    <s v="not found"/>
    <x v="0"/>
    <x v="4"/>
    <e v="#VALUE!"/>
    <x v="0"/>
    <x v="16"/>
    <m/>
    <x v="0"/>
  </r>
  <r>
    <x v="96"/>
    <x v="2"/>
    <d v="2024-08-13T00:00:00"/>
    <x v="4"/>
    <s v="Check out our latest image on instagram!"/>
    <n v="4739"/>
    <n v="527"/>
    <n v="135"/>
    <n v="61607"/>
    <n v="61333"/>
    <n v="36"/>
    <x v="2"/>
    <x v="1"/>
    <n v="45566"/>
    <n v="45596"/>
    <s v="Before Campaign"/>
    <x v="95"/>
    <n v="8.7668609086629767E-2"/>
    <d v="2024-10-01T00:00:00"/>
    <d v="2024-10-31T00:00:00"/>
    <x v="0"/>
    <x v="1"/>
    <n v="2.7005000000000001E-2"/>
    <x v="2"/>
    <x v="3"/>
    <m/>
    <x v="2"/>
  </r>
  <r>
    <x v="96"/>
    <x v="2"/>
    <d v="2024-08-13T00:00:00"/>
    <x v="4"/>
    <s v="Check out our latest image on instagram!"/>
    <n v="4739"/>
    <n v="527"/>
    <n v="135"/>
    <n v="61607"/>
    <n v="61333"/>
    <n v="36"/>
    <x v="1"/>
    <x v="1"/>
    <n v="45566"/>
    <n v="45596"/>
    <s v="Before Campaign"/>
    <x v="95"/>
    <n v="8.7668609086629767E-2"/>
    <d v="2024-10-01T00:00:00"/>
    <d v="2024-10-31T00:00:00"/>
    <x v="0"/>
    <x v="1"/>
    <n v="2.7005000000000001E-2"/>
    <x v="2"/>
    <x v="3"/>
    <m/>
    <x v="2"/>
  </r>
  <r>
    <x v="97"/>
    <x v="0"/>
    <d v="2024-06-10T00:00:00"/>
    <x v="2"/>
    <s v="Check out our latest story on twitter!"/>
    <n v="1575"/>
    <n v="771"/>
    <n v="486"/>
    <n v="25200"/>
    <n v="24826"/>
    <n v="17"/>
    <x v="0"/>
    <x v="3"/>
    <n v="45717"/>
    <n v="45747"/>
    <s v="Before Campaign"/>
    <x v="96"/>
    <n v="0.11238095238095239"/>
    <d v="2025-03-01T00:00:00"/>
    <d v="2025-03-31T00:00:00"/>
    <x v="0"/>
    <x v="3"/>
    <n v="1.5733333333333332E-2"/>
    <x v="0"/>
    <x v="33"/>
    <m/>
    <x v="0"/>
  </r>
  <r>
    <x v="98"/>
    <x v="1"/>
    <d v="2024-07-02T00:00:00"/>
    <x v="3"/>
    <s v="Check out our latest carousel on youtube!"/>
    <n v="4171"/>
    <n v="548"/>
    <n v="86"/>
    <n v="66736"/>
    <n v="66634"/>
    <n v="173"/>
    <x v="0"/>
    <x v="2"/>
    <n v="45651"/>
    <n v="45667"/>
    <s v="Before Campaign"/>
    <x v="97"/>
    <n v="7.2000119875329657E-2"/>
    <d v="2024-12-25T00:00:00"/>
    <d v="2025-01-10T00:00:00"/>
    <x v="0"/>
    <x v="2"/>
    <n v="1.9220000000000001E-2"/>
    <x v="1"/>
    <x v="34"/>
    <m/>
    <x v="1"/>
  </r>
  <r>
    <x v="99"/>
    <x v="1"/>
    <d v="2025-02-10T00:00:00"/>
    <x v="5"/>
    <s v="Check out our latest video on youtube!"/>
    <n v="1766"/>
    <n v="92"/>
    <n v="424"/>
    <n v="24724"/>
    <n v="24333"/>
    <n v="52"/>
    <x v="4"/>
    <x v="4"/>
    <n v="0"/>
    <n v="0"/>
    <s v="Before Campaign"/>
    <x v="98"/>
    <n v="9.2298980747451867E-2"/>
    <s v="not found"/>
    <s v="not found"/>
    <x v="0"/>
    <x v="4"/>
    <e v="#VALUE!"/>
    <x v="1"/>
    <x v="40"/>
    <m/>
    <x v="1"/>
  </r>
  <r>
    <x v="100"/>
    <x v="1"/>
    <d v="2024-10-18T00:00:00"/>
    <x v="5"/>
    <s v="Check out our latest video on youtube!"/>
    <n v="4450"/>
    <n v="983"/>
    <n v="143"/>
    <n v="75650"/>
    <n v="75008"/>
    <n v="12"/>
    <x v="0"/>
    <x v="2"/>
    <n v="45651"/>
    <n v="45667"/>
    <s v="Before Campaign"/>
    <x v="99"/>
    <n v="7.3707865168539333E-2"/>
    <d v="2024-12-25T00:00:00"/>
    <d v="2025-01-10T00:00:00"/>
    <x v="0"/>
    <x v="2"/>
    <n v="2.2304000000000001E-2"/>
    <x v="1"/>
    <x v="37"/>
    <m/>
    <x v="1"/>
  </r>
  <r>
    <x v="101"/>
    <x v="0"/>
    <d v="2024-09-18T00:00:00"/>
    <x v="0"/>
    <s v="Check out our latest reel on twitter!"/>
    <n v="1000"/>
    <n v="978"/>
    <n v="162"/>
    <n v="6000"/>
    <n v="5221"/>
    <n v="223"/>
    <x v="4"/>
    <x v="1"/>
    <n v="45566"/>
    <n v="45596"/>
    <s v="Before Campaign"/>
    <x v="100"/>
    <n v="0.35666666666666669"/>
    <d v="2024-10-01T00:00:00"/>
    <d v="2024-10-31T00:00:00"/>
    <x v="0"/>
    <x v="1"/>
    <n v="1.0699999999999999E-2"/>
    <x v="0"/>
    <x v="22"/>
    <m/>
    <x v="0"/>
  </r>
  <r>
    <x v="102"/>
    <x v="3"/>
    <d v="2024-06-11T00:00:00"/>
    <x v="4"/>
    <s v="Check out our latest image on facebook!"/>
    <n v="3689"/>
    <n v="48"/>
    <n v="306"/>
    <n v="40579"/>
    <n v="39588"/>
    <n v="212"/>
    <x v="4"/>
    <x v="1"/>
    <n v="45566"/>
    <n v="45596"/>
    <s v="Before Campaign"/>
    <x v="101"/>
    <n v="9.9632815002833983E-2"/>
    <d v="2024-10-01T00:00:00"/>
    <d v="2024-10-31T00:00:00"/>
    <x v="0"/>
    <x v="1"/>
    <n v="2.0215E-2"/>
    <x v="3"/>
    <x v="33"/>
    <m/>
    <x v="3"/>
  </r>
  <r>
    <x v="103"/>
    <x v="1"/>
    <d v="2025-03-23T00:00:00"/>
    <x v="2"/>
    <s v="Check out our latest story on youtube!"/>
    <n v="3655"/>
    <n v="568"/>
    <n v="286"/>
    <n v="32895"/>
    <n v="32015"/>
    <n v="199"/>
    <x v="2"/>
    <x v="2"/>
    <n v="45651"/>
    <n v="45667"/>
    <s v="Before Campaign"/>
    <x v="102"/>
    <n v="0.13707250341997265"/>
    <d v="2024-12-25T00:00:00"/>
    <d v="2025-01-10T00:00:00"/>
    <x v="0"/>
    <x v="2"/>
    <n v="1.8036E-2"/>
    <x v="1"/>
    <x v="27"/>
    <m/>
    <x v="1"/>
  </r>
  <r>
    <x v="104"/>
    <x v="2"/>
    <d v="2024-06-14T00:00:00"/>
    <x v="3"/>
    <s v="Check out our latest carousel on instagram!"/>
    <n v="498"/>
    <n v="38"/>
    <n v="42"/>
    <n v="4482"/>
    <n v="3647"/>
    <n v="32"/>
    <x v="0"/>
    <x v="0"/>
    <n v="45458"/>
    <n v="45488"/>
    <s v="Before Campaign"/>
    <x v="103"/>
    <n v="0.12896028558679162"/>
    <d v="2024-06-15T00:00:00"/>
    <d v="2024-07-15T00:00:00"/>
    <x v="0"/>
    <x v="0"/>
    <n v="3.8533333333333332E-3"/>
    <x v="2"/>
    <x v="33"/>
    <m/>
    <x v="2"/>
  </r>
  <r>
    <x v="105"/>
    <x v="2"/>
    <d v="2025-02-04T00:00:00"/>
    <x v="4"/>
    <s v="Check out our latest image on instagram!"/>
    <n v="4619"/>
    <n v="821"/>
    <n v="499"/>
    <n v="69285"/>
    <n v="69141"/>
    <n v="298"/>
    <x v="2"/>
    <x v="3"/>
    <n v="45717"/>
    <n v="45747"/>
    <s v="Before Campaign"/>
    <x v="104"/>
    <n v="8.5718409468138843E-2"/>
    <d v="2025-03-01T00:00:00"/>
    <d v="2025-03-31T00:00:00"/>
    <x v="0"/>
    <x v="3"/>
    <n v="3.2994444444444444E-2"/>
    <x v="2"/>
    <x v="9"/>
    <m/>
    <x v="2"/>
  </r>
  <r>
    <x v="106"/>
    <x v="1"/>
    <d v="2024-06-21T00:00:00"/>
    <x v="4"/>
    <s v="Check out our latest image on youtube!"/>
    <n v="4832"/>
    <n v="893"/>
    <n v="10"/>
    <n v="91808"/>
    <n v="91296"/>
    <n v="182"/>
    <x v="2"/>
    <x v="4"/>
    <n v="0"/>
    <n v="0"/>
    <s v="Before Campaign"/>
    <x v="105"/>
    <n v="6.2467323109097243E-2"/>
    <s v="not found"/>
    <s v="not found"/>
    <x v="0"/>
    <x v="4"/>
    <e v="#VALUE!"/>
    <x v="1"/>
    <x v="35"/>
    <m/>
    <x v="1"/>
  </r>
  <r>
    <x v="107"/>
    <x v="0"/>
    <d v="2025-03-25T00:00:00"/>
    <x v="5"/>
    <s v="Check out our latest video on twitter!"/>
    <n v="4050"/>
    <n v="871"/>
    <n v="347"/>
    <n v="52650"/>
    <n v="51755"/>
    <n v="209"/>
    <x v="2"/>
    <x v="1"/>
    <n v="45566"/>
    <n v="45596"/>
    <s v="Before Campaign"/>
    <x v="106"/>
    <n v="0.10005698005698006"/>
    <d v="2024-10-01T00:00:00"/>
    <d v="2024-10-31T00:00:00"/>
    <x v="0"/>
    <x v="1"/>
    <n v="2.6339999999999999E-2"/>
    <x v="0"/>
    <x v="27"/>
    <m/>
    <x v="0"/>
  </r>
  <r>
    <x v="108"/>
    <x v="0"/>
    <d v="2024-08-08T00:00:00"/>
    <x v="2"/>
    <s v="Check out our latest story on twitter!"/>
    <n v="3649"/>
    <n v="215"/>
    <n v="413"/>
    <n v="25543"/>
    <n v="24963"/>
    <n v="167"/>
    <x v="0"/>
    <x v="2"/>
    <n v="45651"/>
    <n v="45667"/>
    <s v="Before Campaign"/>
    <x v="107"/>
    <n v="0.16744313510550835"/>
    <d v="2024-12-25T00:00:00"/>
    <d v="2025-01-10T00:00:00"/>
    <x v="0"/>
    <x v="2"/>
    <n v="1.7108000000000002E-2"/>
    <x v="0"/>
    <x v="41"/>
    <m/>
    <x v="0"/>
  </r>
  <r>
    <x v="109"/>
    <x v="2"/>
    <d v="2024-07-29T00:00:00"/>
    <x v="0"/>
    <s v="Check out our latest reel on instagram!"/>
    <n v="3523"/>
    <n v="753"/>
    <n v="482"/>
    <n v="38753"/>
    <n v="38579"/>
    <n v="270"/>
    <x v="4"/>
    <x v="1"/>
    <n v="45566"/>
    <n v="45596"/>
    <s v="Before Campaign"/>
    <x v="108"/>
    <n v="0.12277759141227776"/>
    <d v="2024-10-01T00:00:00"/>
    <d v="2024-10-31T00:00:00"/>
    <x v="0"/>
    <x v="1"/>
    <n v="2.3789999999999999E-2"/>
    <x v="2"/>
    <x v="26"/>
    <m/>
    <x v="2"/>
  </r>
  <r>
    <x v="110"/>
    <x v="1"/>
    <d v="2024-11-23T00:00:00"/>
    <x v="4"/>
    <s v="Check out our latest image on youtube!"/>
    <n v="2719"/>
    <n v="17"/>
    <n v="285"/>
    <n v="40785"/>
    <n v="40281"/>
    <n v="40"/>
    <x v="2"/>
    <x v="1"/>
    <n v="45566"/>
    <n v="45596"/>
    <s v="Before Campaign"/>
    <x v="109"/>
    <n v="7.4071349760941527E-2"/>
    <d v="2024-10-01T00:00:00"/>
    <d v="2024-10-31T00:00:00"/>
    <x v="0"/>
    <x v="1"/>
    <n v="1.5105E-2"/>
    <x v="1"/>
    <x v="11"/>
    <m/>
    <x v="1"/>
  </r>
  <r>
    <x v="111"/>
    <x v="0"/>
    <d v="2024-10-05T00:00:00"/>
    <x v="2"/>
    <s v="Check out our latest story on twitter!"/>
    <n v="1957"/>
    <n v="877"/>
    <n v="238"/>
    <n v="17613"/>
    <n v="16865"/>
    <n v="297"/>
    <x v="0"/>
    <x v="2"/>
    <n v="45651"/>
    <n v="45667"/>
    <s v="Before Campaign"/>
    <x v="110"/>
    <n v="0.17441662408448305"/>
    <d v="2024-12-25T00:00:00"/>
    <d v="2025-01-10T00:00:00"/>
    <x v="0"/>
    <x v="2"/>
    <n v="1.2288E-2"/>
    <x v="0"/>
    <x v="42"/>
    <m/>
    <x v="0"/>
  </r>
  <r>
    <x v="112"/>
    <x v="0"/>
    <d v="2024-10-02T00:00:00"/>
    <x v="3"/>
    <s v="Check out our latest carousel on twitter!"/>
    <n v="4419"/>
    <n v="236"/>
    <n v="369"/>
    <n v="44190"/>
    <n v="43582"/>
    <n v="10"/>
    <x v="4"/>
    <x v="0"/>
    <n v="45458"/>
    <n v="45488"/>
    <s v="Before Campaign"/>
    <x v="111"/>
    <n v="0.11369088028965829"/>
    <d v="2024-06-15T00:00:00"/>
    <d v="2024-07-15T00:00:00"/>
    <x v="0"/>
    <x v="0"/>
    <n v="3.3493333333333333E-2"/>
    <x v="0"/>
    <x v="42"/>
    <m/>
    <x v="0"/>
  </r>
  <r>
    <x v="113"/>
    <x v="0"/>
    <d v="2024-11-14T00:00:00"/>
    <x v="2"/>
    <s v="Check out our latest story on twitter!"/>
    <n v="4000"/>
    <n v="689"/>
    <n v="488"/>
    <n v="40000"/>
    <n v="39569"/>
    <n v="44"/>
    <x v="0"/>
    <x v="0"/>
    <n v="45458"/>
    <n v="45488"/>
    <s v="Before Campaign"/>
    <x v="112"/>
    <n v="0.12942500000000001"/>
    <d v="2024-06-15T00:00:00"/>
    <d v="2024-07-15T00:00:00"/>
    <x v="0"/>
    <x v="0"/>
    <n v="3.4513333333333333E-2"/>
    <x v="0"/>
    <x v="43"/>
    <m/>
    <x v="0"/>
  </r>
  <r>
    <x v="114"/>
    <x v="0"/>
    <d v="2025-05-11T00:00:00"/>
    <x v="4"/>
    <s v="Check out our latest image on twitter!"/>
    <n v="2493"/>
    <n v="97"/>
    <n v="44"/>
    <n v="42381"/>
    <n v="41991"/>
    <n v="242"/>
    <x v="2"/>
    <x v="3"/>
    <n v="45717"/>
    <n v="45747"/>
    <s v="Before Campaign"/>
    <x v="113"/>
    <n v="6.2150491965739366E-2"/>
    <d v="2025-03-01T00:00:00"/>
    <d v="2025-03-31T00:00:00"/>
    <x v="0"/>
    <x v="3"/>
    <n v="1.4633333333333333E-2"/>
    <x v="0"/>
    <x v="2"/>
    <m/>
    <x v="0"/>
  </r>
  <r>
    <x v="114"/>
    <x v="0"/>
    <d v="2025-05-11T00:00:00"/>
    <x v="4"/>
    <s v="Check out our latest image on twitter!"/>
    <n v="2493"/>
    <n v="97"/>
    <n v="44"/>
    <n v="42381"/>
    <n v="41991"/>
    <n v="242"/>
    <x v="1"/>
    <x v="3"/>
    <n v="45717"/>
    <n v="45747"/>
    <s v="Before Campaign"/>
    <x v="113"/>
    <n v="6.2150491965739366E-2"/>
    <d v="2025-03-01T00:00:00"/>
    <d v="2025-03-31T00:00:00"/>
    <x v="0"/>
    <x v="3"/>
    <n v="1.4633333333333333E-2"/>
    <x v="0"/>
    <x v="2"/>
    <m/>
    <x v="0"/>
  </r>
  <r>
    <x v="115"/>
    <x v="1"/>
    <d v="2025-03-18T00:00:00"/>
    <x v="0"/>
    <s v="Check out our latest reel on youtube!"/>
    <n v="3704"/>
    <n v="186"/>
    <n v="458"/>
    <n v="25928"/>
    <n v="25081"/>
    <n v="131"/>
    <x v="2"/>
    <x v="4"/>
    <n v="0"/>
    <n v="0"/>
    <s v="Before Campaign"/>
    <x v="114"/>
    <n v="0.16769515581610614"/>
    <s v="not found"/>
    <s v="not found"/>
    <x v="0"/>
    <x v="4"/>
    <e v="#VALUE!"/>
    <x v="1"/>
    <x v="44"/>
    <m/>
    <x v="1"/>
  </r>
  <r>
    <x v="116"/>
    <x v="0"/>
    <d v="2024-11-04T00:00:00"/>
    <x v="4"/>
    <s v="Check out our latest image on twitter!"/>
    <n v="1606"/>
    <n v="451"/>
    <n v="405"/>
    <n v="20878"/>
    <n v="20190"/>
    <n v="219"/>
    <x v="4"/>
    <x v="3"/>
    <n v="45717"/>
    <n v="45747"/>
    <s v="Before Campaign"/>
    <x v="115"/>
    <n v="0.11792317271769326"/>
    <d v="2025-03-01T00:00:00"/>
    <d v="2025-03-31T00:00:00"/>
    <x v="0"/>
    <x v="3"/>
    <n v="1.3677777777777778E-2"/>
    <x v="0"/>
    <x v="19"/>
    <m/>
    <x v="0"/>
  </r>
  <r>
    <x v="117"/>
    <x v="3"/>
    <d v="2024-11-04T00:00:00"/>
    <x v="4"/>
    <s v="Check out our latest image on facebook!"/>
    <n v="4551"/>
    <n v="714"/>
    <n v="207"/>
    <n v="68265"/>
    <n v="67754"/>
    <n v="57"/>
    <x v="0"/>
    <x v="2"/>
    <n v="45651"/>
    <n v="45667"/>
    <s v="Before Campaign"/>
    <x v="116"/>
    <n v="8.0158206987475278E-2"/>
    <d v="2024-12-25T00:00:00"/>
    <d v="2025-01-10T00:00:00"/>
    <x v="0"/>
    <x v="2"/>
    <n v="2.1888000000000001E-2"/>
    <x v="3"/>
    <x v="19"/>
    <m/>
    <x v="3"/>
  </r>
  <r>
    <x v="118"/>
    <x v="2"/>
    <d v="2025-02-07T00:00:00"/>
    <x v="0"/>
    <s v="Check out our latest reel on instagram!"/>
    <n v="1970"/>
    <n v="675"/>
    <n v="478"/>
    <n v="9850"/>
    <n v="8924"/>
    <n v="117"/>
    <x v="0"/>
    <x v="4"/>
    <n v="0"/>
    <n v="0"/>
    <s v="Before Campaign"/>
    <x v="117"/>
    <n v="0.31705583756345179"/>
    <s v="not found"/>
    <s v="not found"/>
    <x v="0"/>
    <x v="4"/>
    <e v="#VALUE!"/>
    <x v="2"/>
    <x v="9"/>
    <m/>
    <x v="2"/>
  </r>
  <r>
    <x v="119"/>
    <x v="3"/>
    <d v="2024-10-21T00:00:00"/>
    <x v="2"/>
    <s v="Check out our latest story on facebook!"/>
    <n v="780"/>
    <n v="928"/>
    <n v="301"/>
    <n v="8580"/>
    <n v="8081"/>
    <n v="91"/>
    <x v="4"/>
    <x v="2"/>
    <n v="45651"/>
    <n v="45667"/>
    <s v="Before Campaign"/>
    <x v="118"/>
    <n v="0.23414918414918415"/>
    <d v="2024-12-25T00:00:00"/>
    <d v="2025-01-10T00:00:00"/>
    <x v="0"/>
    <x v="2"/>
    <n v="8.0359999999999997E-3"/>
    <x v="3"/>
    <x v="13"/>
    <m/>
    <x v="3"/>
  </r>
  <r>
    <x v="120"/>
    <x v="2"/>
    <d v="2024-07-29T00:00:00"/>
    <x v="2"/>
    <s v="Check out our latest story on instagram!"/>
    <n v="498"/>
    <n v="701"/>
    <n v="412"/>
    <n v="4980"/>
    <n v="4185"/>
    <n v="185"/>
    <x v="0"/>
    <x v="4"/>
    <n v="0"/>
    <n v="0"/>
    <s v="Before Campaign"/>
    <x v="119"/>
    <n v="0.32349397590361445"/>
    <s v="not found"/>
    <s v="not found"/>
    <x v="0"/>
    <x v="4"/>
    <e v="#VALUE!"/>
    <x v="2"/>
    <x v="26"/>
    <m/>
    <x v="2"/>
  </r>
  <r>
    <x v="121"/>
    <x v="2"/>
    <d v="2024-10-02T00:00:00"/>
    <x v="1"/>
    <s v="Check out our latest text on instagram!"/>
    <n v="3432"/>
    <n v="869"/>
    <n v="123"/>
    <n v="54912"/>
    <n v="53916"/>
    <n v="264"/>
    <x v="4"/>
    <x v="1"/>
    <n v="45566"/>
    <n v="45596"/>
    <s v="Before Campaign"/>
    <x v="120"/>
    <n v="8.0565268065268064E-2"/>
    <d v="2024-10-01T00:00:00"/>
    <d v="2024-10-31T00:00:00"/>
    <x v="1"/>
    <x v="1"/>
    <n v="2.2120000000000001E-2"/>
    <x v="2"/>
    <x v="42"/>
    <m/>
    <x v="2"/>
  </r>
  <r>
    <x v="122"/>
    <x v="2"/>
    <d v="2024-06-14T00:00:00"/>
    <x v="2"/>
    <s v="Check out our latest story on instagram!"/>
    <n v="4363"/>
    <n v="649"/>
    <n v="140"/>
    <n v="21815"/>
    <n v="21481"/>
    <n v="157"/>
    <x v="4"/>
    <x v="0"/>
    <n v="45458"/>
    <n v="45488"/>
    <s v="Before Campaign"/>
    <x v="121"/>
    <n v="0.23616777446710979"/>
    <d v="2024-06-15T00:00:00"/>
    <d v="2024-07-15T00:00:00"/>
    <x v="0"/>
    <x v="0"/>
    <n v="3.4346666666666664E-2"/>
    <x v="2"/>
    <x v="33"/>
    <m/>
    <x v="2"/>
  </r>
  <r>
    <x v="123"/>
    <x v="1"/>
    <d v="2025-04-06T00:00:00"/>
    <x v="3"/>
    <s v="Check out our latest carousel on youtube!"/>
    <n v="736"/>
    <n v="771"/>
    <n v="225"/>
    <n v="5152"/>
    <n v="4706"/>
    <n v="19"/>
    <x v="4"/>
    <x v="0"/>
    <n v="45458"/>
    <n v="45488"/>
    <s v="Before Campaign"/>
    <x v="122"/>
    <n v="0.33618012422360249"/>
    <d v="2024-06-15T00:00:00"/>
    <d v="2024-07-15T00:00:00"/>
    <x v="0"/>
    <x v="0"/>
    <n v="1.1546666666666667E-2"/>
    <x v="1"/>
    <x v="21"/>
    <m/>
    <x v="1"/>
  </r>
  <r>
    <x v="124"/>
    <x v="0"/>
    <d v="2024-09-08T00:00:00"/>
    <x v="3"/>
    <s v="Check out our latest carousel on twitter!"/>
    <n v="3811"/>
    <n v="866"/>
    <n v="216"/>
    <n v="34299"/>
    <n v="34088"/>
    <n v="233"/>
    <x v="2"/>
    <x v="3"/>
    <n v="45717"/>
    <n v="45747"/>
    <s v="Before Campaign"/>
    <x v="123"/>
    <n v="0.14265722032712325"/>
    <d v="2025-03-01T00:00:00"/>
    <d v="2025-03-31T00:00:00"/>
    <x v="0"/>
    <x v="3"/>
    <n v="2.7183333333333334E-2"/>
    <x v="0"/>
    <x v="16"/>
    <m/>
    <x v="0"/>
  </r>
  <r>
    <x v="125"/>
    <x v="2"/>
    <d v="2025-03-28T00:00:00"/>
    <x v="3"/>
    <s v="Check out our latest carousel on instagram!"/>
    <n v="4158"/>
    <n v="167"/>
    <n v="241"/>
    <n v="45738"/>
    <n v="45183"/>
    <n v="142"/>
    <x v="0"/>
    <x v="4"/>
    <n v="0"/>
    <n v="0"/>
    <s v="Before Campaign"/>
    <x v="124"/>
    <n v="9.9829463465827106E-2"/>
    <s v="not found"/>
    <s v="not found"/>
    <x v="0"/>
    <x v="4"/>
    <e v="#VALUE!"/>
    <x v="2"/>
    <x v="27"/>
    <m/>
    <x v="2"/>
  </r>
  <r>
    <x v="126"/>
    <x v="3"/>
    <d v="2025-01-27T00:00:00"/>
    <x v="0"/>
    <s v="Check out our latest reel on facebook!"/>
    <n v="3452"/>
    <n v="652"/>
    <n v="442"/>
    <n v="65588"/>
    <n v="65049"/>
    <n v="158"/>
    <x v="0"/>
    <x v="2"/>
    <n v="45651"/>
    <n v="45667"/>
    <s v="Before Campaign"/>
    <x v="125"/>
    <n v="6.9311459413307311E-2"/>
    <d v="2024-12-25T00:00:00"/>
    <d v="2025-01-10T00:00:00"/>
    <x v="0"/>
    <x v="2"/>
    <n v="1.8183999999999999E-2"/>
    <x v="3"/>
    <x v="24"/>
    <m/>
    <x v="3"/>
  </r>
  <r>
    <x v="127"/>
    <x v="0"/>
    <d v="2025-01-10T00:00:00"/>
    <x v="4"/>
    <s v="Check out our latest image on twitter!"/>
    <n v="3092"/>
    <n v="106"/>
    <n v="291"/>
    <n v="27828"/>
    <n v="27217"/>
    <n v="102"/>
    <x v="0"/>
    <x v="4"/>
    <n v="0"/>
    <n v="0"/>
    <s v="Before Campaign"/>
    <x v="126"/>
    <n v="0.12537731780940059"/>
    <s v="not found"/>
    <s v="not found"/>
    <x v="0"/>
    <x v="4"/>
    <e v="#VALUE!"/>
    <x v="0"/>
    <x v="30"/>
    <m/>
    <x v="0"/>
  </r>
  <r>
    <x v="128"/>
    <x v="0"/>
    <d v="2024-07-21T00:00:00"/>
    <x v="1"/>
    <s v="Check out our latest text on twitter!"/>
    <n v="2147"/>
    <n v="430"/>
    <n v="393"/>
    <n v="17176"/>
    <n v="16483"/>
    <n v="170"/>
    <x v="2"/>
    <x v="4"/>
    <n v="0"/>
    <n v="0"/>
    <s v="Before Campaign"/>
    <x v="127"/>
    <n v="0.17291569632044715"/>
    <s v="not found"/>
    <s v="not found"/>
    <x v="0"/>
    <x v="4"/>
    <e v="#VALUE!"/>
    <x v="0"/>
    <x v="10"/>
    <m/>
    <x v="0"/>
  </r>
  <r>
    <x v="129"/>
    <x v="1"/>
    <d v="2024-09-29T00:00:00"/>
    <x v="0"/>
    <s v="Check out our latest reel on youtube!"/>
    <n v="2936"/>
    <n v="439"/>
    <n v="44"/>
    <n v="38168"/>
    <n v="37571"/>
    <n v="22"/>
    <x v="4"/>
    <x v="3"/>
    <n v="45717"/>
    <n v="45747"/>
    <s v="Before Campaign"/>
    <x v="128"/>
    <n v="8.9577656675749323E-2"/>
    <d v="2025-03-01T00:00:00"/>
    <d v="2025-03-31T00:00:00"/>
    <x v="0"/>
    <x v="3"/>
    <n v="1.8994444444444446E-2"/>
    <x v="1"/>
    <x v="42"/>
    <m/>
    <x v="1"/>
  </r>
  <r>
    <x v="130"/>
    <x v="2"/>
    <d v="2024-10-21T00:00:00"/>
    <x v="0"/>
    <s v="Check out our latest reel on instagram!"/>
    <n v="4840"/>
    <n v="658"/>
    <n v="211"/>
    <n v="43560"/>
    <n v="43225"/>
    <n v="57"/>
    <x v="0"/>
    <x v="2"/>
    <n v="45651"/>
    <n v="45667"/>
    <s v="Before Campaign"/>
    <x v="129"/>
    <n v="0.13106060606060607"/>
    <d v="2024-12-25T00:00:00"/>
    <d v="2025-01-10T00:00:00"/>
    <x v="0"/>
    <x v="2"/>
    <n v="2.2835999999999999E-2"/>
    <x v="2"/>
    <x v="13"/>
    <m/>
    <x v="2"/>
  </r>
  <r>
    <x v="131"/>
    <x v="2"/>
    <d v="2025-03-04T00:00:00"/>
    <x v="2"/>
    <s v="Check out our latest story on instagram!"/>
    <n v="1947"/>
    <n v="842"/>
    <n v="101"/>
    <n v="21417"/>
    <n v="20967"/>
    <n v="186"/>
    <x v="0"/>
    <x v="1"/>
    <n v="45566"/>
    <n v="45596"/>
    <s v="Before Campaign"/>
    <x v="130"/>
    <n v="0.13493953401503478"/>
    <d v="2024-10-01T00:00:00"/>
    <d v="2024-10-31T00:00:00"/>
    <x v="0"/>
    <x v="1"/>
    <n v="1.4449999999999999E-2"/>
    <x v="2"/>
    <x v="23"/>
    <m/>
    <x v="2"/>
  </r>
  <r>
    <x v="132"/>
    <x v="3"/>
    <d v="2025-02-06T00:00:00"/>
    <x v="4"/>
    <s v="Check out our latest image on facebook!"/>
    <n v="2072"/>
    <n v="532"/>
    <n v="71"/>
    <n v="37296"/>
    <n v="36467"/>
    <n v="25"/>
    <x v="2"/>
    <x v="3"/>
    <n v="45717"/>
    <n v="45747"/>
    <s v="Before Campaign"/>
    <x v="131"/>
    <n v="7.172350922350923E-2"/>
    <d v="2025-03-01T00:00:00"/>
    <d v="2025-03-31T00:00:00"/>
    <x v="0"/>
    <x v="3"/>
    <n v="1.4861111111111111E-2"/>
    <x v="3"/>
    <x v="9"/>
    <m/>
    <x v="3"/>
  </r>
  <r>
    <x v="133"/>
    <x v="0"/>
    <d v="2025-04-24T00:00:00"/>
    <x v="0"/>
    <s v="Check out our latest reel on twitter!"/>
    <n v="3731"/>
    <n v="115"/>
    <n v="135"/>
    <n v="55965"/>
    <n v="55436"/>
    <n v="103"/>
    <x v="2"/>
    <x v="0"/>
    <n v="45458"/>
    <n v="45488"/>
    <s v="Before Campaign"/>
    <x v="132"/>
    <n v="7.1133744304476013E-2"/>
    <d v="2024-06-15T00:00:00"/>
    <d v="2024-07-15T00:00:00"/>
    <x v="0"/>
    <x v="0"/>
    <n v="2.6540000000000001E-2"/>
    <x v="0"/>
    <x v="45"/>
    <m/>
    <x v="0"/>
  </r>
  <r>
    <x v="134"/>
    <x v="3"/>
    <d v="2024-11-28T00:00:00"/>
    <x v="1"/>
    <s v="Check out our latest text on facebook!"/>
    <n v="4213"/>
    <n v="253"/>
    <n v="434"/>
    <n v="75834"/>
    <n v="75437"/>
    <n v="272"/>
    <x v="0"/>
    <x v="3"/>
    <n v="45717"/>
    <n v="45747"/>
    <s v="Before Campaign"/>
    <x v="133"/>
    <n v="6.461481657304112E-2"/>
    <d v="2025-03-01T00:00:00"/>
    <d v="2025-03-31T00:00:00"/>
    <x v="0"/>
    <x v="3"/>
    <n v="2.7222222222222221E-2"/>
    <x v="3"/>
    <x v="28"/>
    <m/>
    <x v="3"/>
  </r>
  <r>
    <x v="135"/>
    <x v="2"/>
    <d v="2024-07-11T00:00:00"/>
    <x v="1"/>
    <s v="Check out our latest text on instagram!"/>
    <n v="3134"/>
    <n v="888"/>
    <n v="444"/>
    <n v="21938"/>
    <n v="21337"/>
    <n v="130"/>
    <x v="4"/>
    <x v="3"/>
    <n v="45717"/>
    <n v="45747"/>
    <s v="Before Campaign"/>
    <x v="134"/>
    <n v="0.20357370772176134"/>
    <d v="2025-03-01T00:00:00"/>
    <d v="2025-03-31T00:00:00"/>
    <x v="0"/>
    <x v="3"/>
    <n v="2.481111111111111E-2"/>
    <x v="2"/>
    <x v="6"/>
    <m/>
    <x v="2"/>
  </r>
  <r>
    <x v="136"/>
    <x v="3"/>
    <d v="2024-07-31T00:00:00"/>
    <x v="5"/>
    <s v="Check out our latest video on facebook!"/>
    <n v="3008"/>
    <n v="94"/>
    <n v="37"/>
    <n v="15040"/>
    <n v="14639"/>
    <n v="277"/>
    <x v="0"/>
    <x v="4"/>
    <n v="0"/>
    <n v="0"/>
    <s v="Before Campaign"/>
    <x v="135"/>
    <n v="0.20871010638297871"/>
    <s v="not found"/>
    <s v="not found"/>
    <x v="0"/>
    <x v="4"/>
    <e v="#VALUE!"/>
    <x v="3"/>
    <x v="26"/>
    <m/>
    <x v="3"/>
  </r>
  <r>
    <x v="137"/>
    <x v="0"/>
    <d v="2025-03-29T00:00:00"/>
    <x v="4"/>
    <s v="Check out our latest image on twitter!"/>
    <n v="305"/>
    <n v="187"/>
    <n v="243"/>
    <n v="4575"/>
    <n v="3704"/>
    <n v="234"/>
    <x v="0"/>
    <x v="2"/>
    <n v="45651"/>
    <n v="45667"/>
    <s v="Before Campaign"/>
    <x v="136"/>
    <n v="0.16065573770491803"/>
    <d v="2024-12-25T00:00:00"/>
    <d v="2025-01-10T00:00:00"/>
    <x v="0"/>
    <x v="2"/>
    <n v="2.9399999999999999E-3"/>
    <x v="0"/>
    <x v="27"/>
    <m/>
    <x v="0"/>
  </r>
  <r>
    <x v="138"/>
    <x v="1"/>
    <d v="2024-10-29T00:00:00"/>
    <x v="1"/>
    <s v="Check out our latest text on youtube!"/>
    <n v="2746"/>
    <n v="156"/>
    <n v="203"/>
    <n v="32952"/>
    <n v="32147"/>
    <n v="147"/>
    <x v="4"/>
    <x v="0"/>
    <n v="45458"/>
    <n v="45488"/>
    <s v="Before Campaign"/>
    <x v="137"/>
    <n v="9.422796795338674E-2"/>
    <d v="2024-06-15T00:00:00"/>
    <d v="2024-07-15T00:00:00"/>
    <x v="0"/>
    <x v="0"/>
    <n v="2.07E-2"/>
    <x v="1"/>
    <x v="5"/>
    <m/>
    <x v="1"/>
  </r>
  <r>
    <x v="139"/>
    <x v="3"/>
    <d v="2024-07-15T00:00:00"/>
    <x v="4"/>
    <s v="Check out our latest image on facebook!"/>
    <n v="2291"/>
    <n v="78"/>
    <n v="485"/>
    <n v="18328"/>
    <n v="18101"/>
    <n v="10"/>
    <x v="4"/>
    <x v="1"/>
    <n v="45566"/>
    <n v="45596"/>
    <s v="Before Campaign"/>
    <x v="138"/>
    <n v="0.15571802706241816"/>
    <d v="2024-10-01T00:00:00"/>
    <d v="2024-10-31T00:00:00"/>
    <x v="0"/>
    <x v="1"/>
    <n v="1.427E-2"/>
    <x v="3"/>
    <x v="46"/>
    <m/>
    <x v="3"/>
  </r>
  <r>
    <x v="139"/>
    <x v="3"/>
    <d v="2024-07-15T00:00:00"/>
    <x v="4"/>
    <s v="Check out our latest image on facebook!"/>
    <n v="2291"/>
    <n v="78"/>
    <n v="485"/>
    <n v="18328"/>
    <n v="18101"/>
    <n v="10"/>
    <x v="5"/>
    <x v="1"/>
    <n v="45566"/>
    <n v="45596"/>
    <s v="Before Campaign"/>
    <x v="138"/>
    <n v="0.15571802706241816"/>
    <d v="2024-10-01T00:00:00"/>
    <d v="2024-10-31T00:00:00"/>
    <x v="0"/>
    <x v="1"/>
    <n v="1.427E-2"/>
    <x v="3"/>
    <x v="46"/>
    <m/>
    <x v="3"/>
  </r>
  <r>
    <x v="140"/>
    <x v="0"/>
    <d v="2024-08-31T00:00:00"/>
    <x v="4"/>
    <s v="Check out our latest image on twitter!"/>
    <n v="3170"/>
    <n v="857"/>
    <n v="379"/>
    <n v="19020"/>
    <n v="18559"/>
    <n v="240"/>
    <x v="0"/>
    <x v="4"/>
    <n v="0"/>
    <n v="0"/>
    <s v="Before Campaign"/>
    <x v="139"/>
    <n v="0.2316508937960042"/>
    <s v="not found"/>
    <s v="not found"/>
    <x v="0"/>
    <x v="4"/>
    <e v="#VALUE!"/>
    <x v="0"/>
    <x v="7"/>
    <m/>
    <x v="0"/>
  </r>
  <r>
    <x v="141"/>
    <x v="1"/>
    <d v="2025-03-25T00:00:00"/>
    <x v="2"/>
    <s v="Check out our latest story on youtube!"/>
    <n v="2070"/>
    <n v="275"/>
    <n v="386"/>
    <n v="39330"/>
    <n v="38627"/>
    <n v="114"/>
    <x v="0"/>
    <x v="3"/>
    <n v="45717"/>
    <n v="45747"/>
    <s v="Before Campaign"/>
    <x v="140"/>
    <n v="6.9438087973557078E-2"/>
    <d v="2025-03-01T00:00:00"/>
    <d v="2025-03-31T00:00:00"/>
    <x v="1"/>
    <x v="3"/>
    <n v="1.5172222222222222E-2"/>
    <x v="1"/>
    <x v="27"/>
    <m/>
    <x v="1"/>
  </r>
  <r>
    <x v="142"/>
    <x v="1"/>
    <d v="2024-10-02T00:00:00"/>
    <x v="3"/>
    <s v="Check out our latest carousel on youtube!"/>
    <n v="80"/>
    <n v="362"/>
    <n v="80"/>
    <n v="1040"/>
    <n v="349"/>
    <n v="117"/>
    <x v="2"/>
    <x v="2"/>
    <n v="45651"/>
    <n v="45667"/>
    <s v="Before Campaign"/>
    <x v="141"/>
    <n v="0.50192307692307692"/>
    <d v="2024-12-25T00:00:00"/>
    <d v="2025-01-10T00:00:00"/>
    <x v="0"/>
    <x v="2"/>
    <n v="2.088E-3"/>
    <x v="1"/>
    <x v="42"/>
    <m/>
    <x v="1"/>
  </r>
  <r>
    <x v="143"/>
    <x v="1"/>
    <d v="2024-10-28T00:00:00"/>
    <x v="2"/>
    <s v="Check out our latest story on youtube!"/>
    <n v="4929"/>
    <n v="749"/>
    <n v="452"/>
    <n v="93651"/>
    <n v="92810"/>
    <n v="66"/>
    <x v="4"/>
    <x v="3"/>
    <n v="45717"/>
    <n v="45747"/>
    <s v="Before Campaign"/>
    <x v="142"/>
    <n v="6.5455787978772245E-2"/>
    <d v="2025-03-01T00:00:00"/>
    <d v="2025-03-31T00:00:00"/>
    <x v="0"/>
    <x v="3"/>
    <n v="3.4055555555555554E-2"/>
    <x v="1"/>
    <x v="5"/>
    <m/>
    <x v="1"/>
  </r>
  <r>
    <x v="144"/>
    <x v="2"/>
    <d v="2024-08-12T00:00:00"/>
    <x v="3"/>
    <s v="Check out our latest carousel on instagram!"/>
    <n v="1878"/>
    <n v="62"/>
    <n v="179"/>
    <n v="37560"/>
    <n v="36874"/>
    <n v="142"/>
    <x v="2"/>
    <x v="3"/>
    <n v="45717"/>
    <n v="45747"/>
    <s v="Before Campaign"/>
    <x v="143"/>
    <n v="5.6416400425985093E-2"/>
    <d v="2025-03-01T00:00:00"/>
    <d v="2025-03-31T00:00:00"/>
    <x v="0"/>
    <x v="3"/>
    <n v="1.1772222222222222E-2"/>
    <x v="2"/>
    <x v="3"/>
    <m/>
    <x v="2"/>
  </r>
  <r>
    <x v="145"/>
    <x v="1"/>
    <d v="2024-06-05T00:00:00"/>
    <x v="0"/>
    <s v="Check out our latest reel on youtube!"/>
    <n v="3065"/>
    <n v="772"/>
    <n v="142"/>
    <n v="18390"/>
    <n v="17875"/>
    <n v="200"/>
    <x v="4"/>
    <x v="4"/>
    <n v="0"/>
    <n v="0"/>
    <s v="Before Campaign"/>
    <x v="144"/>
    <n v="0.21636759108210984"/>
    <s v="not found"/>
    <s v="not found"/>
    <x v="0"/>
    <x v="4"/>
    <e v="#VALUE!"/>
    <x v="1"/>
    <x v="39"/>
    <m/>
    <x v="1"/>
  </r>
  <r>
    <x v="145"/>
    <x v="1"/>
    <d v="2024-06-05T00:00:00"/>
    <x v="0"/>
    <s v="Check out our latest reel on youtube!"/>
    <n v="3065"/>
    <n v="772"/>
    <n v="142"/>
    <n v="18390"/>
    <n v="17875"/>
    <n v="200"/>
    <x v="1"/>
    <x v="4"/>
    <n v="0"/>
    <n v="0"/>
    <s v="Before Campaign"/>
    <x v="144"/>
    <n v="0.21636759108210984"/>
    <s v="not found"/>
    <s v="not found"/>
    <x v="0"/>
    <x v="4"/>
    <e v="#VALUE!"/>
    <x v="1"/>
    <x v="39"/>
    <m/>
    <x v="1"/>
  </r>
  <r>
    <x v="146"/>
    <x v="2"/>
    <d v="2024-10-21T00:00:00"/>
    <x v="0"/>
    <s v="Check out our latest reel on instagram!"/>
    <n v="3256"/>
    <n v="459"/>
    <n v="266"/>
    <n v="26048"/>
    <n v="25529"/>
    <n v="143"/>
    <x v="2"/>
    <x v="1"/>
    <n v="45566"/>
    <n v="45596"/>
    <s v="Before Campaign"/>
    <x v="132"/>
    <n v="0.15283323095823095"/>
    <d v="2024-10-01T00:00:00"/>
    <d v="2024-10-31T00:00:00"/>
    <x v="1"/>
    <x v="1"/>
    <n v="1.9904999999999999E-2"/>
    <x v="2"/>
    <x v="13"/>
    <m/>
    <x v="2"/>
  </r>
  <r>
    <x v="147"/>
    <x v="2"/>
    <d v="2025-04-15T00:00:00"/>
    <x v="5"/>
    <s v="Check out our latest video on instagram!"/>
    <n v="4133"/>
    <n v="466"/>
    <n v="327"/>
    <n v="24798"/>
    <n v="24620"/>
    <n v="176"/>
    <x v="4"/>
    <x v="3"/>
    <n v="45717"/>
    <n v="45747"/>
    <s v="Before Campaign"/>
    <x v="145"/>
    <n v="0.19864505202032423"/>
    <d v="2025-03-01T00:00:00"/>
    <d v="2025-03-31T00:00:00"/>
    <x v="0"/>
    <x v="3"/>
    <n v="2.7366666666666668E-2"/>
    <x v="2"/>
    <x v="29"/>
    <m/>
    <x v="2"/>
  </r>
  <r>
    <x v="148"/>
    <x v="0"/>
    <d v="2024-06-16T00:00:00"/>
    <x v="5"/>
    <s v="Check out our latest video on twitter!"/>
    <n v="1702"/>
    <n v="750"/>
    <n v="179"/>
    <n v="34040"/>
    <n v="33174"/>
    <n v="76"/>
    <x v="4"/>
    <x v="0"/>
    <n v="45458"/>
    <n v="45488"/>
    <s v="Before Campaign"/>
    <x v="146"/>
    <n v="7.7291421856639245E-2"/>
    <d v="2024-06-15T00:00:00"/>
    <d v="2024-07-15T00:00:00"/>
    <x v="1"/>
    <x v="0"/>
    <n v="1.754E-2"/>
    <x v="0"/>
    <x v="35"/>
    <m/>
    <x v="0"/>
  </r>
  <r>
    <x v="149"/>
    <x v="1"/>
    <d v="2024-08-22T00:00:00"/>
    <x v="3"/>
    <s v="Check out our latest carousel on youtube!"/>
    <n v="4295"/>
    <n v="853"/>
    <n v="325"/>
    <n v="85900"/>
    <n v="85788"/>
    <n v="290"/>
    <x v="2"/>
    <x v="3"/>
    <n v="45717"/>
    <n v="45747"/>
    <s v="Before Campaign"/>
    <x v="147"/>
    <n v="6.3713620488940623E-2"/>
    <d v="2025-03-01T00:00:00"/>
    <d v="2025-03-31T00:00:00"/>
    <x v="0"/>
    <x v="3"/>
    <n v="3.0405555555555557E-2"/>
    <x v="1"/>
    <x v="15"/>
    <m/>
    <x v="1"/>
  </r>
  <r>
    <x v="150"/>
    <x v="2"/>
    <d v="2024-07-26T00:00:00"/>
    <x v="4"/>
    <s v="Check out our latest image on instagram!"/>
    <n v="3559"/>
    <n v="59"/>
    <n v="289"/>
    <n v="35590"/>
    <n v="35105"/>
    <n v="122"/>
    <x v="4"/>
    <x v="0"/>
    <n v="45458"/>
    <n v="45488"/>
    <s v="Before Campaign"/>
    <x v="148"/>
    <n v="0.10977802753582468"/>
    <d v="2024-06-15T00:00:00"/>
    <d v="2024-07-15T00:00:00"/>
    <x v="0"/>
    <x v="0"/>
    <n v="2.6046666666666666E-2"/>
    <x v="2"/>
    <x v="10"/>
    <m/>
    <x v="2"/>
  </r>
  <r>
    <x v="151"/>
    <x v="3"/>
    <d v="2025-04-22T00:00:00"/>
    <x v="4"/>
    <s v="Check out our latest image on facebook!"/>
    <n v="4804"/>
    <n v="550"/>
    <n v="270"/>
    <n v="28824"/>
    <n v="28370"/>
    <n v="47"/>
    <x v="4"/>
    <x v="3"/>
    <n v="45717"/>
    <n v="45747"/>
    <s v="Before Campaign"/>
    <x v="149"/>
    <n v="0.19511518179295032"/>
    <d v="2025-03-01T00:00:00"/>
    <d v="2025-03-31T00:00:00"/>
    <x v="0"/>
    <x v="3"/>
    <n v="3.1244444444444443E-2"/>
    <x v="3"/>
    <x v="45"/>
    <m/>
    <x v="3"/>
  </r>
  <r>
    <x v="152"/>
    <x v="0"/>
    <d v="2025-01-01T00:00:00"/>
    <x v="5"/>
    <s v="Check out our latest video on twitter!"/>
    <n v="754"/>
    <n v="197"/>
    <n v="257"/>
    <n v="6786"/>
    <n v="6221"/>
    <n v="212"/>
    <x v="2"/>
    <x v="2"/>
    <n v="45651"/>
    <n v="45667"/>
    <s v="Before Campaign"/>
    <x v="150"/>
    <n v="0.17801355732390214"/>
    <d v="2024-12-25T00:00:00"/>
    <d v="2025-01-10T00:00:00"/>
    <x v="1"/>
    <x v="2"/>
    <n v="4.8320000000000004E-3"/>
    <x v="0"/>
    <x v="17"/>
    <m/>
    <x v="0"/>
  </r>
  <r>
    <x v="153"/>
    <x v="2"/>
    <d v="2024-10-09T00:00:00"/>
    <x v="3"/>
    <s v="Check out our latest carousel on instagram!"/>
    <n v="985"/>
    <n v="932"/>
    <n v="287"/>
    <n v="6895"/>
    <n v="6757"/>
    <n v="64"/>
    <x v="0"/>
    <x v="3"/>
    <n v="45717"/>
    <n v="45747"/>
    <s v="Before Campaign"/>
    <x v="151"/>
    <n v="0.31965192168237855"/>
    <d v="2025-03-01T00:00:00"/>
    <d v="2025-03-31T00:00:00"/>
    <x v="0"/>
    <x v="3"/>
    <n v="1.2244444444444445E-2"/>
    <x v="2"/>
    <x v="38"/>
    <m/>
    <x v="2"/>
  </r>
  <r>
    <x v="154"/>
    <x v="1"/>
    <d v="2024-12-21T00:00:00"/>
    <x v="4"/>
    <s v="Check out our latest image on youtube!"/>
    <n v="2283"/>
    <n v="210"/>
    <n v="130"/>
    <n v="22830"/>
    <n v="22617"/>
    <n v="143"/>
    <x v="0"/>
    <x v="1"/>
    <n v="45566"/>
    <n v="45596"/>
    <s v="Before Campaign"/>
    <x v="152"/>
    <n v="0.11489268506351293"/>
    <d v="2024-10-01T00:00:00"/>
    <d v="2024-10-31T00:00:00"/>
    <x v="0"/>
    <x v="1"/>
    <n v="1.3115E-2"/>
    <x v="1"/>
    <x v="25"/>
    <m/>
    <x v="1"/>
  </r>
  <r>
    <x v="155"/>
    <x v="3"/>
    <d v="2024-10-22T00:00:00"/>
    <x v="3"/>
    <s v="Check out our latest carousel on facebook!"/>
    <n v="3352"/>
    <n v="941"/>
    <n v="482"/>
    <n v="43576"/>
    <n v="43338"/>
    <n v="240"/>
    <x v="0"/>
    <x v="1"/>
    <n v="45566"/>
    <n v="45596"/>
    <s v="Before Campaign"/>
    <x v="153"/>
    <n v="0.1095786671562328"/>
    <d v="2024-10-01T00:00:00"/>
    <d v="2024-10-31T00:00:00"/>
    <x v="1"/>
    <x v="1"/>
    <n v="2.3875E-2"/>
    <x v="3"/>
    <x v="13"/>
    <m/>
    <x v="3"/>
  </r>
  <r>
    <x v="156"/>
    <x v="1"/>
    <d v="2024-07-23T00:00:00"/>
    <x v="2"/>
    <s v="Check out our latest story on youtube!"/>
    <n v="4775"/>
    <n v="173"/>
    <n v="206"/>
    <n v="47750"/>
    <n v="47544"/>
    <n v="187"/>
    <x v="0"/>
    <x v="1"/>
    <n v="45566"/>
    <n v="45596"/>
    <s v="Before Campaign"/>
    <x v="154"/>
    <n v="0.10793717277486911"/>
    <d v="2024-10-01T00:00:00"/>
    <d v="2024-10-31T00:00:00"/>
    <x v="0"/>
    <x v="1"/>
    <n v="2.5770000000000001E-2"/>
    <x v="1"/>
    <x v="10"/>
    <m/>
    <x v="1"/>
  </r>
  <r>
    <x v="157"/>
    <x v="2"/>
    <d v="2024-08-11T00:00:00"/>
    <x v="2"/>
    <s v="Check out our latest story on instagram!"/>
    <n v="1762"/>
    <n v="405"/>
    <n v="423"/>
    <n v="22906"/>
    <n v="21925"/>
    <n v="25"/>
    <x v="2"/>
    <x v="0"/>
    <n v="45458"/>
    <n v="45488"/>
    <s v="Before Campaign"/>
    <x v="155"/>
    <n v="0.11307081114118571"/>
    <d v="2024-06-15T00:00:00"/>
    <d v="2024-07-15T00:00:00"/>
    <x v="0"/>
    <x v="0"/>
    <n v="1.7266666666666666E-2"/>
    <x v="2"/>
    <x v="3"/>
    <m/>
    <x v="2"/>
  </r>
  <r>
    <x v="158"/>
    <x v="3"/>
    <d v="2024-11-25T00:00:00"/>
    <x v="2"/>
    <s v="Check out our latest story on facebook!"/>
    <n v="2120"/>
    <n v="158"/>
    <n v="488"/>
    <n v="12720"/>
    <n v="12085"/>
    <n v="17"/>
    <x v="0"/>
    <x v="1"/>
    <n v="45566"/>
    <n v="45596"/>
    <s v="Before Campaign"/>
    <x v="156"/>
    <n v="0.21745283018867925"/>
    <d v="2024-10-01T00:00:00"/>
    <d v="2024-10-31T00:00:00"/>
    <x v="0"/>
    <x v="1"/>
    <n v="1.383E-2"/>
    <x v="3"/>
    <x v="28"/>
    <m/>
    <x v="3"/>
  </r>
  <r>
    <x v="159"/>
    <x v="0"/>
    <d v="2024-08-24T00:00:00"/>
    <x v="5"/>
    <s v="Check out our latest video on twitter!"/>
    <n v="1082"/>
    <n v="209"/>
    <n v="484"/>
    <n v="19476"/>
    <n v="18654"/>
    <n v="20"/>
    <x v="2"/>
    <x v="4"/>
    <n v="0"/>
    <n v="0"/>
    <s v="Before Campaign"/>
    <x v="157"/>
    <n v="9.1137810638734856E-2"/>
    <s v="not found"/>
    <s v="not found"/>
    <x v="0"/>
    <x v="4"/>
    <e v="#VALUE!"/>
    <x v="0"/>
    <x v="15"/>
    <m/>
    <x v="0"/>
  </r>
  <r>
    <x v="160"/>
    <x v="0"/>
    <d v="2025-02-19T00:00:00"/>
    <x v="1"/>
    <s v="Check out our latest text on twitter!"/>
    <n v="4671"/>
    <n v="876"/>
    <n v="366"/>
    <n v="51381"/>
    <n v="50565"/>
    <n v="245"/>
    <x v="2"/>
    <x v="3"/>
    <n v="45717"/>
    <n v="45747"/>
    <s v="Before Campaign"/>
    <x v="158"/>
    <n v="0.11508145034156594"/>
    <d v="2025-03-01T00:00:00"/>
    <d v="2025-03-31T00:00:00"/>
    <x v="0"/>
    <x v="3"/>
    <n v="3.2849999999999997E-2"/>
    <x v="0"/>
    <x v="12"/>
    <m/>
    <x v="0"/>
  </r>
  <r>
    <x v="161"/>
    <x v="3"/>
    <d v="2025-04-01T00:00:00"/>
    <x v="2"/>
    <s v="Check out our latest story on facebook!"/>
    <n v="3430"/>
    <n v="566"/>
    <n v="164"/>
    <n v="48020"/>
    <n v="47305"/>
    <n v="120"/>
    <x v="0"/>
    <x v="4"/>
    <n v="0"/>
    <n v="0"/>
    <s v="Before Campaign"/>
    <x v="159"/>
    <n v="8.6630570595585168E-2"/>
    <s v="not found"/>
    <s v="not found"/>
    <x v="0"/>
    <x v="4"/>
    <e v="#VALUE!"/>
    <x v="3"/>
    <x v="1"/>
    <m/>
    <x v="3"/>
  </r>
  <r>
    <x v="162"/>
    <x v="2"/>
    <d v="2025-04-08T00:00:00"/>
    <x v="4"/>
    <s v="Check out our latest image on instagram!"/>
    <n v="4501"/>
    <n v="375"/>
    <n v="323"/>
    <n v="22505"/>
    <n v="21836"/>
    <n v="132"/>
    <x v="2"/>
    <x v="1"/>
    <n v="45566"/>
    <n v="45596"/>
    <s v="Before Campaign"/>
    <x v="160"/>
    <n v="0.23101532992668297"/>
    <d v="2024-10-01T00:00:00"/>
    <d v="2024-10-31T00:00:00"/>
    <x v="0"/>
    <x v="1"/>
    <n v="2.5995000000000001E-2"/>
    <x v="2"/>
    <x v="21"/>
    <m/>
    <x v="2"/>
  </r>
  <r>
    <x v="163"/>
    <x v="1"/>
    <d v="2025-02-27T00:00:00"/>
    <x v="1"/>
    <s v="Check out our latest text on youtube!"/>
    <n v="4934"/>
    <n v="971"/>
    <n v="156"/>
    <n v="39472"/>
    <n v="39025"/>
    <n v="169"/>
    <x v="2"/>
    <x v="3"/>
    <n v="45717"/>
    <n v="45747"/>
    <s v="Before Campaign"/>
    <x v="161"/>
    <n v="0.15355188488042157"/>
    <d v="2025-03-01T00:00:00"/>
    <d v="2025-03-31T00:00:00"/>
    <x v="0"/>
    <x v="3"/>
    <n v="3.3672222222222221E-2"/>
    <x v="1"/>
    <x v="18"/>
    <m/>
    <x v="1"/>
  </r>
  <r>
    <x v="163"/>
    <x v="1"/>
    <d v="2025-02-27T00:00:00"/>
    <x v="1"/>
    <s v="Check out our latest text on youtube!"/>
    <n v="4934"/>
    <n v="971"/>
    <n v="156"/>
    <n v="39472"/>
    <n v="39025"/>
    <n v="169"/>
    <x v="1"/>
    <x v="3"/>
    <n v="45717"/>
    <n v="45747"/>
    <s v="Before Campaign"/>
    <x v="161"/>
    <n v="0.15355188488042157"/>
    <d v="2025-03-01T00:00:00"/>
    <d v="2025-03-31T00:00:00"/>
    <x v="0"/>
    <x v="3"/>
    <n v="3.3672222222222221E-2"/>
    <x v="1"/>
    <x v="18"/>
    <m/>
    <x v="1"/>
  </r>
  <r>
    <x v="164"/>
    <x v="0"/>
    <d v="2024-12-11T00:00:00"/>
    <x v="1"/>
    <s v="Check out our latest text on twitter!"/>
    <n v="3239"/>
    <n v="43"/>
    <n v="211"/>
    <n v="22673"/>
    <n v="22171"/>
    <n v="230"/>
    <x v="2"/>
    <x v="1"/>
    <n v="45566"/>
    <n v="45596"/>
    <s v="Before Campaign"/>
    <x v="162"/>
    <n v="0.15405989502933004"/>
    <d v="2024-10-01T00:00:00"/>
    <d v="2024-10-31T00:00:00"/>
    <x v="0"/>
    <x v="1"/>
    <n v="1.7465000000000001E-2"/>
    <x v="0"/>
    <x v="31"/>
    <m/>
    <x v="0"/>
  </r>
  <r>
    <x v="165"/>
    <x v="0"/>
    <d v="2025-02-16T00:00:00"/>
    <x v="0"/>
    <s v="Check out our latest reel on twitter!"/>
    <n v="1076"/>
    <n v="313"/>
    <n v="306"/>
    <n v="11836"/>
    <n v="11596"/>
    <n v="104"/>
    <x v="0"/>
    <x v="0"/>
    <n v="45458"/>
    <n v="45488"/>
    <s v="Before Campaign"/>
    <x v="163"/>
    <n v="0.14320716458262928"/>
    <d v="2024-06-15T00:00:00"/>
    <d v="2024-07-15T00:00:00"/>
    <x v="0"/>
    <x v="0"/>
    <n v="1.1299999999999999E-2"/>
    <x v="0"/>
    <x v="12"/>
    <m/>
    <x v="0"/>
  </r>
  <r>
    <x v="166"/>
    <x v="2"/>
    <d v="2024-11-28T00:00:00"/>
    <x v="1"/>
    <s v="Check out our latest text on instagram!"/>
    <n v="4771"/>
    <n v="818"/>
    <n v="56"/>
    <n v="57252"/>
    <n v="56378"/>
    <n v="150"/>
    <x v="0"/>
    <x v="4"/>
    <n v="0"/>
    <n v="0"/>
    <s v="Before Campaign"/>
    <x v="164"/>
    <n v="9.859917557465242E-2"/>
    <s v="not found"/>
    <s v="not found"/>
    <x v="0"/>
    <x v="4"/>
    <e v="#VALUE!"/>
    <x v="2"/>
    <x v="28"/>
    <m/>
    <x v="2"/>
  </r>
  <r>
    <x v="167"/>
    <x v="3"/>
    <d v="2024-11-12T00:00:00"/>
    <x v="1"/>
    <s v="Check out our latest text on facebook!"/>
    <n v="2418"/>
    <n v="754"/>
    <n v="54"/>
    <n v="43524"/>
    <n v="42743"/>
    <n v="182"/>
    <x v="4"/>
    <x v="0"/>
    <n v="45458"/>
    <n v="45488"/>
    <s v="Before Campaign"/>
    <x v="165"/>
    <n v="7.412002573292896E-2"/>
    <d v="2024-06-15T00:00:00"/>
    <d v="2024-07-15T00:00:00"/>
    <x v="0"/>
    <x v="0"/>
    <n v="2.1506666666666667E-2"/>
    <x v="3"/>
    <x v="43"/>
    <m/>
    <x v="3"/>
  </r>
  <r>
    <x v="168"/>
    <x v="1"/>
    <d v="2024-12-03T00:00:00"/>
    <x v="5"/>
    <s v="Check out our latest video on youtube!"/>
    <n v="3809"/>
    <n v="273"/>
    <n v="200"/>
    <n v="34281"/>
    <n v="33534"/>
    <n v="83"/>
    <x v="4"/>
    <x v="0"/>
    <n v="45458"/>
    <n v="45488"/>
    <s v="Before Campaign"/>
    <x v="166"/>
    <n v="0.12490884163239112"/>
    <d v="2024-06-15T00:00:00"/>
    <d v="2024-07-15T00:00:00"/>
    <x v="0"/>
    <x v="0"/>
    <n v="2.8546666666666668E-2"/>
    <x v="1"/>
    <x v="47"/>
    <m/>
    <x v="1"/>
  </r>
  <r>
    <x v="169"/>
    <x v="0"/>
    <d v="2025-04-28T00:00:00"/>
    <x v="1"/>
    <s v="Check out our latest text on twitter!"/>
    <n v="3577"/>
    <n v="596"/>
    <n v="493"/>
    <n v="67963"/>
    <n v="67839"/>
    <n v="53"/>
    <x v="2"/>
    <x v="2"/>
    <n v="45651"/>
    <n v="45667"/>
    <s v="Before Campaign"/>
    <x v="167"/>
    <n v="6.8655003457763777E-2"/>
    <d v="2024-12-25T00:00:00"/>
    <d v="2025-01-10T00:00:00"/>
    <x v="0"/>
    <x v="2"/>
    <n v="1.8664E-2"/>
    <x v="0"/>
    <x v="32"/>
    <m/>
    <x v="0"/>
  </r>
  <r>
    <x v="170"/>
    <x v="1"/>
    <d v="2024-12-31T00:00:00"/>
    <x v="5"/>
    <s v="Check out our latest video on youtube!"/>
    <n v="1018"/>
    <n v="447"/>
    <n v="332"/>
    <n v="18324"/>
    <n v="18164"/>
    <n v="38"/>
    <x v="0"/>
    <x v="1"/>
    <n v="45566"/>
    <n v="45596"/>
    <s v="Before Campaign"/>
    <x v="168"/>
    <n v="9.8068107400130972E-2"/>
    <d v="2024-10-01T00:00:00"/>
    <d v="2024-10-31T00:00:00"/>
    <x v="0"/>
    <x v="1"/>
    <n v="8.9849999999999999E-3"/>
    <x v="1"/>
    <x v="48"/>
    <m/>
    <x v="1"/>
  </r>
  <r>
    <x v="171"/>
    <x v="3"/>
    <d v="2024-08-14T00:00:00"/>
    <x v="3"/>
    <s v="Check out our latest carousel on facebook!"/>
    <n v="3073"/>
    <n v="553"/>
    <n v="174"/>
    <n v="52241"/>
    <n v="51605"/>
    <n v="246"/>
    <x v="4"/>
    <x v="2"/>
    <n v="45651"/>
    <n v="45667"/>
    <s v="Before Campaign"/>
    <x v="169"/>
    <n v="7.2739802071170159E-2"/>
    <d v="2024-12-25T00:00:00"/>
    <d v="2025-01-10T00:00:00"/>
    <x v="0"/>
    <x v="2"/>
    <n v="1.52E-2"/>
    <x v="3"/>
    <x v="3"/>
    <m/>
    <x v="3"/>
  </r>
  <r>
    <x v="172"/>
    <x v="0"/>
    <d v="2024-12-05T00:00:00"/>
    <x v="5"/>
    <s v="Check out our latest video on twitter!"/>
    <n v="1330"/>
    <n v="925"/>
    <n v="35"/>
    <n v="15960"/>
    <n v="15379"/>
    <n v="229"/>
    <x v="0"/>
    <x v="2"/>
    <n v="45651"/>
    <n v="45667"/>
    <s v="Before Campaign"/>
    <x v="170"/>
    <n v="0.14348370927318296"/>
    <d v="2024-12-25T00:00:00"/>
    <d v="2025-01-10T00:00:00"/>
    <x v="0"/>
    <x v="2"/>
    <n v="9.1599999999999997E-3"/>
    <x v="0"/>
    <x v="47"/>
    <m/>
    <x v="0"/>
  </r>
  <r>
    <x v="173"/>
    <x v="3"/>
    <d v="2024-06-22T00:00:00"/>
    <x v="1"/>
    <s v="Check out our latest text on facebook!"/>
    <n v="3828"/>
    <n v="148"/>
    <n v="253"/>
    <n v="30624"/>
    <n v="30229"/>
    <n v="235"/>
    <x v="4"/>
    <x v="4"/>
    <n v="0"/>
    <n v="0"/>
    <s v="Before Campaign"/>
    <x v="171"/>
    <n v="0.13809430512016718"/>
    <s v="not found"/>
    <s v="not found"/>
    <x v="0"/>
    <x v="4"/>
    <e v="#VALUE!"/>
    <x v="3"/>
    <x v="35"/>
    <m/>
    <x v="3"/>
  </r>
  <r>
    <x v="174"/>
    <x v="2"/>
    <d v="2025-01-17T00:00:00"/>
    <x v="0"/>
    <s v="Check out our latest reel on instagram!"/>
    <n v="142"/>
    <n v="784"/>
    <n v="183"/>
    <n v="1704"/>
    <n v="995"/>
    <n v="154"/>
    <x v="0"/>
    <x v="3"/>
    <n v="45717"/>
    <n v="45747"/>
    <s v="Before Campaign"/>
    <x v="172"/>
    <n v="0.6508215962441315"/>
    <d v="2025-03-01T00:00:00"/>
    <d v="2025-03-31T00:00:00"/>
    <x v="0"/>
    <x v="3"/>
    <n v="6.1611111111111111E-3"/>
    <x v="2"/>
    <x v="49"/>
    <m/>
    <x v="2"/>
  </r>
  <r>
    <x v="175"/>
    <x v="3"/>
    <d v="2024-06-20T00:00:00"/>
    <x v="5"/>
    <s v="Check out our latest video on facebook!"/>
    <n v="3798"/>
    <n v="31"/>
    <n v="279"/>
    <n v="75960"/>
    <n v="75813"/>
    <n v="266"/>
    <x v="2"/>
    <x v="0"/>
    <n v="45458"/>
    <n v="45488"/>
    <s v="Before Campaign"/>
    <x v="173"/>
    <n v="5.4081095313322801E-2"/>
    <d v="2024-06-15T00:00:00"/>
    <d v="2024-07-15T00:00:00"/>
    <x v="1"/>
    <x v="0"/>
    <n v="2.7386666666666667E-2"/>
    <x v="3"/>
    <x v="35"/>
    <m/>
    <x v="3"/>
  </r>
  <r>
    <x v="176"/>
    <x v="2"/>
    <d v="2024-07-10T00:00:00"/>
    <x v="3"/>
    <s v="Check out our latest carousel on instagram!"/>
    <n v="3099"/>
    <n v="694"/>
    <n v="171"/>
    <n v="43386"/>
    <n v="42921"/>
    <n v="52"/>
    <x v="2"/>
    <x v="2"/>
    <n v="45651"/>
    <n v="45667"/>
    <s v="Before Campaign"/>
    <x v="174"/>
    <n v="9.1365878393951966E-2"/>
    <d v="2024-12-25T00:00:00"/>
    <d v="2025-01-10T00:00:00"/>
    <x v="0"/>
    <x v="2"/>
    <n v="1.5855999999999999E-2"/>
    <x v="2"/>
    <x v="6"/>
    <m/>
    <x v="2"/>
  </r>
  <r>
    <x v="177"/>
    <x v="2"/>
    <d v="2024-11-07T00:00:00"/>
    <x v="5"/>
    <s v="Check out our latest video on instagram!"/>
    <n v="129"/>
    <n v="643"/>
    <n v="136"/>
    <n v="1290"/>
    <n v="839"/>
    <n v="238"/>
    <x v="2"/>
    <x v="3"/>
    <n v="45717"/>
    <n v="45747"/>
    <s v="Before Campaign"/>
    <x v="175"/>
    <n v="0.70387596899224802"/>
    <d v="2025-03-01T00:00:00"/>
    <d v="2025-03-31T00:00:00"/>
    <x v="0"/>
    <x v="3"/>
    <n v="5.0444444444444443E-3"/>
    <x v="2"/>
    <x v="19"/>
    <m/>
    <x v="2"/>
  </r>
  <r>
    <x v="178"/>
    <x v="3"/>
    <d v="2024-07-15T00:00:00"/>
    <x v="3"/>
    <s v="Check out our latest carousel on facebook!"/>
    <n v="3796"/>
    <n v="667"/>
    <n v="395"/>
    <n v="64532"/>
    <n v="63550"/>
    <n v="292"/>
    <x v="2"/>
    <x v="4"/>
    <n v="0"/>
    <n v="0"/>
    <s v="Before Campaign"/>
    <x v="176"/>
    <n v="7.5280481001673588E-2"/>
    <s v="not found"/>
    <s v="not found"/>
    <x v="0"/>
    <x v="4"/>
    <e v="#VALUE!"/>
    <x v="3"/>
    <x v="46"/>
    <m/>
    <x v="3"/>
  </r>
  <r>
    <x v="179"/>
    <x v="1"/>
    <d v="2024-12-03T00:00:00"/>
    <x v="1"/>
    <s v="Check out our latest text on youtube!"/>
    <n v="3711"/>
    <n v="352"/>
    <n v="290"/>
    <n v="48243"/>
    <n v="47579"/>
    <n v="11"/>
    <x v="2"/>
    <x v="0"/>
    <n v="45458"/>
    <n v="45488"/>
    <s v="Before Campaign"/>
    <x v="177"/>
    <n v="9.023070704558174E-2"/>
    <d v="2024-06-15T00:00:00"/>
    <d v="2024-07-15T00:00:00"/>
    <x v="0"/>
    <x v="0"/>
    <n v="2.9020000000000001E-2"/>
    <x v="1"/>
    <x v="47"/>
    <m/>
    <x v="1"/>
  </r>
  <r>
    <x v="180"/>
    <x v="1"/>
    <d v="2025-03-21T00:00:00"/>
    <x v="4"/>
    <s v="Check out our latest image on youtube!"/>
    <n v="606"/>
    <n v="789"/>
    <n v="470"/>
    <n v="7878"/>
    <n v="7389"/>
    <n v="239"/>
    <x v="4"/>
    <x v="2"/>
    <n v="45651"/>
    <n v="45667"/>
    <s v="Before Campaign"/>
    <x v="178"/>
    <n v="0.23673521198273673"/>
    <d v="2024-12-25T00:00:00"/>
    <d v="2025-01-10T00:00:00"/>
    <x v="0"/>
    <x v="2"/>
    <n v="7.4599999999999996E-3"/>
    <x v="1"/>
    <x v="44"/>
    <m/>
    <x v="1"/>
  </r>
  <r>
    <x v="181"/>
    <x v="3"/>
    <d v="2024-07-31T00:00:00"/>
    <x v="4"/>
    <s v="Check out our latest image on facebook!"/>
    <n v="4689"/>
    <n v="134"/>
    <n v="403"/>
    <n v="51579"/>
    <n v="50924"/>
    <n v="173"/>
    <x v="2"/>
    <x v="3"/>
    <n v="45717"/>
    <n v="45747"/>
    <s v="Before Campaign"/>
    <x v="179"/>
    <n v="0.10132030477519921"/>
    <d v="2025-03-01T00:00:00"/>
    <d v="2025-03-31T00:00:00"/>
    <x v="0"/>
    <x v="3"/>
    <n v="2.9033333333333335E-2"/>
    <x v="3"/>
    <x v="26"/>
    <m/>
    <x v="3"/>
  </r>
  <r>
    <x v="182"/>
    <x v="2"/>
    <d v="2024-12-17T00:00:00"/>
    <x v="2"/>
    <s v="Check out our latest story on instagram!"/>
    <n v="360"/>
    <n v="590"/>
    <n v="393"/>
    <n v="4680"/>
    <n v="4322"/>
    <n v="208"/>
    <x v="0"/>
    <x v="1"/>
    <n v="45566"/>
    <n v="45596"/>
    <s v="Before Campaign"/>
    <x v="180"/>
    <n v="0.28696581196581195"/>
    <d v="2024-10-01T00:00:00"/>
    <d v="2024-10-31T00:00:00"/>
    <x v="0"/>
    <x v="1"/>
    <n v="6.7149999999999996E-3"/>
    <x v="2"/>
    <x v="25"/>
    <m/>
    <x v="2"/>
  </r>
  <r>
    <x v="183"/>
    <x v="0"/>
    <d v="2024-07-28T00:00:00"/>
    <x v="4"/>
    <s v="Check out our latest image on twitter!"/>
    <n v="3215"/>
    <n v="960"/>
    <n v="202"/>
    <n v="32150"/>
    <n v="31404"/>
    <n v="251"/>
    <x v="4"/>
    <x v="0"/>
    <n v="45458"/>
    <n v="45488"/>
    <s v="Before Campaign"/>
    <x v="181"/>
    <n v="0.13614307931570763"/>
    <d v="2024-06-15T00:00:00"/>
    <d v="2024-07-15T00:00:00"/>
    <x v="0"/>
    <x v="0"/>
    <n v="2.9180000000000001E-2"/>
    <x v="0"/>
    <x v="26"/>
    <m/>
    <x v="0"/>
  </r>
  <r>
    <x v="184"/>
    <x v="2"/>
    <d v="2025-01-11T00:00:00"/>
    <x v="3"/>
    <s v="Check out our latest carousel on instagram!"/>
    <n v="4523"/>
    <n v="61"/>
    <n v="157"/>
    <n v="49753"/>
    <n v="49329"/>
    <n v="71"/>
    <x v="4"/>
    <x v="4"/>
    <n v="0"/>
    <n v="0"/>
    <s v="Before Campaign"/>
    <x v="182"/>
    <n v="9.5290736237010829E-2"/>
    <s v="not found"/>
    <s v="not found"/>
    <x v="0"/>
    <x v="4"/>
    <e v="#VALUE!"/>
    <x v="2"/>
    <x v="30"/>
    <m/>
    <x v="2"/>
  </r>
  <r>
    <x v="185"/>
    <x v="3"/>
    <d v="2024-08-24T00:00:00"/>
    <x v="3"/>
    <s v="Check out our latest carousel on facebook!"/>
    <n v="4292"/>
    <n v="51"/>
    <n v="392"/>
    <n v="55796"/>
    <n v="54826"/>
    <n v="264"/>
    <x v="4"/>
    <x v="2"/>
    <n v="45651"/>
    <n v="45667"/>
    <s v="Before Campaign"/>
    <x v="183"/>
    <n v="8.4862714173059003E-2"/>
    <d v="2024-12-25T00:00:00"/>
    <d v="2025-01-10T00:00:00"/>
    <x v="0"/>
    <x v="2"/>
    <n v="1.8939999999999999E-2"/>
    <x v="3"/>
    <x v="15"/>
    <m/>
    <x v="3"/>
  </r>
  <r>
    <x v="186"/>
    <x v="0"/>
    <d v="2024-12-22T00:00:00"/>
    <x v="0"/>
    <s v="Check out our latest reel on twitter!"/>
    <n v="1644"/>
    <n v="546"/>
    <n v="150"/>
    <n v="27948"/>
    <n v="27184"/>
    <n v="300"/>
    <x v="4"/>
    <x v="2"/>
    <n v="45651"/>
    <n v="45667"/>
    <s v="Before Campaign"/>
    <x v="184"/>
    <n v="8.3726921425504502E-2"/>
    <d v="2024-12-25T00:00:00"/>
    <d v="2025-01-10T00:00:00"/>
    <x v="0"/>
    <x v="2"/>
    <n v="9.3600000000000003E-3"/>
    <x v="0"/>
    <x v="0"/>
    <m/>
    <x v="0"/>
  </r>
  <r>
    <x v="187"/>
    <x v="1"/>
    <d v="2024-06-06T00:00:00"/>
    <x v="0"/>
    <s v="Check out our latest reel on youtube!"/>
    <n v="2728"/>
    <n v="533"/>
    <n v="215"/>
    <n v="40920"/>
    <n v="40816"/>
    <n v="137"/>
    <x v="0"/>
    <x v="1"/>
    <n v="45566"/>
    <n v="45596"/>
    <s v="Before Campaign"/>
    <x v="185"/>
    <n v="8.4946236559139784E-2"/>
    <d v="2024-10-01T00:00:00"/>
    <d v="2024-10-31T00:00:00"/>
    <x v="0"/>
    <x v="1"/>
    <n v="1.738E-2"/>
    <x v="1"/>
    <x v="39"/>
    <m/>
    <x v="1"/>
  </r>
  <r>
    <x v="188"/>
    <x v="3"/>
    <d v="2025-03-24T00:00:00"/>
    <x v="0"/>
    <s v="Check out our latest reel on facebook!"/>
    <n v="3360"/>
    <n v="525"/>
    <n v="500"/>
    <n v="60480"/>
    <n v="59610"/>
    <n v="192"/>
    <x v="2"/>
    <x v="0"/>
    <n v="45458"/>
    <n v="45488"/>
    <s v="Before Campaign"/>
    <x v="186"/>
    <n v="7.2503306878306875E-2"/>
    <d v="2024-06-15T00:00:00"/>
    <d v="2024-07-15T00:00:00"/>
    <x v="0"/>
    <x v="0"/>
    <n v="2.9233333333333333E-2"/>
    <x v="3"/>
    <x v="27"/>
    <m/>
    <x v="3"/>
  </r>
  <r>
    <x v="189"/>
    <x v="1"/>
    <d v="2024-10-04T00:00:00"/>
    <x v="1"/>
    <s v="Check out our latest text on youtube!"/>
    <n v="1963"/>
    <n v="213"/>
    <n v="19"/>
    <n v="39260"/>
    <n v="38771"/>
    <n v="145"/>
    <x v="0"/>
    <x v="4"/>
    <n v="0"/>
    <n v="0"/>
    <s v="Before Campaign"/>
    <x v="187"/>
    <n v="5.5909322465613857E-2"/>
    <s v="not found"/>
    <s v="not found"/>
    <x v="0"/>
    <x v="4"/>
    <e v="#VALUE!"/>
    <x v="1"/>
    <x v="42"/>
    <m/>
    <x v="1"/>
  </r>
  <r>
    <x v="190"/>
    <x v="1"/>
    <d v="2024-12-03T00:00:00"/>
    <x v="2"/>
    <s v="Check out our latest story on youtube!"/>
    <n v="4285"/>
    <n v="886"/>
    <n v="376"/>
    <n v="55705"/>
    <n v="55556"/>
    <n v="51"/>
    <x v="0"/>
    <x v="2"/>
    <n v="45651"/>
    <n v="45667"/>
    <s v="Before Campaign"/>
    <x v="188"/>
    <n v="9.9578134817341346E-2"/>
    <d v="2024-12-25T00:00:00"/>
    <d v="2025-01-10T00:00:00"/>
    <x v="0"/>
    <x v="2"/>
    <n v="2.2187999999999999E-2"/>
    <x v="1"/>
    <x v="47"/>
    <m/>
    <x v="1"/>
  </r>
  <r>
    <x v="191"/>
    <x v="2"/>
    <d v="2024-11-29T00:00:00"/>
    <x v="5"/>
    <s v="Check out our latest video on instagram!"/>
    <n v="1176"/>
    <n v="464"/>
    <n v="394"/>
    <n v="14112"/>
    <n v="13588"/>
    <n v="272"/>
    <x v="4"/>
    <x v="4"/>
    <n v="0"/>
    <n v="0"/>
    <s v="Before Campaign"/>
    <x v="189"/>
    <n v="0.1441326530612245"/>
    <s v="not found"/>
    <s v="not found"/>
    <x v="0"/>
    <x v="4"/>
    <e v="#VALUE!"/>
    <x v="2"/>
    <x v="28"/>
    <m/>
    <x v="2"/>
  </r>
  <r>
    <x v="192"/>
    <x v="0"/>
    <d v="2024-09-11T00:00:00"/>
    <x v="4"/>
    <s v="Check out our latest image on twitter!"/>
    <n v="4858"/>
    <n v="317"/>
    <n v="129"/>
    <n v="53438"/>
    <n v="52687"/>
    <n v="223"/>
    <x v="4"/>
    <x v="2"/>
    <n v="45651"/>
    <n v="45667"/>
    <s v="Before Campaign"/>
    <x v="190"/>
    <n v="9.9255211647142488E-2"/>
    <d v="2024-12-25T00:00:00"/>
    <d v="2025-01-10T00:00:00"/>
    <x v="0"/>
    <x v="2"/>
    <n v="2.1215999999999999E-2"/>
    <x v="0"/>
    <x v="16"/>
    <m/>
    <x v="0"/>
  </r>
  <r>
    <x v="193"/>
    <x v="1"/>
    <d v="2024-10-02T00:00:00"/>
    <x v="2"/>
    <s v="Check out our latest story on youtube!"/>
    <n v="4350"/>
    <n v="771"/>
    <n v="7"/>
    <n v="60900"/>
    <n v="60592"/>
    <n v="195"/>
    <x v="4"/>
    <x v="0"/>
    <n v="45458"/>
    <n v="45488"/>
    <s v="Before Campaign"/>
    <x v="191"/>
    <n v="8.4203612479474554E-2"/>
    <d v="2024-06-15T00:00:00"/>
    <d v="2024-07-15T00:00:00"/>
    <x v="0"/>
    <x v="0"/>
    <n v="3.4186666666666664E-2"/>
    <x v="1"/>
    <x v="42"/>
    <m/>
    <x v="1"/>
  </r>
  <r>
    <x v="194"/>
    <x v="2"/>
    <d v="2024-08-15T00:00:00"/>
    <x v="3"/>
    <s v="Check out our latest carousel on instagram!"/>
    <n v="914"/>
    <n v="464"/>
    <n v="246"/>
    <n v="11882"/>
    <n v="11500"/>
    <n v="282"/>
    <x v="0"/>
    <x v="3"/>
    <n v="45717"/>
    <n v="45747"/>
    <s v="Before Campaign"/>
    <x v="192"/>
    <n v="0.13667732704931829"/>
    <d v="2025-03-01T00:00:00"/>
    <d v="2025-03-31T00:00:00"/>
    <x v="0"/>
    <x v="3"/>
    <n v="9.0222222222222214E-3"/>
    <x v="2"/>
    <x v="3"/>
    <m/>
    <x v="2"/>
  </r>
  <r>
    <x v="194"/>
    <x v="2"/>
    <d v="2024-08-15T00:00:00"/>
    <x v="3"/>
    <s v="Check out our latest carousel on instagram!"/>
    <n v="914"/>
    <n v="464"/>
    <n v="246"/>
    <n v="11882"/>
    <n v="11500"/>
    <n v="282"/>
    <x v="2"/>
    <x v="3"/>
    <n v="45717"/>
    <n v="45747"/>
    <s v="Before Campaign"/>
    <x v="192"/>
    <n v="0.13667732704931829"/>
    <d v="2025-03-01T00:00:00"/>
    <d v="2025-03-31T00:00:00"/>
    <x v="0"/>
    <x v="3"/>
    <n v="9.0222222222222214E-3"/>
    <x v="2"/>
    <x v="3"/>
    <m/>
    <x v="2"/>
  </r>
  <r>
    <x v="194"/>
    <x v="2"/>
    <d v="2024-08-15T00:00:00"/>
    <x v="3"/>
    <s v="Check out our latest carousel on instagram!"/>
    <n v="914"/>
    <n v="464"/>
    <n v="246"/>
    <n v="11882"/>
    <n v="11500"/>
    <n v="282"/>
    <x v="1"/>
    <x v="3"/>
    <n v="45717"/>
    <n v="45747"/>
    <s v="Before Campaign"/>
    <x v="192"/>
    <n v="0.13667732704931829"/>
    <d v="2025-03-01T00:00:00"/>
    <d v="2025-03-31T00:00:00"/>
    <x v="0"/>
    <x v="3"/>
    <n v="9.0222222222222214E-3"/>
    <x v="2"/>
    <x v="3"/>
    <m/>
    <x v="2"/>
  </r>
  <r>
    <x v="195"/>
    <x v="2"/>
    <d v="2024-12-19T00:00:00"/>
    <x v="1"/>
    <s v="Check out our latest text on instagram!"/>
    <n v="1813"/>
    <n v="623"/>
    <n v="72"/>
    <n v="19943"/>
    <n v="18959"/>
    <n v="85"/>
    <x v="4"/>
    <x v="2"/>
    <n v="45651"/>
    <n v="45667"/>
    <s v="Before Campaign"/>
    <x v="193"/>
    <n v="0.12575841147269717"/>
    <d v="2024-12-25T00:00:00"/>
    <d v="2025-01-10T00:00:00"/>
    <x v="0"/>
    <x v="2"/>
    <n v="1.0031999999999999E-2"/>
    <x v="2"/>
    <x v="25"/>
    <m/>
    <x v="2"/>
  </r>
  <r>
    <x v="196"/>
    <x v="0"/>
    <d v="2024-10-22T00:00:00"/>
    <x v="0"/>
    <s v="Check out our latest reel on twitter!"/>
    <n v="4782"/>
    <n v="721"/>
    <n v="82"/>
    <n v="86076"/>
    <n v="85339"/>
    <n v="19"/>
    <x v="4"/>
    <x v="0"/>
    <n v="45458"/>
    <n v="45488"/>
    <s v="Before Campaign"/>
    <x v="194"/>
    <n v="6.4884520656164318E-2"/>
    <d v="2024-06-15T00:00:00"/>
    <d v="2024-07-15T00:00:00"/>
    <x v="0"/>
    <x v="0"/>
    <n v="3.7233333333333334E-2"/>
    <x v="0"/>
    <x v="13"/>
    <m/>
    <x v="0"/>
  </r>
  <r>
    <x v="197"/>
    <x v="0"/>
    <d v="2024-09-14T00:00:00"/>
    <x v="4"/>
    <s v="Check out our latest image on twitter!"/>
    <n v="1048"/>
    <n v="374"/>
    <n v="450"/>
    <n v="9432"/>
    <n v="8882"/>
    <n v="158"/>
    <x v="2"/>
    <x v="2"/>
    <n v="45651"/>
    <n v="45667"/>
    <s v="Before Campaign"/>
    <x v="195"/>
    <n v="0.19847328244274809"/>
    <d v="2024-12-25T00:00:00"/>
    <d v="2025-01-10T00:00:00"/>
    <x v="0"/>
    <x v="2"/>
    <n v="7.4879999999999999E-3"/>
    <x v="0"/>
    <x v="16"/>
    <m/>
    <x v="0"/>
  </r>
  <r>
    <x v="198"/>
    <x v="1"/>
    <d v="2024-11-30T00:00:00"/>
    <x v="3"/>
    <s v="Check out our latest carousel on youtube!"/>
    <n v="2509"/>
    <n v="324"/>
    <n v="171"/>
    <n v="35126"/>
    <n v="34685"/>
    <n v="277"/>
    <x v="2"/>
    <x v="1"/>
    <n v="45566"/>
    <n v="45596"/>
    <s v="Before Campaign"/>
    <x v="196"/>
    <n v="8.5520696919660646E-2"/>
    <d v="2024-10-01T00:00:00"/>
    <d v="2024-10-31T00:00:00"/>
    <x v="0"/>
    <x v="1"/>
    <n v="1.502E-2"/>
    <x v="1"/>
    <x v="28"/>
    <m/>
    <x v="1"/>
  </r>
  <r>
    <x v="199"/>
    <x v="3"/>
    <d v="2025-04-07T00:00:00"/>
    <x v="0"/>
    <s v="Check out our latest reel on facebook!"/>
    <n v="3718"/>
    <n v="385"/>
    <n v="310"/>
    <n v="70642"/>
    <n v="69749"/>
    <n v="233"/>
    <x v="2"/>
    <x v="1"/>
    <n v="45566"/>
    <n v="45596"/>
    <s v="Before Campaign"/>
    <x v="197"/>
    <n v="6.246991874522239E-2"/>
    <d v="2024-10-01T00:00:00"/>
    <d v="2024-10-31T00:00:00"/>
    <x v="0"/>
    <x v="1"/>
    <n v="2.2065000000000001E-2"/>
    <x v="3"/>
    <x v="21"/>
    <m/>
    <x v="3"/>
  </r>
  <r>
    <x v="200"/>
    <x v="0"/>
    <d v="2025-01-15T00:00:00"/>
    <x v="0"/>
    <s v="Check out our latest reel on twitter!"/>
    <n v="802"/>
    <n v="262"/>
    <n v="244"/>
    <n v="14436"/>
    <n v="14280"/>
    <n v="49"/>
    <x v="4"/>
    <x v="0"/>
    <n v="45458"/>
    <n v="45488"/>
    <s v="Before Campaign"/>
    <x v="198"/>
    <n v="9.0606816292601824E-2"/>
    <d v="2024-06-15T00:00:00"/>
    <d v="2024-07-15T00:00:00"/>
    <x v="0"/>
    <x v="0"/>
    <n v="8.7200000000000003E-3"/>
    <x v="0"/>
    <x v="49"/>
    <m/>
    <x v="0"/>
  </r>
  <r>
    <x v="201"/>
    <x v="3"/>
    <d v="2024-06-02T00:00:00"/>
    <x v="4"/>
    <s v="Check out our latest image on facebook!"/>
    <n v="1871"/>
    <n v="252"/>
    <n v="335"/>
    <n v="29936"/>
    <n v="29576"/>
    <n v="288"/>
    <x v="4"/>
    <x v="2"/>
    <n v="45651"/>
    <n v="45667"/>
    <s v="Before Campaign"/>
    <x v="199"/>
    <n v="8.2108498129342594E-2"/>
    <d v="2024-12-25T00:00:00"/>
    <d v="2025-01-10T00:00:00"/>
    <x v="0"/>
    <x v="2"/>
    <n v="9.8320000000000005E-3"/>
    <x v="3"/>
    <x v="39"/>
    <m/>
    <x v="3"/>
  </r>
  <r>
    <x v="202"/>
    <x v="2"/>
    <d v="2024-11-21T00:00:00"/>
    <x v="3"/>
    <s v="Check out our latest carousel on instagram!"/>
    <n v="3773"/>
    <n v="299"/>
    <n v="38"/>
    <n v="71687"/>
    <n v="71447"/>
    <n v="286"/>
    <x v="0"/>
    <x v="0"/>
    <n v="45458"/>
    <n v="45488"/>
    <s v="Before Campaign"/>
    <x v="200"/>
    <n v="5.7332570758993957E-2"/>
    <d v="2024-06-15T00:00:00"/>
    <d v="2024-07-15T00:00:00"/>
    <x v="0"/>
    <x v="0"/>
    <n v="2.7400000000000001E-2"/>
    <x v="2"/>
    <x v="11"/>
    <m/>
    <x v="2"/>
  </r>
  <r>
    <x v="203"/>
    <x v="2"/>
    <d v="2025-01-01T00:00:00"/>
    <x v="3"/>
    <s v="Check out our latest carousel on instagram!"/>
    <n v="2234"/>
    <n v="653"/>
    <n v="432"/>
    <n v="11170"/>
    <n v="10569"/>
    <n v="198"/>
    <x v="0"/>
    <x v="2"/>
    <n v="45651"/>
    <n v="45667"/>
    <s v="Before Campaign"/>
    <x v="201"/>
    <n v="0.29713518352730528"/>
    <d v="2024-12-25T00:00:00"/>
    <d v="2025-01-10T00:00:00"/>
    <x v="1"/>
    <x v="2"/>
    <n v="1.3276E-2"/>
    <x v="2"/>
    <x v="17"/>
    <m/>
    <x v="2"/>
  </r>
  <r>
    <x v="204"/>
    <x v="0"/>
    <d v="2025-04-24T00:00:00"/>
    <x v="5"/>
    <s v="Check out our latest video on twitter!"/>
    <n v="3820"/>
    <n v="697"/>
    <n v="268"/>
    <n v="45840"/>
    <n v="45631"/>
    <n v="171"/>
    <x v="2"/>
    <x v="3"/>
    <n v="45717"/>
    <n v="45747"/>
    <s v="Before Campaign"/>
    <x v="202"/>
    <n v="0.1043848167539267"/>
    <d v="2025-03-01T00:00:00"/>
    <d v="2025-03-31T00:00:00"/>
    <x v="0"/>
    <x v="3"/>
    <n v="2.6583333333333334E-2"/>
    <x v="0"/>
    <x v="45"/>
    <m/>
    <x v="0"/>
  </r>
  <r>
    <x v="204"/>
    <x v="0"/>
    <d v="2025-04-24T00:00:00"/>
    <x v="5"/>
    <s v="Check out our latest video on twitter!"/>
    <n v="3820"/>
    <n v="697"/>
    <n v="268"/>
    <n v="45840"/>
    <n v="45631"/>
    <n v="171"/>
    <x v="5"/>
    <x v="3"/>
    <n v="45717"/>
    <n v="45747"/>
    <s v="Before Campaign"/>
    <x v="202"/>
    <n v="0.1043848167539267"/>
    <d v="2025-03-01T00:00:00"/>
    <d v="2025-03-31T00:00:00"/>
    <x v="0"/>
    <x v="3"/>
    <n v="2.6583333333333334E-2"/>
    <x v="0"/>
    <x v="45"/>
    <m/>
    <x v="0"/>
  </r>
  <r>
    <x v="205"/>
    <x v="0"/>
    <d v="2024-06-24T00:00:00"/>
    <x v="1"/>
    <s v="Check out our latest text on twitter!"/>
    <n v="941"/>
    <n v="121"/>
    <n v="458"/>
    <n v="14115"/>
    <n v="13838"/>
    <n v="87"/>
    <x v="4"/>
    <x v="0"/>
    <n v="45458"/>
    <n v="45488"/>
    <s v="Before Campaign"/>
    <x v="203"/>
    <n v="0.10768685795253277"/>
    <d v="2024-06-15T00:00:00"/>
    <d v="2024-07-15T00:00:00"/>
    <x v="1"/>
    <x v="0"/>
    <n v="1.0133333333333333E-2"/>
    <x v="0"/>
    <x v="4"/>
    <m/>
    <x v="0"/>
  </r>
  <r>
    <x v="206"/>
    <x v="0"/>
    <d v="2024-12-29T00:00:00"/>
    <x v="3"/>
    <s v="Check out our latest carousel on twitter!"/>
    <n v="4274"/>
    <n v="340"/>
    <n v="281"/>
    <n v="34192"/>
    <n v="33446"/>
    <n v="129"/>
    <x v="2"/>
    <x v="2"/>
    <n v="45651"/>
    <n v="45667"/>
    <s v="Before Campaign"/>
    <x v="204"/>
    <n v="0.14316214319138981"/>
    <d v="2024-12-25T00:00:00"/>
    <d v="2025-01-10T00:00:00"/>
    <x v="1"/>
    <x v="2"/>
    <n v="1.958E-2"/>
    <x v="0"/>
    <x v="48"/>
    <m/>
    <x v="0"/>
  </r>
  <r>
    <x v="206"/>
    <x v="0"/>
    <d v="2024-12-29T00:00:00"/>
    <x v="3"/>
    <s v="Check out our latest carousel on twitter!"/>
    <n v="4274"/>
    <n v="340"/>
    <n v="281"/>
    <n v="34192"/>
    <n v="33446"/>
    <n v="129"/>
    <x v="5"/>
    <x v="2"/>
    <n v="45651"/>
    <n v="45667"/>
    <s v="Before Campaign"/>
    <x v="204"/>
    <n v="0.14316214319138981"/>
    <d v="2024-12-25T00:00:00"/>
    <d v="2025-01-10T00:00:00"/>
    <x v="1"/>
    <x v="2"/>
    <n v="1.958E-2"/>
    <x v="0"/>
    <x v="48"/>
    <m/>
    <x v="0"/>
  </r>
  <r>
    <x v="207"/>
    <x v="1"/>
    <d v="2024-06-24T00:00:00"/>
    <x v="5"/>
    <s v="Check out our latest video on youtube!"/>
    <n v="2949"/>
    <n v="476"/>
    <n v="403"/>
    <n v="44235"/>
    <n v="43705"/>
    <n v="135"/>
    <x v="2"/>
    <x v="1"/>
    <n v="45566"/>
    <n v="45596"/>
    <s v="Before Campaign"/>
    <x v="205"/>
    <n v="8.6537809426924378E-2"/>
    <d v="2024-10-01T00:00:00"/>
    <d v="2024-10-31T00:00:00"/>
    <x v="0"/>
    <x v="1"/>
    <n v="1.9140000000000001E-2"/>
    <x v="1"/>
    <x v="4"/>
    <m/>
    <x v="1"/>
  </r>
  <r>
    <x v="208"/>
    <x v="0"/>
    <d v="2025-03-19T00:00:00"/>
    <x v="5"/>
    <s v="Check out our latest video on twitter!"/>
    <n v="3160"/>
    <n v="204"/>
    <n v="297"/>
    <n v="44240"/>
    <n v="43666"/>
    <n v="49"/>
    <x v="0"/>
    <x v="3"/>
    <n v="45717"/>
    <n v="45747"/>
    <s v="Before Campaign"/>
    <x v="206"/>
    <n v="8.2753164556962022E-2"/>
    <d v="2025-03-01T00:00:00"/>
    <d v="2025-03-31T00:00:00"/>
    <x v="1"/>
    <x v="3"/>
    <n v="2.0338888888888889E-2"/>
    <x v="0"/>
    <x v="44"/>
    <m/>
    <x v="0"/>
  </r>
  <r>
    <x v="208"/>
    <x v="0"/>
    <d v="2025-03-19T00:00:00"/>
    <x v="5"/>
    <s v="Check out our latest video on twitter!"/>
    <n v="3160"/>
    <n v="204"/>
    <n v="297"/>
    <n v="44240"/>
    <n v="43666"/>
    <n v="49"/>
    <x v="1"/>
    <x v="3"/>
    <n v="45717"/>
    <n v="45747"/>
    <s v="Before Campaign"/>
    <x v="206"/>
    <n v="8.2753164556962022E-2"/>
    <d v="2025-03-01T00:00:00"/>
    <d v="2025-03-31T00:00:00"/>
    <x v="1"/>
    <x v="3"/>
    <n v="2.0338888888888889E-2"/>
    <x v="0"/>
    <x v="44"/>
    <m/>
    <x v="0"/>
  </r>
  <r>
    <x v="209"/>
    <x v="1"/>
    <d v="2025-02-19T00:00:00"/>
    <x v="4"/>
    <s v="Check out our latest image on youtube!"/>
    <n v="257"/>
    <n v="966"/>
    <n v="398"/>
    <n v="3341"/>
    <n v="2753"/>
    <n v="287"/>
    <x v="0"/>
    <x v="0"/>
    <n v="45458"/>
    <n v="45488"/>
    <s v="Before Campaign"/>
    <x v="207"/>
    <n v="0.48518407662376534"/>
    <d v="2024-06-15T00:00:00"/>
    <d v="2024-07-15T00:00:00"/>
    <x v="0"/>
    <x v="0"/>
    <n v="1.0806666666666666E-2"/>
    <x v="1"/>
    <x v="12"/>
    <m/>
    <x v="1"/>
  </r>
  <r>
    <x v="210"/>
    <x v="0"/>
    <d v="2024-07-18T00:00:00"/>
    <x v="3"/>
    <s v="Check out our latest carousel on twitter!"/>
    <n v="2120"/>
    <n v="38"/>
    <n v="212"/>
    <n v="12720"/>
    <n v="12564"/>
    <n v="21"/>
    <x v="0"/>
    <x v="3"/>
    <n v="45717"/>
    <n v="45747"/>
    <s v="Before Campaign"/>
    <x v="208"/>
    <n v="0.18632075471698112"/>
    <d v="2025-03-01T00:00:00"/>
    <d v="2025-03-31T00:00:00"/>
    <x v="0"/>
    <x v="3"/>
    <n v="1.3166666666666667E-2"/>
    <x v="0"/>
    <x v="46"/>
    <m/>
    <x v="0"/>
  </r>
  <r>
    <x v="211"/>
    <x v="1"/>
    <d v="2025-03-03T00:00:00"/>
    <x v="5"/>
    <s v="Check out our latest video on youtube!"/>
    <n v="3874"/>
    <n v="884"/>
    <n v="19"/>
    <n v="38740"/>
    <n v="38552"/>
    <n v="219"/>
    <x v="2"/>
    <x v="1"/>
    <n v="45566"/>
    <n v="45596"/>
    <s v="Before Campaign"/>
    <x v="209"/>
    <n v="0.123309241094476"/>
    <d v="2024-10-01T00:00:00"/>
    <d v="2024-10-31T00:00:00"/>
    <x v="0"/>
    <x v="1"/>
    <n v="2.3885E-2"/>
    <x v="1"/>
    <x v="23"/>
    <m/>
    <x v="1"/>
  </r>
  <r>
    <x v="212"/>
    <x v="3"/>
    <d v="2025-05-01T00:00:00"/>
    <x v="3"/>
    <s v="Check out our latest carousel on facebook!"/>
    <n v="2696"/>
    <n v="628"/>
    <n v="443"/>
    <n v="45832"/>
    <n v="45632"/>
    <n v="248"/>
    <x v="4"/>
    <x v="3"/>
    <n v="45717"/>
    <n v="45747"/>
    <s v="Before Campaign"/>
    <x v="210"/>
    <n v="8.21914819340199E-2"/>
    <d v="2025-03-01T00:00:00"/>
    <d v="2025-03-31T00:00:00"/>
    <x v="0"/>
    <x v="3"/>
    <n v="2.0927777777777778E-2"/>
    <x v="3"/>
    <x v="32"/>
    <m/>
    <x v="3"/>
  </r>
  <r>
    <x v="213"/>
    <x v="2"/>
    <d v="2024-12-23T00:00:00"/>
    <x v="4"/>
    <s v="Check out our latest image on instagram!"/>
    <n v="521"/>
    <n v="746"/>
    <n v="315"/>
    <n v="4168"/>
    <n v="3399"/>
    <n v="282"/>
    <x v="0"/>
    <x v="1"/>
    <n v="45566"/>
    <n v="45596"/>
    <s v="Before Campaign"/>
    <x v="211"/>
    <n v="0.37955854126679461"/>
    <d v="2024-10-01T00:00:00"/>
    <d v="2024-10-31T00:00:00"/>
    <x v="0"/>
    <x v="1"/>
    <n v="7.9100000000000004E-3"/>
    <x v="2"/>
    <x v="0"/>
    <m/>
    <x v="2"/>
  </r>
  <r>
    <x v="214"/>
    <x v="3"/>
    <d v="2025-05-06T00:00:00"/>
    <x v="4"/>
    <s v="Check out our latest image on facebook!"/>
    <n v="4872"/>
    <n v="925"/>
    <n v="176"/>
    <n v="82824"/>
    <n v="82543"/>
    <n v="89"/>
    <x v="4"/>
    <x v="1"/>
    <n v="45566"/>
    <n v="45596"/>
    <s v="Before Campaign"/>
    <x v="212"/>
    <n v="7.2116777745580993E-2"/>
    <d v="2024-10-01T00:00:00"/>
    <d v="2024-10-31T00:00:00"/>
    <x v="0"/>
    <x v="1"/>
    <n v="2.9864999999999999E-2"/>
    <x v="3"/>
    <x v="14"/>
    <m/>
    <x v="3"/>
  </r>
  <r>
    <x v="215"/>
    <x v="1"/>
    <d v="2024-07-29T00:00:00"/>
    <x v="2"/>
    <s v="Check out our latest story on youtube!"/>
    <n v="1509"/>
    <n v="88"/>
    <n v="163"/>
    <n v="30180"/>
    <n v="29689"/>
    <n v="119"/>
    <x v="4"/>
    <x v="1"/>
    <n v="45566"/>
    <n v="45596"/>
    <s v="Before Campaign"/>
    <x v="213"/>
    <n v="5.8316766070245198E-2"/>
    <d v="2024-10-01T00:00:00"/>
    <d v="2024-10-31T00:00:00"/>
    <x v="0"/>
    <x v="1"/>
    <n v="8.8000000000000005E-3"/>
    <x v="1"/>
    <x v="26"/>
    <m/>
    <x v="1"/>
  </r>
  <r>
    <x v="216"/>
    <x v="3"/>
    <d v="2024-12-03T00:00:00"/>
    <x v="4"/>
    <s v="Check out our latest image on facebook!"/>
    <n v="4606"/>
    <n v="931"/>
    <n v="230"/>
    <n v="92120"/>
    <n v="91440"/>
    <n v="56"/>
    <x v="2"/>
    <x v="4"/>
    <n v="0"/>
    <n v="0"/>
    <s v="Before Campaign"/>
    <x v="214"/>
    <n v="6.2603126356925748E-2"/>
    <s v="not found"/>
    <s v="not found"/>
    <x v="0"/>
    <x v="4"/>
    <e v="#VALUE!"/>
    <x v="3"/>
    <x v="47"/>
    <m/>
    <x v="3"/>
  </r>
  <r>
    <x v="217"/>
    <x v="3"/>
    <d v="2024-06-11T00:00:00"/>
    <x v="3"/>
    <s v="Check out our latest carousel on facebook!"/>
    <n v="1869"/>
    <n v="453"/>
    <n v="490"/>
    <n v="14952"/>
    <n v="14309"/>
    <n v="275"/>
    <x v="2"/>
    <x v="3"/>
    <n v="45717"/>
    <n v="45747"/>
    <s v="Before Campaign"/>
    <x v="215"/>
    <n v="0.18806848582129482"/>
    <d v="2025-03-01T00:00:00"/>
    <d v="2025-03-31T00:00:00"/>
    <x v="0"/>
    <x v="3"/>
    <n v="1.5622222222222221E-2"/>
    <x v="3"/>
    <x v="33"/>
    <m/>
    <x v="3"/>
  </r>
  <r>
    <x v="218"/>
    <x v="0"/>
    <d v="2025-01-28T00:00:00"/>
    <x v="0"/>
    <s v="Check out our latest reel on twitter!"/>
    <n v="1188"/>
    <n v="470"/>
    <n v="174"/>
    <n v="7128"/>
    <n v="6145"/>
    <n v="270"/>
    <x v="2"/>
    <x v="3"/>
    <n v="45717"/>
    <n v="45747"/>
    <s v="Before Campaign"/>
    <x v="216"/>
    <n v="0.25701459034792368"/>
    <d v="2025-03-01T00:00:00"/>
    <d v="2025-03-31T00:00:00"/>
    <x v="0"/>
    <x v="3"/>
    <n v="1.0177777777777779E-2"/>
    <x v="0"/>
    <x v="24"/>
    <m/>
    <x v="0"/>
  </r>
  <r>
    <x v="219"/>
    <x v="2"/>
    <d v="2024-06-02T00:00:00"/>
    <x v="2"/>
    <s v="Check out our latest story on instagram!"/>
    <n v="84"/>
    <n v="897"/>
    <n v="85"/>
    <n v="588"/>
    <n v="8"/>
    <n v="12"/>
    <x v="4"/>
    <x v="4"/>
    <n v="0"/>
    <n v="0"/>
    <s v="Before Campaign"/>
    <x v="217"/>
    <n v="1.8129251700680271"/>
    <s v="not found"/>
    <s v="not found"/>
    <x v="0"/>
    <x v="4"/>
    <e v="#VALUE!"/>
    <x v="2"/>
    <x v="39"/>
    <m/>
    <x v="2"/>
  </r>
  <r>
    <x v="220"/>
    <x v="3"/>
    <d v="2025-03-23T00:00:00"/>
    <x v="5"/>
    <s v="Check out our latest video on facebook!"/>
    <n v="4453"/>
    <n v="111"/>
    <n v="420"/>
    <n v="31171"/>
    <n v="30565"/>
    <n v="23"/>
    <x v="2"/>
    <x v="4"/>
    <n v="0"/>
    <n v="0"/>
    <s v="Before Campaign"/>
    <x v="218"/>
    <n v="0.15989220750056141"/>
    <s v="not found"/>
    <s v="not found"/>
    <x v="0"/>
    <x v="4"/>
    <e v="#VALUE!"/>
    <x v="3"/>
    <x v="27"/>
    <m/>
    <x v="3"/>
  </r>
  <r>
    <x v="221"/>
    <x v="3"/>
    <d v="2024-10-08T00:00:00"/>
    <x v="0"/>
    <s v="Check out our latest reel on facebook!"/>
    <n v="1814"/>
    <n v="653"/>
    <n v="363"/>
    <n v="25396"/>
    <n v="25286"/>
    <n v="39"/>
    <x v="0"/>
    <x v="0"/>
    <n v="45458"/>
    <n v="45488"/>
    <s v="Before Campaign"/>
    <x v="58"/>
    <n v="0.11143487163332809"/>
    <d v="2024-06-15T00:00:00"/>
    <d v="2024-07-15T00:00:00"/>
    <x v="0"/>
    <x v="0"/>
    <n v="1.8866666666666667E-2"/>
    <x v="3"/>
    <x v="38"/>
    <m/>
    <x v="3"/>
  </r>
  <r>
    <x v="221"/>
    <x v="3"/>
    <d v="2024-10-08T00:00:00"/>
    <x v="0"/>
    <s v="Check out our latest reel on facebook!"/>
    <n v="1814"/>
    <n v="653"/>
    <n v="363"/>
    <n v="25396"/>
    <n v="25286"/>
    <n v="39"/>
    <x v="5"/>
    <x v="0"/>
    <n v="45458"/>
    <n v="45488"/>
    <s v="Before Campaign"/>
    <x v="58"/>
    <n v="0.11143487163332809"/>
    <d v="2024-06-15T00:00:00"/>
    <d v="2024-07-15T00:00:00"/>
    <x v="0"/>
    <x v="0"/>
    <n v="1.8866666666666667E-2"/>
    <x v="3"/>
    <x v="38"/>
    <m/>
    <x v="3"/>
  </r>
  <r>
    <x v="222"/>
    <x v="0"/>
    <d v="2024-11-12T00:00:00"/>
    <x v="4"/>
    <s v="Check out our latest image on twitter!"/>
    <n v="3338"/>
    <n v="277"/>
    <n v="118"/>
    <n v="60084"/>
    <n v="59842"/>
    <n v="252"/>
    <x v="2"/>
    <x v="4"/>
    <n v="0"/>
    <n v="0"/>
    <s v="Before Campaign"/>
    <x v="219"/>
    <n v="6.2129685107516146E-2"/>
    <s v="not found"/>
    <s v="not found"/>
    <x v="0"/>
    <x v="4"/>
    <e v="#VALUE!"/>
    <x v="0"/>
    <x v="43"/>
    <m/>
    <x v="0"/>
  </r>
  <r>
    <x v="223"/>
    <x v="3"/>
    <d v="2025-05-13T00:00:00"/>
    <x v="4"/>
    <s v="Check out our latest image on facebook!"/>
    <n v="602"/>
    <n v="594"/>
    <n v="156"/>
    <n v="4214"/>
    <n v="3363"/>
    <n v="164"/>
    <x v="2"/>
    <x v="2"/>
    <n v="45651"/>
    <n v="45667"/>
    <s v="Before Campaign"/>
    <x v="54"/>
    <n v="0.32083531086853345"/>
    <d v="2024-12-25T00:00:00"/>
    <d v="2025-01-10T00:00:00"/>
    <x v="0"/>
    <x v="2"/>
    <n v="5.4079999999999996E-3"/>
    <x v="3"/>
    <x v="2"/>
    <m/>
    <x v="3"/>
  </r>
  <r>
    <x v="224"/>
    <x v="0"/>
    <d v="2024-06-20T00:00:00"/>
    <x v="3"/>
    <s v="Check out our latest carousel on twitter!"/>
    <n v="4672"/>
    <n v="325"/>
    <n v="32"/>
    <n v="88768"/>
    <n v="87833"/>
    <n v="118"/>
    <x v="4"/>
    <x v="4"/>
    <n v="0"/>
    <n v="0"/>
    <s v="Before Campaign"/>
    <x v="220"/>
    <n v="5.6653298485940883E-2"/>
    <s v="not found"/>
    <s v="not found"/>
    <x v="0"/>
    <x v="4"/>
    <e v="#VALUE!"/>
    <x v="0"/>
    <x v="35"/>
    <m/>
    <x v="0"/>
  </r>
  <r>
    <x v="225"/>
    <x v="2"/>
    <d v="2024-08-07T00:00:00"/>
    <x v="3"/>
    <s v="Check out our latest carousel on instagram!"/>
    <n v="1741"/>
    <n v="164"/>
    <n v="318"/>
    <n v="8705"/>
    <n v="8272"/>
    <n v="121"/>
    <x v="2"/>
    <x v="4"/>
    <n v="0"/>
    <n v="0"/>
    <s v="Before Campaign"/>
    <x v="221"/>
    <n v="0.25537047673750718"/>
    <s v="not found"/>
    <s v="not found"/>
    <x v="0"/>
    <x v="4"/>
    <e v="#VALUE!"/>
    <x v="2"/>
    <x v="41"/>
    <m/>
    <x v="2"/>
  </r>
  <r>
    <x v="226"/>
    <x v="2"/>
    <d v="2024-06-12T00:00:00"/>
    <x v="1"/>
    <s v="Check out our latest text on instagram!"/>
    <n v="246"/>
    <n v="149"/>
    <n v="130"/>
    <n v="4674"/>
    <n v="4390"/>
    <n v="217"/>
    <x v="0"/>
    <x v="2"/>
    <n v="45651"/>
    <n v="45667"/>
    <s v="Before Campaign"/>
    <x v="222"/>
    <n v="0.11232349165596919"/>
    <d v="2024-12-25T00:00:00"/>
    <d v="2025-01-10T00:00:00"/>
    <x v="0"/>
    <x v="2"/>
    <n v="2.0999999999999999E-3"/>
    <x v="2"/>
    <x v="33"/>
    <m/>
    <x v="2"/>
  </r>
  <r>
    <x v="227"/>
    <x v="2"/>
    <d v="2024-07-01T00:00:00"/>
    <x v="2"/>
    <s v="Check out our latest story on instagram!"/>
    <n v="4808"/>
    <n v="772"/>
    <n v="320"/>
    <n v="72120"/>
    <n v="71696"/>
    <n v="195"/>
    <x v="4"/>
    <x v="0"/>
    <n v="45458"/>
    <n v="45488"/>
    <s v="Before Campaign"/>
    <x v="223"/>
    <n v="8.1808097615085965E-2"/>
    <d v="2024-06-15T00:00:00"/>
    <d v="2024-07-15T00:00:00"/>
    <x v="1"/>
    <x v="0"/>
    <n v="3.9333333333333331E-2"/>
    <x v="2"/>
    <x v="34"/>
    <m/>
    <x v="2"/>
  </r>
  <r>
    <x v="228"/>
    <x v="2"/>
    <d v="2024-07-03T00:00:00"/>
    <x v="3"/>
    <s v="Check out our latest carousel on instagram!"/>
    <n v="4799"/>
    <n v="694"/>
    <n v="289"/>
    <n v="43191"/>
    <n v="42228"/>
    <n v="118"/>
    <x v="2"/>
    <x v="4"/>
    <n v="0"/>
    <n v="0"/>
    <s v="Before Campaign"/>
    <x v="224"/>
    <n v="0.13387048227640017"/>
    <s v="not found"/>
    <s v="not found"/>
    <x v="0"/>
    <x v="4"/>
    <e v="#VALUE!"/>
    <x v="2"/>
    <x v="34"/>
    <m/>
    <x v="2"/>
  </r>
  <r>
    <x v="229"/>
    <x v="3"/>
    <d v="2024-07-15T00:00:00"/>
    <x v="0"/>
    <s v="Check out our latest reel on facebook!"/>
    <n v="3663"/>
    <n v="17"/>
    <n v="295"/>
    <n v="51282"/>
    <n v="50567"/>
    <n v="84"/>
    <x v="4"/>
    <x v="2"/>
    <n v="45651"/>
    <n v="45667"/>
    <s v="Before Campaign"/>
    <x v="225"/>
    <n v="7.7512577512577507E-2"/>
    <d v="2024-12-25T00:00:00"/>
    <d v="2025-01-10T00:00:00"/>
    <x v="0"/>
    <x v="2"/>
    <n v="1.5900000000000001E-2"/>
    <x v="3"/>
    <x v="46"/>
    <m/>
    <x v="3"/>
  </r>
  <r>
    <x v="230"/>
    <x v="2"/>
    <d v="2025-05-01T00:00:00"/>
    <x v="1"/>
    <s v="Check out our latest text on instagram!"/>
    <n v="1430"/>
    <n v="376"/>
    <n v="33"/>
    <n v="21450"/>
    <n v="20509"/>
    <n v="251"/>
    <x v="0"/>
    <x v="0"/>
    <n v="45458"/>
    <n v="45488"/>
    <s v="Before Campaign"/>
    <x v="226"/>
    <n v="8.5734265734265735E-2"/>
    <d v="2024-06-15T00:00:00"/>
    <d v="2024-07-15T00:00:00"/>
    <x v="0"/>
    <x v="0"/>
    <n v="1.226E-2"/>
    <x v="2"/>
    <x v="32"/>
    <m/>
    <x v="2"/>
  </r>
  <r>
    <x v="231"/>
    <x v="0"/>
    <d v="2025-04-29T00:00:00"/>
    <x v="2"/>
    <s v="Check out our latest story on twitter!"/>
    <n v="249"/>
    <n v="592"/>
    <n v="230"/>
    <n v="1494"/>
    <n v="1044"/>
    <n v="201"/>
    <x v="4"/>
    <x v="3"/>
    <n v="45717"/>
    <n v="45747"/>
    <s v="Before Campaign"/>
    <x v="227"/>
    <n v="0.7168674698795181"/>
    <d v="2025-03-01T00:00:00"/>
    <d v="2025-03-31T00:00:00"/>
    <x v="0"/>
    <x v="3"/>
    <n v="5.9500000000000004E-3"/>
    <x v="0"/>
    <x v="32"/>
    <m/>
    <x v="0"/>
  </r>
  <r>
    <x v="232"/>
    <x v="3"/>
    <d v="2025-03-08T00:00:00"/>
    <x v="4"/>
    <s v="Check out our latest image on facebook!"/>
    <n v="2382"/>
    <n v="265"/>
    <n v="134"/>
    <n v="38112"/>
    <n v="37437"/>
    <n v="249"/>
    <x v="0"/>
    <x v="3"/>
    <n v="45717"/>
    <n v="45747"/>
    <s v="Before Campaign"/>
    <x v="228"/>
    <n v="7.2969143576826198E-2"/>
    <d v="2025-03-01T00:00:00"/>
    <d v="2025-03-31T00:00:00"/>
    <x v="1"/>
    <x v="3"/>
    <n v="1.545E-2"/>
    <x v="3"/>
    <x v="23"/>
    <m/>
    <x v="3"/>
  </r>
  <r>
    <x v="233"/>
    <x v="3"/>
    <d v="2024-06-01T00:00:00"/>
    <x v="1"/>
    <s v="Check out our latest text on facebook!"/>
    <n v="1272"/>
    <n v="465"/>
    <n v="99"/>
    <n v="24168"/>
    <n v="23719"/>
    <n v="42"/>
    <x v="2"/>
    <x v="4"/>
    <n v="0"/>
    <n v="0"/>
    <s v="Before Campaign"/>
    <x v="229"/>
    <n v="7.5968222442899705E-2"/>
    <s v="not found"/>
    <s v="not found"/>
    <x v="0"/>
    <x v="4"/>
    <e v="#VALUE!"/>
    <x v="3"/>
    <x v="50"/>
    <m/>
    <x v="3"/>
  </r>
  <r>
    <x v="234"/>
    <x v="3"/>
    <d v="2024-12-22T00:00:00"/>
    <x v="4"/>
    <s v="Check out our latest image on facebook!"/>
    <n v="3196"/>
    <n v="941"/>
    <n v="376"/>
    <n v="35156"/>
    <n v="34444"/>
    <n v="241"/>
    <x v="2"/>
    <x v="2"/>
    <n v="45651"/>
    <n v="45667"/>
    <s v="Before Campaign"/>
    <x v="230"/>
    <n v="0.1283706906360223"/>
    <d v="2024-12-25T00:00:00"/>
    <d v="2025-01-10T00:00:00"/>
    <x v="0"/>
    <x v="2"/>
    <n v="1.8051999999999999E-2"/>
    <x v="3"/>
    <x v="0"/>
    <m/>
    <x v="3"/>
  </r>
  <r>
    <x v="235"/>
    <x v="3"/>
    <d v="2024-08-19T00:00:00"/>
    <x v="1"/>
    <s v="Check out our latest text on facebook!"/>
    <n v="1257"/>
    <n v="19"/>
    <n v="351"/>
    <n v="12570"/>
    <n v="11660"/>
    <n v="194"/>
    <x v="0"/>
    <x v="1"/>
    <n v="45566"/>
    <n v="45596"/>
    <s v="Before Campaign"/>
    <x v="231"/>
    <n v="0.12943516308671441"/>
    <d v="2024-10-01T00:00:00"/>
    <d v="2024-10-31T00:00:00"/>
    <x v="0"/>
    <x v="1"/>
    <n v="8.1349999999999999E-3"/>
    <x v="3"/>
    <x v="15"/>
    <m/>
    <x v="3"/>
  </r>
  <r>
    <x v="235"/>
    <x v="3"/>
    <d v="2024-08-19T00:00:00"/>
    <x v="1"/>
    <s v="Check out our latest text on facebook!"/>
    <n v="1257"/>
    <n v="19"/>
    <n v="351"/>
    <n v="12570"/>
    <n v="11660"/>
    <n v="194"/>
    <x v="1"/>
    <x v="1"/>
    <n v="45566"/>
    <n v="45596"/>
    <s v="Before Campaign"/>
    <x v="231"/>
    <n v="0.12943516308671441"/>
    <d v="2024-10-01T00:00:00"/>
    <d v="2024-10-31T00:00:00"/>
    <x v="0"/>
    <x v="1"/>
    <n v="8.1349999999999999E-3"/>
    <x v="3"/>
    <x v="15"/>
    <m/>
    <x v="3"/>
  </r>
  <r>
    <x v="235"/>
    <x v="3"/>
    <d v="2024-08-19T00:00:00"/>
    <x v="1"/>
    <s v="Check out our latest text on facebook!"/>
    <n v="1257"/>
    <n v="19"/>
    <n v="351"/>
    <n v="12570"/>
    <n v="11660"/>
    <n v="194"/>
    <x v="4"/>
    <x v="1"/>
    <n v="45566"/>
    <n v="45596"/>
    <s v="Before Campaign"/>
    <x v="231"/>
    <n v="0.12943516308671441"/>
    <d v="2024-10-01T00:00:00"/>
    <d v="2024-10-31T00:00:00"/>
    <x v="0"/>
    <x v="1"/>
    <n v="8.1349999999999999E-3"/>
    <x v="3"/>
    <x v="15"/>
    <m/>
    <x v="3"/>
  </r>
  <r>
    <x v="236"/>
    <x v="2"/>
    <d v="2024-10-22T00:00:00"/>
    <x v="2"/>
    <s v="Check out our latest story on instagram!"/>
    <n v="3770"/>
    <n v="917"/>
    <n v="129"/>
    <n v="71630"/>
    <n v="71322"/>
    <n v="76"/>
    <x v="0"/>
    <x v="0"/>
    <n v="45458"/>
    <n v="45488"/>
    <s v="Before Campaign"/>
    <x v="232"/>
    <n v="6.7234398994834563E-2"/>
    <d v="2024-06-15T00:00:00"/>
    <d v="2024-07-15T00:00:00"/>
    <x v="0"/>
    <x v="0"/>
    <n v="3.2106666666666665E-2"/>
    <x v="2"/>
    <x v="13"/>
    <m/>
    <x v="2"/>
  </r>
  <r>
    <x v="237"/>
    <x v="0"/>
    <d v="2024-07-16T00:00:00"/>
    <x v="1"/>
    <s v="Check out our latest text on twitter!"/>
    <n v="4725"/>
    <n v="400"/>
    <n v="362"/>
    <n v="75600"/>
    <n v="74927"/>
    <n v="43"/>
    <x v="0"/>
    <x v="3"/>
    <n v="45717"/>
    <n v="45747"/>
    <s v="Before Campaign"/>
    <x v="233"/>
    <n v="7.2579365079365077E-2"/>
    <d v="2025-03-01T00:00:00"/>
    <d v="2025-03-31T00:00:00"/>
    <x v="0"/>
    <x v="3"/>
    <n v="3.0483333333333335E-2"/>
    <x v="0"/>
    <x v="46"/>
    <m/>
    <x v="0"/>
  </r>
  <r>
    <x v="238"/>
    <x v="1"/>
    <d v="2025-02-24T00:00:00"/>
    <x v="1"/>
    <s v="Check out our latest text on youtube!"/>
    <n v="4188"/>
    <n v="942"/>
    <n v="118"/>
    <n v="20940"/>
    <n v="20471"/>
    <n v="102"/>
    <x v="0"/>
    <x v="4"/>
    <n v="0"/>
    <n v="0"/>
    <s v="Before Campaign"/>
    <x v="234"/>
    <n v="0.25062082139446035"/>
    <s v="not found"/>
    <s v="not found"/>
    <x v="0"/>
    <x v="4"/>
    <e v="#VALUE!"/>
    <x v="1"/>
    <x v="18"/>
    <m/>
    <x v="1"/>
  </r>
  <r>
    <x v="239"/>
    <x v="0"/>
    <d v="2024-08-26T00:00:00"/>
    <x v="3"/>
    <s v="Check out our latest carousel on twitter!"/>
    <n v="929"/>
    <n v="192"/>
    <n v="322"/>
    <n v="16722"/>
    <n v="15996"/>
    <n v="145"/>
    <x v="4"/>
    <x v="2"/>
    <n v="45651"/>
    <n v="45667"/>
    <s v="Before Campaign"/>
    <x v="235"/>
    <n v="8.6293505561535699E-2"/>
    <d v="2024-12-25T00:00:00"/>
    <d v="2025-01-10T00:00:00"/>
    <x v="0"/>
    <x v="2"/>
    <n v="5.7720000000000002E-3"/>
    <x v="0"/>
    <x v="7"/>
    <m/>
    <x v="0"/>
  </r>
  <r>
    <x v="239"/>
    <x v="0"/>
    <d v="2024-08-26T00:00:00"/>
    <x v="3"/>
    <s v="Check out our latest carousel on twitter!"/>
    <n v="929"/>
    <n v="192"/>
    <n v="322"/>
    <n v="16722"/>
    <n v="15996"/>
    <n v="145"/>
    <x v="2"/>
    <x v="2"/>
    <n v="45651"/>
    <n v="45667"/>
    <s v="Before Campaign"/>
    <x v="235"/>
    <n v="8.6293505561535699E-2"/>
    <d v="2024-12-25T00:00:00"/>
    <d v="2025-01-10T00:00:00"/>
    <x v="0"/>
    <x v="2"/>
    <n v="5.7720000000000002E-3"/>
    <x v="0"/>
    <x v="7"/>
    <m/>
    <x v="0"/>
  </r>
  <r>
    <x v="239"/>
    <x v="0"/>
    <d v="2024-08-26T00:00:00"/>
    <x v="3"/>
    <s v="Check out our latest carousel on twitter!"/>
    <n v="929"/>
    <n v="192"/>
    <n v="322"/>
    <n v="16722"/>
    <n v="15996"/>
    <n v="145"/>
    <x v="1"/>
    <x v="2"/>
    <n v="45651"/>
    <n v="45667"/>
    <s v="Before Campaign"/>
    <x v="235"/>
    <n v="8.6293505561535699E-2"/>
    <d v="2024-12-25T00:00:00"/>
    <d v="2025-01-10T00:00:00"/>
    <x v="0"/>
    <x v="2"/>
    <n v="5.7720000000000002E-3"/>
    <x v="0"/>
    <x v="7"/>
    <m/>
    <x v="0"/>
  </r>
  <r>
    <x v="240"/>
    <x v="3"/>
    <d v="2025-01-18T00:00:00"/>
    <x v="2"/>
    <s v="Check out our latest story on facebook!"/>
    <n v="4321"/>
    <n v="874"/>
    <n v="172"/>
    <n v="30247"/>
    <n v="29254"/>
    <n v="122"/>
    <x v="2"/>
    <x v="3"/>
    <n v="45717"/>
    <n v="45747"/>
    <s v="Before Campaign"/>
    <x v="236"/>
    <n v="0.17743908486792079"/>
    <d v="2025-03-01T00:00:00"/>
    <d v="2025-03-31T00:00:00"/>
    <x v="0"/>
    <x v="3"/>
    <n v="2.9816666666666668E-2"/>
    <x v="3"/>
    <x v="49"/>
    <m/>
    <x v="3"/>
  </r>
  <r>
    <x v="241"/>
    <x v="3"/>
    <d v="2024-07-07T00:00:00"/>
    <x v="0"/>
    <s v="Check out our latest reel on facebook!"/>
    <n v="4767"/>
    <n v="190"/>
    <n v="340"/>
    <n v="28602"/>
    <n v="28044"/>
    <n v="210"/>
    <x v="4"/>
    <x v="2"/>
    <n v="45651"/>
    <n v="45667"/>
    <s v="Before Campaign"/>
    <x v="237"/>
    <n v="0.18519683938186141"/>
    <d v="2024-12-25T00:00:00"/>
    <d v="2025-01-10T00:00:00"/>
    <x v="0"/>
    <x v="2"/>
    <n v="2.1187999999999999E-2"/>
    <x v="3"/>
    <x v="6"/>
    <m/>
    <x v="3"/>
  </r>
  <r>
    <x v="242"/>
    <x v="0"/>
    <d v="2025-03-06T00:00:00"/>
    <x v="4"/>
    <s v="Check out our latest image on twitter!"/>
    <n v="3592"/>
    <n v="911"/>
    <n v="375"/>
    <n v="50288"/>
    <n v="49490"/>
    <n v="32"/>
    <x v="0"/>
    <x v="3"/>
    <n v="45717"/>
    <n v="45747"/>
    <s v="Before Campaign"/>
    <x v="238"/>
    <n v="9.7001272669424113E-2"/>
    <d v="2025-03-01T00:00:00"/>
    <d v="2025-03-31T00:00:00"/>
    <x v="1"/>
    <x v="3"/>
    <n v="2.7099999999999999E-2"/>
    <x v="0"/>
    <x v="23"/>
    <m/>
    <x v="0"/>
  </r>
  <r>
    <x v="243"/>
    <x v="1"/>
    <d v="2024-10-25T00:00:00"/>
    <x v="5"/>
    <s v="Check out our latest video on youtube!"/>
    <n v="4661"/>
    <n v="935"/>
    <n v="433"/>
    <n v="23305"/>
    <n v="22583"/>
    <n v="63"/>
    <x v="0"/>
    <x v="2"/>
    <n v="45651"/>
    <n v="45667"/>
    <s v="Before Campaign"/>
    <x v="239"/>
    <n v="0.25869984981763572"/>
    <d v="2024-12-25T00:00:00"/>
    <d v="2025-01-10T00:00:00"/>
    <x v="0"/>
    <x v="2"/>
    <n v="2.4115999999999999E-2"/>
    <x v="1"/>
    <x v="13"/>
    <m/>
    <x v="1"/>
  </r>
  <r>
    <x v="244"/>
    <x v="3"/>
    <d v="2025-01-12T00:00:00"/>
    <x v="0"/>
    <s v="Check out our latest reel on facebook!"/>
    <n v="4134"/>
    <n v="824"/>
    <n v="99"/>
    <n v="41340"/>
    <n v="41050"/>
    <n v="177"/>
    <x v="4"/>
    <x v="0"/>
    <n v="45458"/>
    <n v="45488"/>
    <s v="Before Campaign"/>
    <x v="240"/>
    <n v="0.12232704402515723"/>
    <d v="2024-06-15T00:00:00"/>
    <d v="2024-07-15T00:00:00"/>
    <x v="0"/>
    <x v="0"/>
    <n v="3.3713333333333331E-2"/>
    <x v="3"/>
    <x v="49"/>
    <m/>
    <x v="3"/>
  </r>
  <r>
    <x v="245"/>
    <x v="3"/>
    <d v="2024-10-11T00:00:00"/>
    <x v="4"/>
    <s v="Check out our latest image on facebook!"/>
    <n v="400"/>
    <n v="680"/>
    <n v="434"/>
    <n v="6400"/>
    <n v="5472"/>
    <n v="160"/>
    <x v="0"/>
    <x v="1"/>
    <n v="45566"/>
    <n v="45596"/>
    <s v="Before Campaign"/>
    <x v="241"/>
    <n v="0.23656250000000001"/>
    <d v="2024-10-01T00:00:00"/>
    <d v="2024-10-31T00:00:00"/>
    <x v="1"/>
    <x v="1"/>
    <n v="7.5700000000000003E-3"/>
    <x v="3"/>
    <x v="38"/>
    <m/>
    <x v="3"/>
  </r>
  <r>
    <x v="246"/>
    <x v="3"/>
    <d v="2024-08-27T00:00:00"/>
    <x v="0"/>
    <s v="Check out our latest reel on facebook!"/>
    <n v="3960"/>
    <n v="266"/>
    <n v="8"/>
    <n v="35640"/>
    <n v="34850"/>
    <n v="208"/>
    <x v="0"/>
    <x v="4"/>
    <n v="0"/>
    <n v="0"/>
    <s v="Before Campaign"/>
    <x v="242"/>
    <n v="0.11879910213243547"/>
    <s v="not found"/>
    <s v="not found"/>
    <x v="0"/>
    <x v="4"/>
    <e v="#VALUE!"/>
    <x v="3"/>
    <x v="7"/>
    <m/>
    <x v="3"/>
  </r>
  <r>
    <x v="246"/>
    <x v="3"/>
    <d v="2024-08-27T00:00:00"/>
    <x v="0"/>
    <s v="Check out our latest reel on facebook!"/>
    <n v="3960"/>
    <n v="266"/>
    <n v="8"/>
    <n v="35640"/>
    <n v="34850"/>
    <n v="208"/>
    <x v="4"/>
    <x v="4"/>
    <n v="0"/>
    <n v="0"/>
    <s v="Before Campaign"/>
    <x v="242"/>
    <n v="0.11879910213243547"/>
    <s v="not found"/>
    <s v="not found"/>
    <x v="0"/>
    <x v="4"/>
    <e v="#VALUE!"/>
    <x v="3"/>
    <x v="7"/>
    <m/>
    <x v="3"/>
  </r>
  <r>
    <x v="246"/>
    <x v="3"/>
    <d v="2024-08-27T00:00:00"/>
    <x v="0"/>
    <s v="Check out our latest reel on facebook!"/>
    <n v="3960"/>
    <n v="266"/>
    <n v="8"/>
    <n v="35640"/>
    <n v="34850"/>
    <n v="208"/>
    <x v="3"/>
    <x v="4"/>
    <n v="0"/>
    <n v="0"/>
    <s v="Before Campaign"/>
    <x v="242"/>
    <n v="0.11879910213243547"/>
    <s v="not found"/>
    <s v="not found"/>
    <x v="0"/>
    <x v="4"/>
    <e v="#VALUE!"/>
    <x v="3"/>
    <x v="7"/>
    <m/>
    <x v="3"/>
  </r>
  <r>
    <x v="247"/>
    <x v="3"/>
    <d v="2025-02-02T00:00:00"/>
    <x v="2"/>
    <s v="Check out our latest story on facebook!"/>
    <n v="886"/>
    <n v="126"/>
    <n v="153"/>
    <n v="4430"/>
    <n v="4037"/>
    <n v="212"/>
    <x v="4"/>
    <x v="4"/>
    <n v="0"/>
    <n v="0"/>
    <s v="Before Campaign"/>
    <x v="243"/>
    <n v="0.26297968397291194"/>
    <s v="not found"/>
    <s v="not found"/>
    <x v="0"/>
    <x v="4"/>
    <e v="#VALUE!"/>
    <x v="3"/>
    <x v="9"/>
    <m/>
    <x v="3"/>
  </r>
  <r>
    <x v="248"/>
    <x v="0"/>
    <d v="2024-07-18T00:00:00"/>
    <x v="4"/>
    <s v="Check out our latest image on twitter!"/>
    <n v="827"/>
    <n v="77"/>
    <n v="402"/>
    <n v="14886"/>
    <n v="14129"/>
    <n v="254"/>
    <x v="4"/>
    <x v="1"/>
    <n v="45566"/>
    <n v="45596"/>
    <s v="Before Campaign"/>
    <x v="244"/>
    <n v="8.7733440816874911E-2"/>
    <d v="2024-10-01T00:00:00"/>
    <d v="2024-10-31T00:00:00"/>
    <x v="0"/>
    <x v="1"/>
    <n v="6.5300000000000002E-3"/>
    <x v="0"/>
    <x v="46"/>
    <m/>
    <x v="0"/>
  </r>
  <r>
    <x v="249"/>
    <x v="3"/>
    <d v="2024-06-22T00:00:00"/>
    <x v="0"/>
    <s v="Check out our latest reel on facebook!"/>
    <n v="3813"/>
    <n v="935"/>
    <n v="274"/>
    <n v="68634"/>
    <n v="68488"/>
    <n v="251"/>
    <x v="0"/>
    <x v="4"/>
    <n v="0"/>
    <n v="0"/>
    <s v="Before Campaign"/>
    <x v="16"/>
    <n v="7.3170731707317069E-2"/>
    <s v="not found"/>
    <s v="not found"/>
    <x v="0"/>
    <x v="4"/>
    <e v="#VALUE!"/>
    <x v="3"/>
    <x v="35"/>
    <m/>
    <x v="3"/>
  </r>
  <r>
    <x v="250"/>
    <x v="2"/>
    <d v="2025-03-27T00:00:00"/>
    <x v="3"/>
    <s v="Check out our latest carousel on instagram!"/>
    <n v="1377"/>
    <n v="796"/>
    <n v="387"/>
    <n v="22032"/>
    <n v="21869"/>
    <n v="189"/>
    <x v="0"/>
    <x v="4"/>
    <n v="0"/>
    <n v="0"/>
    <s v="Before Campaign"/>
    <x v="245"/>
    <n v="0.11619462599854757"/>
    <s v="not found"/>
    <s v="not found"/>
    <x v="0"/>
    <x v="4"/>
    <e v="#VALUE!"/>
    <x v="2"/>
    <x v="27"/>
    <m/>
    <x v="2"/>
  </r>
  <r>
    <x v="251"/>
    <x v="3"/>
    <d v="2025-04-28T00:00:00"/>
    <x v="3"/>
    <s v="Check out our latest carousel on facebook!"/>
    <n v="2089"/>
    <n v="476"/>
    <n v="69"/>
    <n v="16712"/>
    <n v="16309"/>
    <n v="64"/>
    <x v="0"/>
    <x v="2"/>
    <n v="45651"/>
    <n v="45667"/>
    <s v="Before Campaign"/>
    <x v="113"/>
    <n v="0.15761129727142173"/>
    <d v="2024-12-25T00:00:00"/>
    <d v="2025-01-10T00:00:00"/>
    <x v="0"/>
    <x v="2"/>
    <n v="1.0536E-2"/>
    <x v="3"/>
    <x v="32"/>
    <m/>
    <x v="3"/>
  </r>
  <r>
    <x v="252"/>
    <x v="0"/>
    <d v="2024-08-03T00:00:00"/>
    <x v="0"/>
    <s v="Check out our latest reel on twitter!"/>
    <n v="3791"/>
    <n v="593"/>
    <n v="228"/>
    <n v="53074"/>
    <n v="52613"/>
    <n v="205"/>
    <x v="4"/>
    <x v="4"/>
    <n v="0"/>
    <n v="0"/>
    <s v="Before Campaign"/>
    <x v="246"/>
    <n v="8.6897539284772202E-2"/>
    <s v="not found"/>
    <s v="not found"/>
    <x v="0"/>
    <x v="4"/>
    <e v="#VALUE!"/>
    <x v="0"/>
    <x v="26"/>
    <m/>
    <x v="0"/>
  </r>
  <r>
    <x v="253"/>
    <x v="0"/>
    <d v="2025-01-14T00:00:00"/>
    <x v="4"/>
    <s v="Check out our latest image on twitter!"/>
    <n v="2692"/>
    <n v="115"/>
    <n v="64"/>
    <n v="21536"/>
    <n v="21120"/>
    <n v="224"/>
    <x v="0"/>
    <x v="1"/>
    <n v="45566"/>
    <n v="45596"/>
    <s v="Before Campaign"/>
    <x v="247"/>
    <n v="0.13331166419019316"/>
    <d v="2024-10-01T00:00:00"/>
    <d v="2024-10-31T00:00:00"/>
    <x v="0"/>
    <x v="1"/>
    <n v="1.4355E-2"/>
    <x v="0"/>
    <x v="49"/>
    <m/>
    <x v="0"/>
  </r>
  <r>
    <x v="254"/>
    <x v="3"/>
    <d v="2025-04-03T00:00:00"/>
    <x v="2"/>
    <s v="Check out our latest story on facebook!"/>
    <n v="3767"/>
    <n v="514"/>
    <n v="238"/>
    <n v="37670"/>
    <n v="36807"/>
    <n v="226"/>
    <x v="0"/>
    <x v="3"/>
    <n v="45717"/>
    <n v="45747"/>
    <s v="Before Campaign"/>
    <x v="248"/>
    <n v="0.11996283514733209"/>
    <d v="2025-03-01T00:00:00"/>
    <d v="2025-03-31T00:00:00"/>
    <x v="0"/>
    <x v="3"/>
    <n v="2.5105555555555555E-2"/>
    <x v="3"/>
    <x v="1"/>
    <m/>
    <x v="3"/>
  </r>
  <r>
    <x v="255"/>
    <x v="1"/>
    <d v="2024-09-18T00:00:00"/>
    <x v="3"/>
    <s v="Check out our latest carousel on youtube!"/>
    <n v="2143"/>
    <n v="12"/>
    <n v="204"/>
    <n v="40717"/>
    <n v="40125"/>
    <n v="248"/>
    <x v="4"/>
    <x v="1"/>
    <n v="45566"/>
    <n v="45596"/>
    <s v="Before Campaign"/>
    <x v="249"/>
    <n v="5.7936488444630008E-2"/>
    <d v="2024-10-01T00:00:00"/>
    <d v="2024-10-31T00:00:00"/>
    <x v="0"/>
    <x v="1"/>
    <n v="1.1795E-2"/>
    <x v="1"/>
    <x v="22"/>
    <m/>
    <x v="1"/>
  </r>
  <r>
    <x v="256"/>
    <x v="3"/>
    <d v="2025-04-06T00:00:00"/>
    <x v="4"/>
    <s v="Check out our latest image on facebook!"/>
    <n v="3090"/>
    <n v="697"/>
    <n v="164"/>
    <n v="49440"/>
    <n v="48524"/>
    <n v="25"/>
    <x v="4"/>
    <x v="1"/>
    <n v="45566"/>
    <n v="45596"/>
    <s v="Before Campaign"/>
    <x v="250"/>
    <n v="7.9915048543689318E-2"/>
    <d v="2024-10-01T00:00:00"/>
    <d v="2024-10-31T00:00:00"/>
    <x v="0"/>
    <x v="1"/>
    <n v="1.9755000000000002E-2"/>
    <x v="3"/>
    <x v="21"/>
    <m/>
    <x v="3"/>
  </r>
  <r>
    <x v="256"/>
    <x v="3"/>
    <d v="2025-04-06T00:00:00"/>
    <x v="4"/>
    <s v="Check out our latest image on facebook!"/>
    <n v="3090"/>
    <n v="697"/>
    <n v="164"/>
    <n v="49440"/>
    <n v="48524"/>
    <n v="25"/>
    <x v="4"/>
    <x v="1"/>
    <n v="45566"/>
    <n v="45596"/>
    <s v="Before Campaign"/>
    <x v="250"/>
    <n v="7.9915048543689318E-2"/>
    <d v="2024-10-01T00:00:00"/>
    <d v="2024-10-31T00:00:00"/>
    <x v="0"/>
    <x v="1"/>
    <n v="1.9755000000000002E-2"/>
    <x v="3"/>
    <x v="21"/>
    <m/>
    <x v="3"/>
  </r>
  <r>
    <x v="256"/>
    <x v="3"/>
    <d v="2025-04-06T00:00:00"/>
    <x v="4"/>
    <s v="Check out our latest image on facebook!"/>
    <n v="3090"/>
    <n v="697"/>
    <n v="164"/>
    <n v="49440"/>
    <n v="48524"/>
    <n v="25"/>
    <x v="3"/>
    <x v="1"/>
    <n v="45566"/>
    <n v="45596"/>
    <s v="Before Campaign"/>
    <x v="250"/>
    <n v="7.9915048543689318E-2"/>
    <d v="2024-10-01T00:00:00"/>
    <d v="2024-10-31T00:00:00"/>
    <x v="0"/>
    <x v="1"/>
    <n v="1.9755000000000002E-2"/>
    <x v="3"/>
    <x v="21"/>
    <m/>
    <x v="3"/>
  </r>
  <r>
    <x v="257"/>
    <x v="2"/>
    <d v="2024-08-05T00:00:00"/>
    <x v="2"/>
    <s v="Check out our latest story on instagram!"/>
    <n v="3601"/>
    <n v="695"/>
    <n v="75"/>
    <n v="21606"/>
    <n v="21454"/>
    <n v="172"/>
    <x v="4"/>
    <x v="1"/>
    <n v="45566"/>
    <n v="45596"/>
    <s v="Before Campaign"/>
    <x v="251"/>
    <n v="0.2023049153013052"/>
    <d v="2024-10-01T00:00:00"/>
    <d v="2024-10-31T00:00:00"/>
    <x v="0"/>
    <x v="1"/>
    <n v="2.1854999999999999E-2"/>
    <x v="2"/>
    <x v="41"/>
    <m/>
    <x v="2"/>
  </r>
  <r>
    <x v="258"/>
    <x v="3"/>
    <d v="2025-02-10T00:00:00"/>
    <x v="1"/>
    <s v="Check out our latest text on facebook!"/>
    <n v="562"/>
    <n v="158"/>
    <n v="149"/>
    <n v="3372"/>
    <n v="2940"/>
    <n v="93"/>
    <x v="2"/>
    <x v="0"/>
    <n v="45458"/>
    <n v="45488"/>
    <s v="Before Campaign"/>
    <x v="252"/>
    <n v="0.25771055753262156"/>
    <d v="2024-06-15T00:00:00"/>
    <d v="2024-07-15T00:00:00"/>
    <x v="0"/>
    <x v="0"/>
    <n v="5.7933333333333335E-3"/>
    <x v="3"/>
    <x v="40"/>
    <m/>
    <x v="3"/>
  </r>
  <r>
    <x v="259"/>
    <x v="2"/>
    <d v="2025-02-12T00:00:00"/>
    <x v="2"/>
    <s v="Check out our latest story on instagram!"/>
    <n v="4332"/>
    <n v="771"/>
    <n v="219"/>
    <n v="60648"/>
    <n v="60397"/>
    <n v="10"/>
    <x v="2"/>
    <x v="2"/>
    <n v="45651"/>
    <n v="45667"/>
    <s v="Before Campaign"/>
    <x v="253"/>
    <n v="8.7752275425405618E-2"/>
    <d v="2024-12-25T00:00:00"/>
    <d v="2025-01-10T00:00:00"/>
    <x v="0"/>
    <x v="2"/>
    <n v="2.1288000000000001E-2"/>
    <x v="2"/>
    <x v="40"/>
    <m/>
    <x v="2"/>
  </r>
  <r>
    <x v="259"/>
    <x v="2"/>
    <d v="2025-02-12T00:00:00"/>
    <x v="2"/>
    <s v="Check out our latest story on instagram!"/>
    <n v="4332"/>
    <n v="771"/>
    <n v="219"/>
    <n v="60648"/>
    <n v="60397"/>
    <n v="10"/>
    <x v="4"/>
    <x v="2"/>
    <n v="45651"/>
    <n v="45667"/>
    <s v="Before Campaign"/>
    <x v="253"/>
    <n v="8.7752275425405618E-2"/>
    <d v="2024-12-25T00:00:00"/>
    <d v="2025-01-10T00:00:00"/>
    <x v="0"/>
    <x v="2"/>
    <n v="2.1288000000000001E-2"/>
    <x v="2"/>
    <x v="40"/>
    <m/>
    <x v="2"/>
  </r>
  <r>
    <x v="259"/>
    <x v="2"/>
    <d v="2025-02-12T00:00:00"/>
    <x v="2"/>
    <s v="Check out our latest story on instagram!"/>
    <n v="4332"/>
    <n v="771"/>
    <n v="219"/>
    <n v="60648"/>
    <n v="60397"/>
    <n v="10"/>
    <x v="3"/>
    <x v="2"/>
    <n v="45651"/>
    <n v="45667"/>
    <s v="Before Campaign"/>
    <x v="253"/>
    <n v="8.7752275425405618E-2"/>
    <d v="2024-12-25T00:00:00"/>
    <d v="2025-01-10T00:00:00"/>
    <x v="0"/>
    <x v="2"/>
    <n v="2.1288000000000001E-2"/>
    <x v="2"/>
    <x v="40"/>
    <m/>
    <x v="2"/>
  </r>
  <r>
    <x v="260"/>
    <x v="2"/>
    <d v="2024-10-27T00:00:00"/>
    <x v="4"/>
    <s v="Check out our latest image on instagram!"/>
    <n v="4853"/>
    <n v="837"/>
    <n v="340"/>
    <n v="72795"/>
    <n v="72237"/>
    <n v="170"/>
    <x v="4"/>
    <x v="0"/>
    <n v="45458"/>
    <n v="45488"/>
    <s v="Before Campaign"/>
    <x v="254"/>
    <n v="8.2835359571399134E-2"/>
    <d v="2024-06-15T00:00:00"/>
    <d v="2024-07-15T00:00:00"/>
    <x v="0"/>
    <x v="0"/>
    <n v="4.02E-2"/>
    <x v="2"/>
    <x v="5"/>
    <m/>
    <x v="2"/>
  </r>
  <r>
    <x v="261"/>
    <x v="1"/>
    <d v="2025-01-18T00:00:00"/>
    <x v="4"/>
    <s v="Check out our latest image on youtube!"/>
    <n v="1206"/>
    <n v="238"/>
    <n v="36"/>
    <n v="9648"/>
    <n v="9417"/>
    <n v="237"/>
    <x v="2"/>
    <x v="4"/>
    <n v="0"/>
    <n v="0"/>
    <s v="Before Campaign"/>
    <x v="255"/>
    <n v="0.15339966832504145"/>
    <s v="not found"/>
    <s v="not found"/>
    <x v="0"/>
    <x v="4"/>
    <e v="#VALUE!"/>
    <x v="1"/>
    <x v="49"/>
    <m/>
    <x v="1"/>
  </r>
  <r>
    <x v="262"/>
    <x v="2"/>
    <d v="2024-08-20T00:00:00"/>
    <x v="0"/>
    <s v="Check out our latest reel on instagram!"/>
    <n v="2603"/>
    <n v="690"/>
    <n v="205"/>
    <n v="13015"/>
    <n v="12130"/>
    <n v="20"/>
    <x v="0"/>
    <x v="1"/>
    <n v="45566"/>
    <n v="45596"/>
    <s v="Before Campaign"/>
    <x v="256"/>
    <n v="0.26876680752977333"/>
    <d v="2024-10-01T00:00:00"/>
    <d v="2024-10-31T00:00:00"/>
    <x v="0"/>
    <x v="1"/>
    <n v="1.7489999999999999E-2"/>
    <x v="2"/>
    <x v="15"/>
    <m/>
    <x v="2"/>
  </r>
  <r>
    <x v="263"/>
    <x v="0"/>
    <d v="2025-01-30T00:00:00"/>
    <x v="4"/>
    <s v="Check out our latest image on twitter!"/>
    <n v="59"/>
    <n v="163"/>
    <n v="93"/>
    <n v="590"/>
    <n v="475"/>
    <n v="293"/>
    <x v="2"/>
    <x v="1"/>
    <n v="45566"/>
    <n v="45596"/>
    <s v="Before Campaign"/>
    <x v="257"/>
    <n v="0.53389830508474578"/>
    <d v="2024-10-01T00:00:00"/>
    <d v="2024-10-31T00:00:00"/>
    <x v="0"/>
    <x v="1"/>
    <n v="1.575E-3"/>
    <x v="0"/>
    <x v="24"/>
    <m/>
    <x v="0"/>
  </r>
  <r>
    <x v="264"/>
    <x v="0"/>
    <d v="2025-02-20T00:00:00"/>
    <x v="3"/>
    <s v="Check out our latest carousel on twitter!"/>
    <n v="1877"/>
    <n v="745"/>
    <n v="225"/>
    <n v="11262"/>
    <n v="10967"/>
    <n v="41"/>
    <x v="4"/>
    <x v="3"/>
    <n v="45717"/>
    <n v="45747"/>
    <s v="Before Campaign"/>
    <x v="42"/>
    <n v="0.25279701651571657"/>
    <d v="2025-03-01T00:00:00"/>
    <d v="2025-03-31T00:00:00"/>
    <x v="0"/>
    <x v="3"/>
    <n v="1.5816666666666666E-2"/>
    <x v="0"/>
    <x v="12"/>
    <m/>
    <x v="0"/>
  </r>
  <r>
    <x v="265"/>
    <x v="3"/>
    <d v="2024-11-25T00:00:00"/>
    <x v="2"/>
    <s v="Check out our latest story on facebook!"/>
    <n v="4182"/>
    <n v="640"/>
    <n v="240"/>
    <n v="50184"/>
    <n v="49351"/>
    <n v="10"/>
    <x v="2"/>
    <x v="2"/>
    <n v="45651"/>
    <n v="45667"/>
    <s v="Before Campaign"/>
    <x v="258"/>
    <n v="0.10086880280567512"/>
    <d v="2024-12-25T00:00:00"/>
    <d v="2025-01-10T00:00:00"/>
    <x v="0"/>
    <x v="2"/>
    <n v="2.0247999999999999E-2"/>
    <x v="3"/>
    <x v="28"/>
    <m/>
    <x v="3"/>
  </r>
  <r>
    <x v="266"/>
    <x v="0"/>
    <d v="2024-10-04T00:00:00"/>
    <x v="0"/>
    <s v="Check out our latest reel on twitter!"/>
    <n v="4187"/>
    <n v="66"/>
    <n v="31"/>
    <n v="66992"/>
    <n v="66614"/>
    <n v="62"/>
    <x v="0"/>
    <x v="4"/>
    <n v="0"/>
    <n v="0"/>
    <s v="Before Campaign"/>
    <x v="259"/>
    <n v="6.3947934081681396E-2"/>
    <s v="not found"/>
    <s v="not found"/>
    <x v="0"/>
    <x v="4"/>
    <e v="#VALUE!"/>
    <x v="0"/>
    <x v="42"/>
    <m/>
    <x v="0"/>
  </r>
  <r>
    <x v="267"/>
    <x v="2"/>
    <d v="2025-04-13T00:00:00"/>
    <x v="0"/>
    <s v="Check out our latest reel on instagram!"/>
    <n v="4579"/>
    <n v="125"/>
    <n v="300"/>
    <n v="59527"/>
    <n v="59400"/>
    <n v="269"/>
    <x v="4"/>
    <x v="0"/>
    <n v="45458"/>
    <n v="45488"/>
    <s v="Before Campaign"/>
    <x v="260"/>
    <n v="8.4062694239588759E-2"/>
    <d v="2024-06-15T00:00:00"/>
    <d v="2024-07-15T00:00:00"/>
    <x v="0"/>
    <x v="0"/>
    <n v="3.3360000000000001E-2"/>
    <x v="2"/>
    <x v="29"/>
    <m/>
    <x v="2"/>
  </r>
  <r>
    <x v="268"/>
    <x v="2"/>
    <d v="2024-11-05T00:00:00"/>
    <x v="5"/>
    <s v="Check out our latest video on instagram!"/>
    <n v="4561"/>
    <n v="51"/>
    <n v="441"/>
    <n v="22805"/>
    <n v="21890"/>
    <n v="45"/>
    <x v="2"/>
    <x v="1"/>
    <n v="45566"/>
    <n v="45596"/>
    <s v="Before Campaign"/>
    <x v="261"/>
    <n v="0.22157421618066214"/>
    <d v="2024-10-01T00:00:00"/>
    <d v="2024-10-31T00:00:00"/>
    <x v="0"/>
    <x v="1"/>
    <n v="2.5264999999999999E-2"/>
    <x v="2"/>
    <x v="19"/>
    <m/>
    <x v="2"/>
  </r>
  <r>
    <x v="269"/>
    <x v="1"/>
    <d v="2025-01-15T00:00:00"/>
    <x v="0"/>
    <s v="Check out our latest reel on youtube!"/>
    <n v="3774"/>
    <n v="239"/>
    <n v="39"/>
    <n v="60384"/>
    <n v="59490"/>
    <n v="241"/>
    <x v="2"/>
    <x v="2"/>
    <n v="45651"/>
    <n v="45667"/>
    <s v="Before Campaign"/>
    <x v="262"/>
    <n v="6.7103868574456813E-2"/>
    <d v="2024-12-25T00:00:00"/>
    <d v="2025-01-10T00:00:00"/>
    <x v="0"/>
    <x v="2"/>
    <n v="1.6208E-2"/>
    <x v="1"/>
    <x v="49"/>
    <m/>
    <x v="1"/>
  </r>
  <r>
    <x v="270"/>
    <x v="2"/>
    <d v="2024-10-17T00:00:00"/>
    <x v="5"/>
    <s v="Check out our latest video on instagram!"/>
    <n v="3575"/>
    <n v="749"/>
    <n v="111"/>
    <n v="21450"/>
    <n v="20785"/>
    <n v="195"/>
    <x v="4"/>
    <x v="1"/>
    <n v="45566"/>
    <n v="45596"/>
    <s v="Before Campaign"/>
    <x v="263"/>
    <n v="0.20675990675990677"/>
    <d v="2024-10-01T00:00:00"/>
    <d v="2024-10-31T00:00:00"/>
    <x v="1"/>
    <x v="1"/>
    <n v="2.2175E-2"/>
    <x v="2"/>
    <x v="37"/>
    <m/>
    <x v="2"/>
  </r>
  <r>
    <x v="271"/>
    <x v="2"/>
    <d v="2025-03-27T00:00:00"/>
    <x v="1"/>
    <s v="Check out our latest text on instagram!"/>
    <n v="4941"/>
    <n v="414"/>
    <n v="266"/>
    <n v="39528"/>
    <n v="39154"/>
    <n v="217"/>
    <x v="2"/>
    <x v="2"/>
    <n v="45651"/>
    <n v="45667"/>
    <s v="Before Campaign"/>
    <x v="264"/>
    <n v="0.14220299534507186"/>
    <d v="2024-12-25T00:00:00"/>
    <d v="2025-01-10T00:00:00"/>
    <x v="0"/>
    <x v="2"/>
    <n v="2.2484000000000001E-2"/>
    <x v="2"/>
    <x v="27"/>
    <m/>
    <x v="2"/>
  </r>
  <r>
    <x v="272"/>
    <x v="1"/>
    <d v="2024-10-12T00:00:00"/>
    <x v="2"/>
    <s v="Check out our latest story on youtube!"/>
    <n v="3641"/>
    <n v="226"/>
    <n v="46"/>
    <n v="40051"/>
    <n v="39319"/>
    <n v="296"/>
    <x v="4"/>
    <x v="3"/>
    <n v="45717"/>
    <n v="45747"/>
    <s v="Before Campaign"/>
    <x v="265"/>
    <n v="9.7700431949264685E-2"/>
    <d v="2025-03-01T00:00:00"/>
    <d v="2025-03-31T00:00:00"/>
    <x v="0"/>
    <x v="3"/>
    <n v="2.1738888888888887E-2"/>
    <x v="1"/>
    <x v="38"/>
    <m/>
    <x v="1"/>
  </r>
  <r>
    <x v="273"/>
    <x v="0"/>
    <d v="2025-01-01T00:00:00"/>
    <x v="3"/>
    <s v="Check out our latest carousel on twitter!"/>
    <n v="3535"/>
    <n v="494"/>
    <n v="152"/>
    <n v="53025"/>
    <n v="52791"/>
    <n v="44"/>
    <x v="2"/>
    <x v="3"/>
    <n v="45717"/>
    <n v="45747"/>
    <s v="Before Campaign"/>
    <x v="266"/>
    <n v="7.8849599245638849E-2"/>
    <d v="2025-03-01T00:00:00"/>
    <d v="2025-03-31T00:00:00"/>
    <x v="0"/>
    <x v="3"/>
    <n v="2.3227777777777778E-2"/>
    <x v="0"/>
    <x v="17"/>
    <m/>
    <x v="0"/>
  </r>
  <r>
    <x v="274"/>
    <x v="3"/>
    <d v="2024-08-05T00:00:00"/>
    <x v="0"/>
    <s v="Check out our latest reel on facebook!"/>
    <n v="1741"/>
    <n v="831"/>
    <n v="345"/>
    <n v="17410"/>
    <n v="16844"/>
    <n v="58"/>
    <x v="4"/>
    <x v="2"/>
    <n v="45651"/>
    <n v="45667"/>
    <s v="Before Campaign"/>
    <x v="267"/>
    <n v="0.16754738655944859"/>
    <d v="2024-12-25T00:00:00"/>
    <d v="2025-01-10T00:00:00"/>
    <x v="0"/>
    <x v="2"/>
    <n v="1.1668E-2"/>
    <x v="3"/>
    <x v="41"/>
    <m/>
    <x v="3"/>
  </r>
  <r>
    <x v="275"/>
    <x v="0"/>
    <d v="2024-06-07T00:00:00"/>
    <x v="3"/>
    <s v="Check out our latest carousel on twitter!"/>
    <n v="1556"/>
    <n v="195"/>
    <n v="131"/>
    <n v="9336"/>
    <n v="8875"/>
    <n v="137"/>
    <x v="2"/>
    <x v="1"/>
    <n v="45566"/>
    <n v="45596"/>
    <s v="Before Campaign"/>
    <x v="268"/>
    <n v="0.2015852613538989"/>
    <d v="2024-10-01T00:00:00"/>
    <d v="2024-10-31T00:00:00"/>
    <x v="0"/>
    <x v="1"/>
    <n v="9.41E-3"/>
    <x v="0"/>
    <x v="39"/>
    <m/>
    <x v="0"/>
  </r>
  <r>
    <x v="276"/>
    <x v="3"/>
    <d v="2025-04-06T00:00:00"/>
    <x v="4"/>
    <s v="Check out our latest image on facebook!"/>
    <n v="4236"/>
    <n v="711"/>
    <n v="298"/>
    <n v="21180"/>
    <n v="20516"/>
    <n v="238"/>
    <x v="0"/>
    <x v="0"/>
    <n v="45458"/>
    <n v="45488"/>
    <s v="Before Campaign"/>
    <x v="269"/>
    <n v="0.24763928234183191"/>
    <d v="2024-06-15T00:00:00"/>
    <d v="2024-07-15T00:00:00"/>
    <x v="0"/>
    <x v="0"/>
    <n v="3.4966666666666667E-2"/>
    <x v="3"/>
    <x v="21"/>
    <m/>
    <x v="3"/>
  </r>
  <r>
    <x v="277"/>
    <x v="0"/>
    <d v="2024-11-26T00:00:00"/>
    <x v="1"/>
    <s v="Check out our latest text on twitter!"/>
    <n v="4516"/>
    <n v="836"/>
    <n v="169"/>
    <n v="49676"/>
    <n v="49257"/>
    <n v="282"/>
    <x v="4"/>
    <x v="3"/>
    <n v="45717"/>
    <n v="45747"/>
    <s v="Before Campaign"/>
    <x v="270"/>
    <n v="0.11114018842096787"/>
    <d v="2025-03-01T00:00:00"/>
    <d v="2025-03-31T00:00:00"/>
    <x v="0"/>
    <x v="3"/>
    <n v="3.0672222222222222E-2"/>
    <x v="0"/>
    <x v="28"/>
    <m/>
    <x v="0"/>
  </r>
  <r>
    <x v="278"/>
    <x v="1"/>
    <d v="2024-09-02T00:00:00"/>
    <x v="4"/>
    <s v="Check out our latest image on youtube!"/>
    <n v="4905"/>
    <n v="845"/>
    <n v="129"/>
    <n v="98100"/>
    <n v="97772"/>
    <n v="279"/>
    <x v="2"/>
    <x v="1"/>
    <n v="45566"/>
    <n v="45596"/>
    <s v="Before Campaign"/>
    <x v="271"/>
    <n v="5.9928644240570844E-2"/>
    <d v="2024-10-01T00:00:00"/>
    <d v="2024-10-31T00:00:00"/>
    <x v="0"/>
    <x v="1"/>
    <n v="2.9395000000000001E-2"/>
    <x v="1"/>
    <x v="36"/>
    <m/>
    <x v="1"/>
  </r>
  <r>
    <x v="279"/>
    <x v="1"/>
    <d v="2024-10-21T00:00:00"/>
    <x v="5"/>
    <s v="Check out our latest video on youtube!"/>
    <n v="4275"/>
    <n v="680"/>
    <n v="385"/>
    <n v="64125"/>
    <n v="63650"/>
    <n v="104"/>
    <x v="4"/>
    <x v="3"/>
    <n v="45717"/>
    <n v="45747"/>
    <s v="Before Campaign"/>
    <x v="272"/>
    <n v="8.3274853801169585E-2"/>
    <d v="2025-03-01T00:00:00"/>
    <d v="2025-03-31T00:00:00"/>
    <x v="0"/>
    <x v="3"/>
    <n v="2.9666666666666668E-2"/>
    <x v="1"/>
    <x v="13"/>
    <m/>
    <x v="1"/>
  </r>
  <r>
    <x v="279"/>
    <x v="1"/>
    <d v="2024-10-21T00:00:00"/>
    <x v="5"/>
    <s v="Check out our latest video on youtube!"/>
    <n v="4275"/>
    <n v="680"/>
    <n v="385"/>
    <n v="64125"/>
    <n v="63650"/>
    <n v="104"/>
    <x v="2"/>
    <x v="3"/>
    <n v="45717"/>
    <n v="45747"/>
    <s v="Before Campaign"/>
    <x v="272"/>
    <n v="8.3274853801169585E-2"/>
    <d v="2025-03-01T00:00:00"/>
    <d v="2025-03-31T00:00:00"/>
    <x v="0"/>
    <x v="3"/>
    <n v="2.9666666666666668E-2"/>
    <x v="1"/>
    <x v="13"/>
    <m/>
    <x v="1"/>
  </r>
  <r>
    <x v="279"/>
    <x v="1"/>
    <d v="2024-10-21T00:00:00"/>
    <x v="5"/>
    <s v="Check out our latest video on youtube!"/>
    <n v="4275"/>
    <n v="680"/>
    <n v="385"/>
    <n v="64125"/>
    <n v="63650"/>
    <n v="104"/>
    <x v="1"/>
    <x v="3"/>
    <n v="45717"/>
    <n v="45747"/>
    <s v="Before Campaign"/>
    <x v="272"/>
    <n v="8.3274853801169585E-2"/>
    <d v="2025-03-01T00:00:00"/>
    <d v="2025-03-31T00:00:00"/>
    <x v="0"/>
    <x v="3"/>
    <n v="2.9666666666666668E-2"/>
    <x v="1"/>
    <x v="13"/>
    <m/>
    <x v="1"/>
  </r>
  <r>
    <x v="280"/>
    <x v="1"/>
    <d v="2025-03-22T00:00:00"/>
    <x v="4"/>
    <s v="Check out our latest image on youtube!"/>
    <n v="3166"/>
    <n v="90"/>
    <n v="341"/>
    <n v="56988"/>
    <n v="56125"/>
    <n v="135"/>
    <x v="4"/>
    <x v="1"/>
    <n v="45566"/>
    <n v="45596"/>
    <s v="Before Campaign"/>
    <x v="273"/>
    <n v="6.3118551273952411E-2"/>
    <d v="2024-10-01T00:00:00"/>
    <d v="2024-10-31T00:00:00"/>
    <x v="0"/>
    <x v="1"/>
    <n v="1.7985000000000001E-2"/>
    <x v="1"/>
    <x v="44"/>
    <m/>
    <x v="1"/>
  </r>
  <r>
    <x v="281"/>
    <x v="2"/>
    <d v="2024-10-03T00:00:00"/>
    <x v="5"/>
    <s v="Check out our latest video on instagram!"/>
    <n v="1488"/>
    <n v="417"/>
    <n v="168"/>
    <n v="19344"/>
    <n v="18395"/>
    <n v="30"/>
    <x v="0"/>
    <x v="2"/>
    <n v="45651"/>
    <n v="45667"/>
    <s v="Before Campaign"/>
    <x v="274"/>
    <n v="0.1071650124069479"/>
    <d v="2024-12-25T00:00:00"/>
    <d v="2025-01-10T00:00:00"/>
    <x v="0"/>
    <x v="2"/>
    <n v="8.2920000000000008E-3"/>
    <x v="2"/>
    <x v="42"/>
    <m/>
    <x v="2"/>
  </r>
  <r>
    <x v="282"/>
    <x v="0"/>
    <d v="2025-05-09T00:00:00"/>
    <x v="0"/>
    <s v="Check out our latest reel on twitter!"/>
    <n v="3367"/>
    <n v="302"/>
    <n v="57"/>
    <n v="63973"/>
    <n v="63789"/>
    <n v="157"/>
    <x v="0"/>
    <x v="1"/>
    <n v="45566"/>
    <n v="45596"/>
    <s v="Before Campaign"/>
    <x v="275"/>
    <n v="5.8243321401216137E-2"/>
    <d v="2024-10-01T00:00:00"/>
    <d v="2024-10-31T00:00:00"/>
    <x v="0"/>
    <x v="1"/>
    <n v="1.8630000000000001E-2"/>
    <x v="0"/>
    <x v="14"/>
    <m/>
    <x v="0"/>
  </r>
  <r>
    <x v="283"/>
    <x v="0"/>
    <d v="2024-09-17T00:00:00"/>
    <x v="1"/>
    <s v="Check out our latest text on twitter!"/>
    <n v="571"/>
    <n v="190"/>
    <n v="352"/>
    <n v="9707"/>
    <n v="9418"/>
    <n v="231"/>
    <x v="2"/>
    <x v="3"/>
    <n v="45717"/>
    <n v="45747"/>
    <s v="Before Campaign"/>
    <x v="276"/>
    <n v="0.11465952405480581"/>
    <d v="2025-03-01T00:00:00"/>
    <d v="2025-03-31T00:00:00"/>
    <x v="0"/>
    <x v="3"/>
    <n v="6.1833333333333332E-3"/>
    <x v="0"/>
    <x v="22"/>
    <m/>
    <x v="0"/>
  </r>
  <r>
    <x v="284"/>
    <x v="1"/>
    <d v="2024-07-18T00:00:00"/>
    <x v="1"/>
    <s v="Check out our latest text on youtube!"/>
    <n v="4021"/>
    <n v="794"/>
    <n v="77"/>
    <n v="36189"/>
    <n v="35505"/>
    <n v="174"/>
    <x v="4"/>
    <x v="4"/>
    <n v="0"/>
    <n v="0"/>
    <s v="Before Campaign"/>
    <x v="277"/>
    <n v="0.13517919809886983"/>
    <s v="not found"/>
    <s v="not found"/>
    <x v="0"/>
    <x v="4"/>
    <e v="#VALUE!"/>
    <x v="1"/>
    <x v="46"/>
    <m/>
    <x v="1"/>
  </r>
  <r>
    <x v="285"/>
    <x v="1"/>
    <d v="2024-09-25T00:00:00"/>
    <x v="5"/>
    <s v="Check out our latest video on youtube!"/>
    <n v="3389"/>
    <n v="344"/>
    <n v="229"/>
    <n v="20334"/>
    <n v="19443"/>
    <n v="228"/>
    <x v="0"/>
    <x v="2"/>
    <n v="45651"/>
    <n v="45667"/>
    <s v="Before Campaign"/>
    <x v="278"/>
    <n v="0.19484607062063539"/>
    <d v="2024-12-25T00:00:00"/>
    <d v="2025-01-10T00:00:00"/>
    <x v="0"/>
    <x v="2"/>
    <n v="1.5848000000000001E-2"/>
    <x v="1"/>
    <x v="51"/>
    <m/>
    <x v="1"/>
  </r>
  <r>
    <x v="286"/>
    <x v="2"/>
    <d v="2024-08-15T00:00:00"/>
    <x v="0"/>
    <s v="Check out our latest reel on instagram!"/>
    <n v="1164"/>
    <n v="616"/>
    <n v="324"/>
    <n v="6984"/>
    <n v="6636"/>
    <n v="82"/>
    <x v="4"/>
    <x v="0"/>
    <n v="45458"/>
    <n v="45488"/>
    <s v="Before Campaign"/>
    <x v="279"/>
    <n v="0.30126002290950743"/>
    <d v="2024-06-15T00:00:00"/>
    <d v="2024-07-15T00:00:00"/>
    <x v="0"/>
    <x v="0"/>
    <n v="1.4026666666666666E-2"/>
    <x v="2"/>
    <x v="3"/>
    <m/>
    <x v="2"/>
  </r>
  <r>
    <x v="287"/>
    <x v="1"/>
    <d v="2025-04-17T00:00:00"/>
    <x v="3"/>
    <s v="Check out our latest carousel on youtube!"/>
    <n v="4780"/>
    <n v="691"/>
    <n v="380"/>
    <n v="86040"/>
    <n v="85743"/>
    <n v="262"/>
    <x v="0"/>
    <x v="2"/>
    <n v="45651"/>
    <n v="45667"/>
    <s v="Before Campaign"/>
    <x v="280"/>
    <n v="6.800325430032543E-2"/>
    <d v="2024-12-25T00:00:00"/>
    <d v="2025-01-10T00:00:00"/>
    <x v="0"/>
    <x v="2"/>
    <n v="2.3404000000000001E-2"/>
    <x v="1"/>
    <x v="29"/>
    <m/>
    <x v="1"/>
  </r>
  <r>
    <x v="288"/>
    <x v="3"/>
    <d v="2024-11-28T00:00:00"/>
    <x v="3"/>
    <s v="Check out our latest carousel on facebook!"/>
    <n v="2751"/>
    <n v="33"/>
    <n v="430"/>
    <n v="44016"/>
    <n v="43415"/>
    <n v="129"/>
    <x v="0"/>
    <x v="4"/>
    <n v="0"/>
    <n v="0"/>
    <s v="Before Campaign"/>
    <x v="281"/>
    <n v="7.3018902217375503E-2"/>
    <s v="not found"/>
    <s v="not found"/>
    <x v="0"/>
    <x v="4"/>
    <e v="#VALUE!"/>
    <x v="3"/>
    <x v="28"/>
    <m/>
    <x v="3"/>
  </r>
  <r>
    <x v="289"/>
    <x v="2"/>
    <d v="2024-12-20T00:00:00"/>
    <x v="3"/>
    <s v="Check out our latest carousel on instagram!"/>
    <n v="2107"/>
    <n v="550"/>
    <n v="349"/>
    <n v="35819"/>
    <n v="35340"/>
    <n v="191"/>
    <x v="4"/>
    <x v="3"/>
    <n v="45717"/>
    <n v="45747"/>
    <s v="Before Campaign"/>
    <x v="282"/>
    <n v="8.3921940869371006E-2"/>
    <d v="2025-03-01T00:00:00"/>
    <d v="2025-03-31T00:00:00"/>
    <x v="0"/>
    <x v="3"/>
    <n v="1.67E-2"/>
    <x v="2"/>
    <x v="25"/>
    <m/>
    <x v="2"/>
  </r>
  <r>
    <x v="290"/>
    <x v="3"/>
    <d v="2024-11-06T00:00:00"/>
    <x v="5"/>
    <s v="Check out our latest video on facebook!"/>
    <n v="4663"/>
    <n v="145"/>
    <n v="225"/>
    <n v="69945"/>
    <n v="69596"/>
    <n v="35"/>
    <x v="4"/>
    <x v="3"/>
    <n v="45717"/>
    <n v="45747"/>
    <s v="Before Campaign"/>
    <x v="283"/>
    <n v="7.1956537279290869E-2"/>
    <d v="2025-03-01T00:00:00"/>
    <d v="2025-03-31T00:00:00"/>
    <x v="0"/>
    <x v="3"/>
    <n v="2.796111111111111E-2"/>
    <x v="3"/>
    <x v="19"/>
    <m/>
    <x v="3"/>
  </r>
  <r>
    <x v="291"/>
    <x v="3"/>
    <d v="2024-11-17T00:00:00"/>
    <x v="1"/>
    <s v="Check out our latest text on facebook!"/>
    <n v="880"/>
    <n v="297"/>
    <n v="345"/>
    <n v="12320"/>
    <n v="11978"/>
    <n v="238"/>
    <x v="2"/>
    <x v="4"/>
    <n v="0"/>
    <n v="0"/>
    <s v="Before Campaign"/>
    <x v="284"/>
    <n v="0.12353896103896105"/>
    <s v="not found"/>
    <s v="not found"/>
    <x v="0"/>
    <x v="4"/>
    <e v="#VALUE!"/>
    <x v="3"/>
    <x v="11"/>
    <m/>
    <x v="3"/>
  </r>
  <r>
    <x v="291"/>
    <x v="3"/>
    <d v="2024-11-17T00:00:00"/>
    <x v="1"/>
    <s v="Check out our latest text on facebook!"/>
    <n v="880"/>
    <n v="297"/>
    <n v="345"/>
    <n v="12320"/>
    <n v="11978"/>
    <n v="238"/>
    <x v="1"/>
    <x v="4"/>
    <n v="0"/>
    <n v="0"/>
    <s v="Before Campaign"/>
    <x v="284"/>
    <n v="0.12353896103896105"/>
    <s v="not found"/>
    <s v="not found"/>
    <x v="0"/>
    <x v="4"/>
    <e v="#VALUE!"/>
    <x v="3"/>
    <x v="11"/>
    <m/>
    <x v="3"/>
  </r>
  <r>
    <x v="292"/>
    <x v="3"/>
    <d v="2025-05-14T00:00:00"/>
    <x v="1"/>
    <s v="Check out our latest text on facebook!"/>
    <n v="2634"/>
    <n v="726"/>
    <n v="241"/>
    <n v="28974"/>
    <n v="28102"/>
    <n v="277"/>
    <x v="4"/>
    <x v="0"/>
    <n v="45458"/>
    <n v="45488"/>
    <s v="Before Campaign"/>
    <x v="285"/>
    <n v="0.12428384068475185"/>
    <d v="2024-06-15T00:00:00"/>
    <d v="2024-07-15T00:00:00"/>
    <x v="0"/>
    <x v="0"/>
    <n v="2.4006666666666666E-2"/>
    <x v="3"/>
    <x v="2"/>
    <m/>
    <x v="3"/>
  </r>
  <r>
    <x v="293"/>
    <x v="3"/>
    <d v="2024-06-19T00:00:00"/>
    <x v="3"/>
    <s v="Check out our latest carousel on facebook!"/>
    <n v="4731"/>
    <n v="173"/>
    <n v="276"/>
    <n v="28386"/>
    <n v="28185"/>
    <n v="89"/>
    <x v="4"/>
    <x v="2"/>
    <n v="45651"/>
    <n v="45667"/>
    <s v="Before Campaign"/>
    <x v="286"/>
    <n v="0.18248432325794406"/>
    <d v="2024-12-25T00:00:00"/>
    <d v="2025-01-10T00:00:00"/>
    <x v="0"/>
    <x v="2"/>
    <n v="2.0719999999999999E-2"/>
    <x v="3"/>
    <x v="35"/>
    <m/>
    <x v="3"/>
  </r>
  <r>
    <x v="294"/>
    <x v="0"/>
    <d v="2025-05-06T00:00:00"/>
    <x v="4"/>
    <s v="Check out our latest image on twitter!"/>
    <n v="1952"/>
    <n v="344"/>
    <n v="287"/>
    <n v="15616"/>
    <n v="15403"/>
    <n v="235"/>
    <x v="0"/>
    <x v="1"/>
    <n v="45566"/>
    <n v="45596"/>
    <s v="Before Campaign"/>
    <x v="287"/>
    <n v="0.16540727459016394"/>
    <d v="2024-10-01T00:00:00"/>
    <d v="2024-10-31T00:00:00"/>
    <x v="0"/>
    <x v="1"/>
    <n v="1.2914999999999999E-2"/>
    <x v="0"/>
    <x v="14"/>
    <m/>
    <x v="0"/>
  </r>
  <r>
    <x v="294"/>
    <x v="0"/>
    <d v="2025-05-06T00:00:00"/>
    <x v="4"/>
    <s v="Check out our latest image on twitter!"/>
    <n v="1952"/>
    <n v="344"/>
    <n v="287"/>
    <n v="15616"/>
    <n v="15403"/>
    <n v="235"/>
    <x v="2"/>
    <x v="1"/>
    <n v="45566"/>
    <n v="45596"/>
    <s v="Before Campaign"/>
    <x v="287"/>
    <n v="0.16540727459016394"/>
    <d v="2024-10-01T00:00:00"/>
    <d v="2024-10-31T00:00:00"/>
    <x v="0"/>
    <x v="1"/>
    <n v="1.2914999999999999E-2"/>
    <x v="0"/>
    <x v="14"/>
    <m/>
    <x v="0"/>
  </r>
  <r>
    <x v="294"/>
    <x v="0"/>
    <d v="2025-05-06T00:00:00"/>
    <x v="4"/>
    <s v="Check out our latest image on twitter!"/>
    <n v="1952"/>
    <n v="344"/>
    <n v="287"/>
    <n v="15616"/>
    <n v="15403"/>
    <n v="235"/>
    <x v="1"/>
    <x v="1"/>
    <n v="45566"/>
    <n v="45596"/>
    <s v="Before Campaign"/>
    <x v="287"/>
    <n v="0.16540727459016394"/>
    <d v="2024-10-01T00:00:00"/>
    <d v="2024-10-31T00:00:00"/>
    <x v="0"/>
    <x v="1"/>
    <n v="1.2914999999999999E-2"/>
    <x v="0"/>
    <x v="14"/>
    <m/>
    <x v="0"/>
  </r>
  <r>
    <x v="295"/>
    <x v="0"/>
    <d v="2025-02-11T00:00:00"/>
    <x v="5"/>
    <s v="Check out our latest video on twitter!"/>
    <n v="3440"/>
    <n v="13"/>
    <n v="20"/>
    <n v="58480"/>
    <n v="58146"/>
    <n v="210"/>
    <x v="2"/>
    <x v="3"/>
    <n v="45717"/>
    <n v="45747"/>
    <s v="Before Campaign"/>
    <x v="288"/>
    <n v="5.9387824897400819E-2"/>
    <d v="2025-03-01T00:00:00"/>
    <d v="2025-03-31T00:00:00"/>
    <x v="0"/>
    <x v="3"/>
    <n v="1.9294444444444444E-2"/>
    <x v="0"/>
    <x v="40"/>
    <m/>
    <x v="0"/>
  </r>
  <r>
    <x v="295"/>
    <x v="0"/>
    <d v="2025-02-11T00:00:00"/>
    <x v="5"/>
    <s v="Check out our latest video on twitter!"/>
    <n v="3440"/>
    <n v="13"/>
    <n v="20"/>
    <n v="58480"/>
    <n v="58146"/>
    <n v="210"/>
    <x v="5"/>
    <x v="3"/>
    <n v="45717"/>
    <n v="45747"/>
    <s v="Before Campaign"/>
    <x v="288"/>
    <n v="5.9387824897400819E-2"/>
    <d v="2025-03-01T00:00:00"/>
    <d v="2025-03-31T00:00:00"/>
    <x v="0"/>
    <x v="3"/>
    <n v="1.9294444444444444E-2"/>
    <x v="0"/>
    <x v="40"/>
    <m/>
    <x v="0"/>
  </r>
  <r>
    <x v="296"/>
    <x v="0"/>
    <d v="2024-12-24T00:00:00"/>
    <x v="1"/>
    <s v="Check out our latest text on twitter!"/>
    <n v="2166"/>
    <n v="354"/>
    <n v="117"/>
    <n v="10830"/>
    <n v="10245"/>
    <n v="24"/>
    <x v="4"/>
    <x v="3"/>
    <n v="45717"/>
    <n v="45747"/>
    <s v="Before Campaign"/>
    <x v="289"/>
    <n v="0.24349030470914126"/>
    <d v="2025-03-01T00:00:00"/>
    <d v="2025-03-31T00:00:00"/>
    <x v="0"/>
    <x v="3"/>
    <n v="1.465E-2"/>
    <x v="0"/>
    <x v="0"/>
    <m/>
    <x v="0"/>
  </r>
  <r>
    <x v="297"/>
    <x v="3"/>
    <d v="2024-10-24T00:00:00"/>
    <x v="4"/>
    <s v="Check out our latest image on facebook!"/>
    <n v="4303"/>
    <n v="451"/>
    <n v="286"/>
    <n v="86060"/>
    <n v="85823"/>
    <n v="14"/>
    <x v="2"/>
    <x v="2"/>
    <n v="45651"/>
    <n v="45667"/>
    <s v="Before Campaign"/>
    <x v="290"/>
    <n v="5.8563792702765516E-2"/>
    <d v="2024-12-25T00:00:00"/>
    <d v="2025-01-10T00:00:00"/>
    <x v="0"/>
    <x v="2"/>
    <n v="2.0160000000000001E-2"/>
    <x v="3"/>
    <x v="13"/>
    <m/>
    <x v="3"/>
  </r>
  <r>
    <x v="298"/>
    <x v="3"/>
    <d v="2024-08-26T00:00:00"/>
    <x v="4"/>
    <s v="Check out our latest image on facebook!"/>
    <n v="2581"/>
    <n v="517"/>
    <n v="117"/>
    <n v="23229"/>
    <n v="22331"/>
    <n v="70"/>
    <x v="0"/>
    <x v="2"/>
    <n v="45651"/>
    <n v="45667"/>
    <s v="Before Campaign"/>
    <x v="291"/>
    <n v="0.13840458048129492"/>
    <d v="2024-12-25T00:00:00"/>
    <d v="2025-01-10T00:00:00"/>
    <x v="0"/>
    <x v="2"/>
    <n v="1.286E-2"/>
    <x v="3"/>
    <x v="7"/>
    <m/>
    <x v="3"/>
  </r>
  <r>
    <x v="299"/>
    <x v="0"/>
    <d v="2024-08-31T00:00:00"/>
    <x v="3"/>
    <s v="Check out our latest carousel on twitter!"/>
    <n v="4494"/>
    <n v="717"/>
    <n v="45"/>
    <n v="62916"/>
    <n v="62688"/>
    <n v="191"/>
    <x v="2"/>
    <x v="0"/>
    <n v="45458"/>
    <n v="45488"/>
    <s v="Before Campaign"/>
    <x v="292"/>
    <n v="8.3539958039290485E-2"/>
    <d v="2024-06-15T00:00:00"/>
    <d v="2024-07-15T00:00:00"/>
    <x v="0"/>
    <x v="0"/>
    <n v="3.5040000000000002E-2"/>
    <x v="0"/>
    <x v="7"/>
    <m/>
    <x v="0"/>
  </r>
  <r>
    <x v="299"/>
    <x v="0"/>
    <d v="2024-08-31T00:00:00"/>
    <x v="3"/>
    <s v="Check out our latest carousel on twitter!"/>
    <n v="4494"/>
    <n v="717"/>
    <n v="45"/>
    <n v="62916"/>
    <n v="62688"/>
    <n v="191"/>
    <x v="4"/>
    <x v="0"/>
    <n v="45458"/>
    <n v="45488"/>
    <s v="Before Campaign"/>
    <x v="292"/>
    <n v="8.3539958039290485E-2"/>
    <d v="2024-06-15T00:00:00"/>
    <d v="2024-07-15T00:00:00"/>
    <x v="0"/>
    <x v="0"/>
    <n v="3.5040000000000002E-2"/>
    <x v="0"/>
    <x v="7"/>
    <m/>
    <x v="0"/>
  </r>
  <r>
    <x v="299"/>
    <x v="0"/>
    <d v="2024-08-31T00:00:00"/>
    <x v="3"/>
    <s v="Check out our latest carousel on twitter!"/>
    <n v="4494"/>
    <n v="717"/>
    <n v="45"/>
    <n v="62916"/>
    <n v="62688"/>
    <n v="191"/>
    <x v="3"/>
    <x v="0"/>
    <n v="45458"/>
    <n v="45488"/>
    <s v="Before Campaign"/>
    <x v="292"/>
    <n v="8.3539958039290485E-2"/>
    <d v="2024-06-15T00:00:00"/>
    <d v="2024-07-15T00:00:00"/>
    <x v="0"/>
    <x v="0"/>
    <n v="3.5040000000000002E-2"/>
    <x v="0"/>
    <x v="7"/>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135"/>
    <n v="88"/>
    <n v="344084"/>
    <n v="8.06"/>
    <n v="5904"/>
    <n v="1047"/>
    <n v="3.0428616268120576E-3"/>
  </r>
  <r>
    <s v="2024-06-03"/>
    <x v="1"/>
    <n v="1312"/>
    <n v="310"/>
    <n v="42654"/>
    <n v="4.9800000000000004"/>
    <n v="9566"/>
    <n v="1002"/>
    <n v="2.3491348994232664E-2"/>
  </r>
  <r>
    <s v="2024-06-03"/>
    <x v="2"/>
    <n v="584"/>
    <n v="169"/>
    <n v="146834"/>
    <n v="8.31"/>
    <n v="26752"/>
    <n v="415"/>
    <n v="2.826320879360366E-3"/>
  </r>
  <r>
    <s v="2024-06-03"/>
    <x v="3"/>
    <n v="1535"/>
    <n v="445"/>
    <n v="395536"/>
    <n v="4.1100000000000003"/>
    <n v="30671"/>
    <n v="1090"/>
    <n v="2.7557542170624167E-3"/>
  </r>
  <r>
    <s v="2024-06-10"/>
    <x v="0"/>
    <n v="656"/>
    <n v="139"/>
    <n v="49157"/>
    <n v="9.0500000000000007"/>
    <n v="9920"/>
    <n v="517"/>
    <n v="1.0517322049758936E-2"/>
  </r>
  <r>
    <s v="2024-06-10"/>
    <x v="1"/>
    <n v="1697"/>
    <n v="414"/>
    <n v="316555"/>
    <n v="2.37"/>
    <n v="7924"/>
    <n v="1283"/>
    <n v="4.0530081660374974E-3"/>
  </r>
  <r>
    <s v="2024-06-10"/>
    <x v="2"/>
    <n v="436"/>
    <n v="250"/>
    <n v="254347"/>
    <n v="4.01"/>
    <n v="8912"/>
    <n v="186"/>
    <n v="7.3128442639386348E-4"/>
  </r>
  <r>
    <s v="2024-06-10"/>
    <x v="3"/>
    <n v="1197"/>
    <n v="203"/>
    <n v="413878"/>
    <n v="3.16"/>
    <n v="21205"/>
    <n v="994"/>
    <n v="2.4016739232334168E-3"/>
  </r>
  <r>
    <s v="2024-06-17"/>
    <x v="0"/>
    <n v="1048"/>
    <n v="155"/>
    <n v="456946"/>
    <n v="2.46"/>
    <n v="11329"/>
    <n v="893"/>
    <n v="1.9542790614208243E-3"/>
  </r>
  <r>
    <s v="2024-06-17"/>
    <x v="1"/>
    <n v="1753"/>
    <n v="371"/>
    <n v="169496"/>
    <n v="8.11"/>
    <n v="46670"/>
    <n v="1382"/>
    <n v="8.1535847453627231E-3"/>
  </r>
  <r>
    <s v="2024-06-17"/>
    <x v="2"/>
    <n v="1335"/>
    <n v="40"/>
    <n v="122732"/>
    <n v="8.19"/>
    <n v="22482"/>
    <n v="1295"/>
    <n v="1.0551445425805821E-2"/>
  </r>
  <r>
    <s v="2024-06-17"/>
    <x v="3"/>
    <n v="403"/>
    <n v="66"/>
    <n v="382851"/>
    <n v="3.49"/>
    <n v="24313"/>
    <n v="337"/>
    <n v="8.80238003818718E-4"/>
  </r>
  <r>
    <s v="2024-06-24"/>
    <x v="0"/>
    <n v="911"/>
    <n v="282"/>
    <n v="35664"/>
    <n v="6.92"/>
    <n v="18050"/>
    <n v="629"/>
    <n v="1.7636832660385824E-2"/>
  </r>
  <r>
    <s v="2024-06-24"/>
    <x v="1"/>
    <n v="1779"/>
    <n v="109"/>
    <n v="26295"/>
    <n v="9.1199999999999992"/>
    <n v="30635"/>
    <n v="1670"/>
    <n v="6.3510173036698994E-2"/>
  </r>
  <r>
    <s v="2024-06-24"/>
    <x v="2"/>
    <n v="1238"/>
    <n v="403"/>
    <n v="298421"/>
    <n v="3.5"/>
    <n v="31280"/>
    <n v="835"/>
    <n v="2.798060458211721E-3"/>
  </r>
  <r>
    <s v="2024-06-24"/>
    <x v="3"/>
    <n v="308"/>
    <n v="431"/>
    <n v="426184"/>
    <n v="2.62"/>
    <n v="1783"/>
    <n v="-123"/>
    <n v="-2.8860773750305035E-4"/>
  </r>
  <r>
    <s v="2024-07-01"/>
    <x v="0"/>
    <n v="226"/>
    <n v="445"/>
    <n v="419447"/>
    <n v="9.36"/>
    <n v="9566"/>
    <n v="-219"/>
    <n v="-5.2211602419375983E-4"/>
  </r>
  <r>
    <s v="2024-07-01"/>
    <x v="1"/>
    <n v="505"/>
    <n v="441"/>
    <n v="220020"/>
    <n v="4.4800000000000004"/>
    <n v="42307"/>
    <n v="64"/>
    <n v="2.9088264703208797E-4"/>
  </r>
  <r>
    <s v="2024-07-01"/>
    <x v="2"/>
    <n v="1420"/>
    <n v="63"/>
    <n v="315305"/>
    <n v="6.19"/>
    <n v="5914"/>
    <n v="1357"/>
    <n v="4.3037693661692649E-3"/>
  </r>
  <r>
    <s v="2024-07-01"/>
    <x v="3"/>
    <n v="144"/>
    <n v="53"/>
    <n v="113678"/>
    <n v="8.7200000000000006"/>
    <n v="30060"/>
    <n v="91"/>
    <n v="8.0050669434719116E-4"/>
  </r>
  <r>
    <s v="2024-07-08"/>
    <x v="0"/>
    <n v="1757"/>
    <n v="85"/>
    <n v="58223"/>
    <n v="8.74"/>
    <n v="22728"/>
    <n v="1672"/>
    <n v="2.8717173625543171E-2"/>
  </r>
  <r>
    <s v="2024-07-08"/>
    <x v="1"/>
    <n v="350"/>
    <n v="41"/>
    <n v="251694"/>
    <n v="1.91"/>
    <n v="38610"/>
    <n v="309"/>
    <n v="1.2276812319721568E-3"/>
  </r>
  <r>
    <s v="2024-07-08"/>
    <x v="2"/>
    <n v="987"/>
    <n v="440"/>
    <n v="389810"/>
    <n v="4.66"/>
    <n v="2932"/>
    <n v="547"/>
    <n v="1.40324773607655E-3"/>
  </r>
  <r>
    <s v="2024-07-08"/>
    <x v="3"/>
    <n v="883"/>
    <n v="369"/>
    <n v="233694"/>
    <n v="2.88"/>
    <n v="15071"/>
    <n v="514"/>
    <n v="2.1994574101175039E-3"/>
  </r>
  <r>
    <s v="2024-07-15"/>
    <x v="0"/>
    <n v="1960"/>
    <n v="115"/>
    <n v="154169"/>
    <n v="3.74"/>
    <n v="10740"/>
    <n v="1845"/>
    <n v="1.1967386439556591E-2"/>
  </r>
  <r>
    <s v="2024-07-15"/>
    <x v="1"/>
    <n v="170"/>
    <n v="334"/>
    <n v="334626"/>
    <n v="6.44"/>
    <n v="43420"/>
    <n v="-164"/>
    <n v="-4.9009939454794306E-4"/>
  </r>
  <r>
    <s v="2024-07-15"/>
    <x v="2"/>
    <n v="704"/>
    <n v="275"/>
    <n v="226002"/>
    <n v="8.56"/>
    <n v="32393"/>
    <n v="429"/>
    <n v="1.8982132901478749E-3"/>
  </r>
  <r>
    <s v="2024-07-15"/>
    <x v="3"/>
    <n v="224"/>
    <n v="64"/>
    <n v="156683"/>
    <n v="4.5599999999999996"/>
    <n v="28474"/>
    <n v="160"/>
    <n v="1.0211701333265254E-3"/>
  </r>
  <r>
    <s v="2024-07-22"/>
    <x v="0"/>
    <n v="508"/>
    <n v="349"/>
    <n v="473812"/>
    <n v="7.88"/>
    <n v="17328"/>
    <n v="159"/>
    <n v="3.3557613568250698E-4"/>
  </r>
  <r>
    <s v="2024-07-22"/>
    <x v="1"/>
    <n v="1391"/>
    <n v="430"/>
    <n v="295032"/>
    <n v="7.86"/>
    <n v="26067"/>
    <n v="961"/>
    <n v="3.2572737872501967E-3"/>
  </r>
  <r>
    <s v="2024-07-22"/>
    <x v="2"/>
    <n v="1701"/>
    <n v="385"/>
    <n v="198278"/>
    <n v="5.34"/>
    <n v="32763"/>
    <n v="1316"/>
    <n v="6.6371458255580548E-3"/>
  </r>
  <r>
    <s v="2024-07-22"/>
    <x v="3"/>
    <n v="804"/>
    <n v="487"/>
    <n v="306564"/>
    <n v="5.52"/>
    <n v="26452"/>
    <n v="317"/>
    <n v="1.0340418313957282E-3"/>
  </r>
  <r>
    <s v="2024-07-29"/>
    <x v="0"/>
    <n v="653"/>
    <n v="112"/>
    <n v="23664"/>
    <n v="4.05"/>
    <n v="15353"/>
    <n v="541"/>
    <n v="2.2861730899256253E-2"/>
  </r>
  <r>
    <s v="2024-07-29"/>
    <x v="1"/>
    <n v="160"/>
    <n v="478"/>
    <n v="435034"/>
    <n v="7.73"/>
    <n v="4839"/>
    <n v="-318"/>
    <n v="-7.3097734889686784E-4"/>
  </r>
  <r>
    <s v="2024-07-29"/>
    <x v="2"/>
    <n v="1756"/>
    <n v="261"/>
    <n v="287574"/>
    <n v="4.3600000000000003"/>
    <n v="39272"/>
    <n v="1495"/>
    <n v="5.1986619096302169E-3"/>
  </r>
  <r>
    <s v="2024-07-29"/>
    <x v="3"/>
    <n v="576"/>
    <n v="101"/>
    <n v="62499"/>
    <n v="3.48"/>
    <n v="16804"/>
    <n v="475"/>
    <n v="7.600121601945631E-3"/>
  </r>
  <r>
    <s v="2024-08-05"/>
    <x v="0"/>
    <n v="645"/>
    <n v="293"/>
    <n v="437968"/>
    <n v="7.83"/>
    <n v="49303"/>
    <n v="352"/>
    <n v="8.0371168669857163E-4"/>
  </r>
  <r>
    <s v="2024-08-05"/>
    <x v="1"/>
    <n v="214"/>
    <n v="411"/>
    <n v="125034"/>
    <n v="6.11"/>
    <n v="26455"/>
    <n v="-197"/>
    <n v="-1.5755714445670778E-3"/>
  </r>
  <r>
    <s v="2024-08-05"/>
    <x v="2"/>
    <n v="826"/>
    <n v="498"/>
    <n v="449994"/>
    <n v="9.43"/>
    <n v="12384"/>
    <n v="328"/>
    <n v="7.2889860753698943E-4"/>
  </r>
  <r>
    <s v="2024-08-05"/>
    <x v="3"/>
    <n v="460"/>
    <n v="141"/>
    <n v="320650"/>
    <n v="4.04"/>
    <n v="49372"/>
    <n v="319"/>
    <n v="9.9485420240137223E-4"/>
  </r>
  <r>
    <s v="2024-08-12"/>
    <x v="0"/>
    <n v="1528"/>
    <n v="203"/>
    <n v="489188"/>
    <n v="6.23"/>
    <n v="47101"/>
    <n v="1325"/>
    <n v="2.7085701202809553E-3"/>
  </r>
  <r>
    <s v="2024-08-12"/>
    <x v="1"/>
    <n v="1534"/>
    <n v="200"/>
    <n v="307612"/>
    <n v="6.01"/>
    <n v="37903"/>
    <n v="1334"/>
    <n v="4.3366318609156986E-3"/>
  </r>
  <r>
    <s v="2024-08-12"/>
    <x v="2"/>
    <n v="485"/>
    <n v="448"/>
    <n v="434883"/>
    <n v="8.5500000000000007"/>
    <n v="33258"/>
    <n v="37"/>
    <n v="8.5080354946042954E-5"/>
  </r>
  <r>
    <s v="2024-08-12"/>
    <x v="3"/>
    <n v="1210"/>
    <n v="178"/>
    <n v="102042"/>
    <n v="5.42"/>
    <n v="6915"/>
    <n v="1032"/>
    <n v="1.011348268360087E-2"/>
  </r>
  <r>
    <s v="2024-08-19"/>
    <x v="0"/>
    <n v="215"/>
    <n v="139"/>
    <n v="325444"/>
    <n v="3.25"/>
    <n v="35501"/>
    <n v="76"/>
    <n v="2.335271198731579E-4"/>
  </r>
  <r>
    <s v="2024-08-19"/>
    <x v="1"/>
    <n v="1078"/>
    <n v="20"/>
    <n v="183924"/>
    <n v="8.84"/>
    <n v="14203"/>
    <n v="1058"/>
    <n v="5.7523759813836147E-3"/>
  </r>
  <r>
    <s v="2024-08-19"/>
    <x v="2"/>
    <n v="1751"/>
    <n v="86"/>
    <n v="188655"/>
    <n v="7.24"/>
    <n v="22206"/>
    <n v="1665"/>
    <n v="8.825634093981077E-3"/>
  </r>
  <r>
    <s v="2024-08-19"/>
    <x v="3"/>
    <n v="221"/>
    <n v="31"/>
    <n v="87443"/>
    <n v="6.19"/>
    <n v="10283"/>
    <n v="190"/>
    <n v="2.1728440241071327E-3"/>
  </r>
  <r>
    <s v="2024-08-26"/>
    <x v="0"/>
    <n v="1685"/>
    <n v="76"/>
    <n v="453799"/>
    <n v="5.71"/>
    <n v="24913"/>
    <n v="1609"/>
    <n v="3.5456226214689766E-3"/>
  </r>
  <r>
    <s v="2024-08-26"/>
    <x v="1"/>
    <n v="248"/>
    <n v="211"/>
    <n v="379380"/>
    <n v="9.0399999999999991"/>
    <n v="26925"/>
    <n v="37"/>
    <n v="9.7527544941747058E-5"/>
  </r>
  <r>
    <s v="2024-08-26"/>
    <x v="2"/>
    <n v="1300"/>
    <n v="71"/>
    <n v="186454"/>
    <n v="3.91"/>
    <n v="9942"/>
    <n v="1229"/>
    <n v="6.5914381026955706E-3"/>
  </r>
  <r>
    <s v="2024-08-26"/>
    <x v="3"/>
    <n v="422"/>
    <n v="394"/>
    <n v="239044"/>
    <n v="7.83"/>
    <n v="32929"/>
    <n v="28"/>
    <n v="1.1713324743561855E-4"/>
  </r>
  <r>
    <s v="2024-09-02"/>
    <x v="0"/>
    <n v="1429"/>
    <n v="182"/>
    <n v="101332"/>
    <n v="7.16"/>
    <n v="37829"/>
    <n v="1247"/>
    <n v="1.2306082974775983E-2"/>
  </r>
  <r>
    <s v="2024-09-02"/>
    <x v="1"/>
    <n v="1520"/>
    <n v="475"/>
    <n v="496982"/>
    <n v="6.41"/>
    <n v="24384"/>
    <n v="1045"/>
    <n v="2.1026918479944948E-3"/>
  </r>
  <r>
    <s v="2024-09-02"/>
    <x v="2"/>
    <n v="557"/>
    <n v="360"/>
    <n v="318779"/>
    <n v="8.02"/>
    <n v="25797"/>
    <n v="197"/>
    <n v="6.1798299135137512E-4"/>
  </r>
  <r>
    <s v="2024-09-02"/>
    <x v="3"/>
    <n v="728"/>
    <n v="395"/>
    <n v="370971"/>
    <n v="3.86"/>
    <n v="12646"/>
    <n v="333"/>
    <n v="8.9764429025449434E-4"/>
  </r>
  <r>
    <s v="2024-09-09"/>
    <x v="0"/>
    <n v="1592"/>
    <n v="20"/>
    <n v="378054"/>
    <n v="9.09"/>
    <n v="26663"/>
    <n v="1572"/>
    <n v="4.1581361392816901E-3"/>
  </r>
  <r>
    <s v="2024-09-09"/>
    <x v="1"/>
    <n v="1842"/>
    <n v="414"/>
    <n v="307524"/>
    <n v="1.76"/>
    <n v="40478"/>
    <n v="1428"/>
    <n v="4.6435400163889647E-3"/>
  </r>
  <r>
    <s v="2024-09-09"/>
    <x v="2"/>
    <n v="751"/>
    <n v="491"/>
    <n v="434047"/>
    <n v="9.24"/>
    <n v="15476"/>
    <n v="260"/>
    <n v="5.990134708914012E-4"/>
  </r>
  <r>
    <s v="2024-09-09"/>
    <x v="3"/>
    <n v="1409"/>
    <n v="309"/>
    <n v="64583"/>
    <n v="8.99"/>
    <n v="10217"/>
    <n v="1100"/>
    <n v="1.7032345973398571E-2"/>
  </r>
  <r>
    <s v="2024-09-16"/>
    <x v="0"/>
    <n v="778"/>
    <n v="401"/>
    <n v="50793"/>
    <n v="3.4"/>
    <n v="21939"/>
    <n v="377"/>
    <n v="7.4222825979957871E-3"/>
  </r>
  <r>
    <s v="2024-09-16"/>
    <x v="1"/>
    <n v="443"/>
    <n v="345"/>
    <n v="474162"/>
    <n v="9.1999999999999993"/>
    <n v="47462"/>
    <n v="98"/>
    <n v="2.0668041724136477E-4"/>
  </r>
  <r>
    <s v="2024-09-16"/>
    <x v="2"/>
    <n v="1472"/>
    <n v="347"/>
    <n v="392355"/>
    <n v="8.59"/>
    <n v="30270"/>
    <n v="1125"/>
    <n v="2.8673012960201858E-3"/>
  </r>
  <r>
    <s v="2024-09-16"/>
    <x v="3"/>
    <n v="123"/>
    <n v="155"/>
    <n v="119934"/>
    <n v="3.5"/>
    <n v="5442"/>
    <n v="-32"/>
    <n v="-2.6681341404439108E-4"/>
  </r>
  <r>
    <s v="2024-09-23"/>
    <x v="0"/>
    <n v="817"/>
    <n v="151"/>
    <n v="422625"/>
    <n v="2.36"/>
    <n v="1083"/>
    <n v="666"/>
    <n v="1.5758651286601596E-3"/>
  </r>
  <r>
    <s v="2024-09-23"/>
    <x v="1"/>
    <n v="198"/>
    <n v="217"/>
    <n v="239753"/>
    <n v="7.36"/>
    <n v="11901"/>
    <n v="-19"/>
    <n v="-7.9248226299566635E-5"/>
  </r>
  <r>
    <s v="2024-09-23"/>
    <x v="2"/>
    <n v="1911"/>
    <n v="231"/>
    <n v="268516"/>
    <n v="8.5500000000000007"/>
    <n v="24018"/>
    <n v="1680"/>
    <n v="6.2566104068286429E-3"/>
  </r>
  <r>
    <s v="2024-09-23"/>
    <x v="3"/>
    <n v="1218"/>
    <n v="212"/>
    <n v="63177"/>
    <n v="8.1300000000000008"/>
    <n v="38883"/>
    <n v="1006"/>
    <n v="1.592351646960128E-2"/>
  </r>
  <r>
    <s v="2024-09-30"/>
    <x v="0"/>
    <n v="1433"/>
    <n v="408"/>
    <n v="370269"/>
    <n v="3.3"/>
    <n v="30575"/>
    <n v="1025"/>
    <n v="2.7682576721248606E-3"/>
  </r>
  <r>
    <s v="2024-09-30"/>
    <x v="1"/>
    <n v="250"/>
    <n v="429"/>
    <n v="453423"/>
    <n v="1.77"/>
    <n v="2315"/>
    <n v="-179"/>
    <n v="-3.9477485703195471E-4"/>
  </r>
  <r>
    <s v="2024-09-30"/>
    <x v="2"/>
    <n v="752"/>
    <n v="153"/>
    <n v="64906"/>
    <n v="2.09"/>
    <n v="12148"/>
    <n v="599"/>
    <n v="9.2287307798970819E-3"/>
  </r>
  <r>
    <s v="2024-09-30"/>
    <x v="3"/>
    <n v="1918"/>
    <n v="212"/>
    <n v="94360"/>
    <n v="7.36"/>
    <n v="36851"/>
    <n v="1706"/>
    <n v="1.8079694785926241E-2"/>
  </r>
  <r>
    <s v="2024-10-07"/>
    <x v="0"/>
    <n v="1939"/>
    <n v="67"/>
    <n v="187183"/>
    <n v="6.25"/>
    <n v="41215"/>
    <n v="1872"/>
    <n v="1.0000908202133741E-2"/>
  </r>
  <r>
    <s v="2024-10-07"/>
    <x v="1"/>
    <n v="1929"/>
    <n v="267"/>
    <n v="379363"/>
    <n v="1.75"/>
    <n v="43836"/>
    <n v="1662"/>
    <n v="4.3810281972675247E-3"/>
  </r>
  <r>
    <s v="2024-10-07"/>
    <x v="2"/>
    <n v="437"/>
    <n v="330"/>
    <n v="476486"/>
    <n v="4.97"/>
    <n v="4509"/>
    <n v="107"/>
    <n v="2.2456063766826309E-4"/>
  </r>
  <r>
    <s v="2024-10-07"/>
    <x v="3"/>
    <n v="307"/>
    <n v="189"/>
    <n v="117767"/>
    <n v="9.3000000000000007"/>
    <n v="27822"/>
    <n v="118"/>
    <n v="1.0019784829366461E-3"/>
  </r>
  <r>
    <s v="2024-10-14"/>
    <x v="0"/>
    <n v="1527"/>
    <n v="303"/>
    <n v="388555"/>
    <n v="8.9"/>
    <n v="36397"/>
    <n v="1224"/>
    <n v="3.1501331857780751E-3"/>
  </r>
  <r>
    <s v="2024-10-14"/>
    <x v="1"/>
    <n v="643"/>
    <n v="358"/>
    <n v="157599"/>
    <n v="3.88"/>
    <n v="7285"/>
    <n v="285"/>
    <n v="1.8083871090552605E-3"/>
  </r>
  <r>
    <s v="2024-10-14"/>
    <x v="2"/>
    <n v="201"/>
    <n v="221"/>
    <n v="309772"/>
    <n v="5.9"/>
    <n v="33174"/>
    <n v="-20"/>
    <n v="-6.456361452939582E-5"/>
  </r>
  <r>
    <s v="2024-10-14"/>
    <x v="3"/>
    <n v="414"/>
    <n v="47"/>
    <n v="199178"/>
    <n v="1.53"/>
    <n v="6742"/>
    <n v="367"/>
    <n v="1.8425729749269497E-3"/>
  </r>
  <r>
    <s v="2024-10-21"/>
    <x v="0"/>
    <n v="703"/>
    <n v="441"/>
    <n v="357089"/>
    <n v="6.5"/>
    <n v="32478"/>
    <n v="262"/>
    <n v="7.3371064356504961E-4"/>
  </r>
  <r>
    <s v="2024-10-21"/>
    <x v="1"/>
    <n v="508"/>
    <n v="69"/>
    <n v="23492"/>
    <n v="3.16"/>
    <n v="42824"/>
    <n v="439"/>
    <n v="1.8687212668142345E-2"/>
  </r>
  <r>
    <s v="2024-10-21"/>
    <x v="2"/>
    <n v="697"/>
    <n v="61"/>
    <n v="258287"/>
    <n v="8.25"/>
    <n v="21208"/>
    <n v="636"/>
    <n v="2.4623771231227277E-3"/>
  </r>
  <r>
    <s v="2024-10-21"/>
    <x v="3"/>
    <n v="1707"/>
    <n v="223"/>
    <n v="256910"/>
    <n v="5.41"/>
    <n v="44321"/>
    <n v="1484"/>
    <n v="5.7763419096181542E-3"/>
  </r>
  <r>
    <s v="2024-10-28"/>
    <x v="0"/>
    <n v="642"/>
    <n v="66"/>
    <n v="346522"/>
    <n v="5.85"/>
    <n v="13116"/>
    <n v="576"/>
    <n v="1.6622321237901201E-3"/>
  </r>
  <r>
    <s v="2024-10-28"/>
    <x v="1"/>
    <n v="859"/>
    <n v="473"/>
    <n v="209987"/>
    <n v="4.46"/>
    <n v="30214"/>
    <n v="386"/>
    <n v="1.8382090319876945E-3"/>
  </r>
  <r>
    <s v="2024-10-28"/>
    <x v="2"/>
    <n v="191"/>
    <n v="154"/>
    <n v="240550"/>
    <n v="5.22"/>
    <n v="15827"/>
    <n v="37"/>
    <n v="1.5381417584701726E-4"/>
  </r>
  <r>
    <s v="2024-10-28"/>
    <x v="3"/>
    <n v="1814"/>
    <n v="157"/>
    <n v="305827"/>
    <n v="1.99"/>
    <n v="46643"/>
    <n v="1657"/>
    <n v="5.4180958515762179E-3"/>
  </r>
  <r>
    <s v="2024-11-04"/>
    <x v="0"/>
    <n v="1466"/>
    <n v="69"/>
    <n v="54935"/>
    <n v="6.85"/>
    <n v="36484"/>
    <n v="1397"/>
    <n v="2.5430053699827069E-2"/>
  </r>
  <r>
    <s v="2024-11-04"/>
    <x v="1"/>
    <n v="947"/>
    <n v="407"/>
    <n v="319186"/>
    <n v="3.32"/>
    <n v="4996"/>
    <n v="540"/>
    <n v="1.6918035252172713E-3"/>
  </r>
  <r>
    <s v="2024-11-04"/>
    <x v="2"/>
    <n v="1821"/>
    <n v="218"/>
    <n v="439080"/>
    <n v="5.68"/>
    <n v="36095"/>
    <n v="1603"/>
    <n v="3.6508153411678964E-3"/>
  </r>
  <r>
    <s v="2024-11-04"/>
    <x v="3"/>
    <n v="1507"/>
    <n v="463"/>
    <n v="258944"/>
    <n v="6.08"/>
    <n v="16443"/>
    <n v="1044"/>
    <n v="4.0317597627286209E-3"/>
  </r>
  <r>
    <s v="2024-11-11"/>
    <x v="0"/>
    <n v="1075"/>
    <n v="173"/>
    <n v="51395"/>
    <n v="4.66"/>
    <n v="47812"/>
    <n v="902"/>
    <n v="1.7550345364335054E-2"/>
  </r>
  <r>
    <s v="2024-11-11"/>
    <x v="1"/>
    <n v="171"/>
    <n v="277"/>
    <n v="309483"/>
    <n v="8.6999999999999993"/>
    <n v="38452"/>
    <n v="-106"/>
    <n v="-3.4250669665215861E-4"/>
  </r>
  <r>
    <s v="2024-11-11"/>
    <x v="2"/>
    <n v="1487"/>
    <n v="337"/>
    <n v="87305"/>
    <n v="2.46"/>
    <n v="30428"/>
    <n v="1150"/>
    <n v="1.3172212358971423E-2"/>
  </r>
  <r>
    <s v="2024-11-11"/>
    <x v="3"/>
    <n v="454"/>
    <n v="105"/>
    <n v="121091"/>
    <n v="7.97"/>
    <n v="9269"/>
    <n v="349"/>
    <n v="2.8821299683708945E-3"/>
  </r>
  <r>
    <s v="2024-11-18"/>
    <x v="0"/>
    <n v="187"/>
    <n v="236"/>
    <n v="51087"/>
    <n v="9.41"/>
    <n v="29533"/>
    <n v="-49"/>
    <n v="-9.5914811987394058E-4"/>
  </r>
  <r>
    <s v="2024-11-18"/>
    <x v="1"/>
    <n v="513"/>
    <n v="441"/>
    <n v="338847"/>
    <n v="2.68"/>
    <n v="39997"/>
    <n v="72"/>
    <n v="2.1248528096751631E-4"/>
  </r>
  <r>
    <s v="2024-11-18"/>
    <x v="2"/>
    <n v="628"/>
    <n v="183"/>
    <n v="487523"/>
    <n v="7.32"/>
    <n v="5391"/>
    <n v="445"/>
    <n v="9.1277744844858602E-4"/>
  </r>
  <r>
    <s v="2024-11-18"/>
    <x v="3"/>
    <n v="278"/>
    <n v="218"/>
    <n v="301695"/>
    <n v="4.68"/>
    <n v="22373"/>
    <n v="60"/>
    <n v="1.9887634863023914E-4"/>
  </r>
  <r>
    <s v="2024-11-25"/>
    <x v="0"/>
    <n v="1854"/>
    <n v="161"/>
    <n v="282466"/>
    <n v="5.17"/>
    <n v="1810"/>
    <n v="1693"/>
    <n v="5.9936417126309005E-3"/>
  </r>
  <r>
    <s v="2024-11-25"/>
    <x v="1"/>
    <n v="1710"/>
    <n v="378"/>
    <n v="336661"/>
    <n v="6.2"/>
    <n v="28498"/>
    <n v="1332"/>
    <n v="3.9565022381564839E-3"/>
  </r>
  <r>
    <s v="2024-11-25"/>
    <x v="2"/>
    <n v="330"/>
    <n v="232"/>
    <n v="88455"/>
    <n v="2.69"/>
    <n v="39530"/>
    <n v="98"/>
    <n v="1.1079079758069075E-3"/>
  </r>
  <r>
    <s v="2024-11-25"/>
    <x v="3"/>
    <n v="1293"/>
    <n v="408"/>
    <n v="62535"/>
    <n v="8.9"/>
    <n v="37876"/>
    <n v="885"/>
    <n v="1.4152074838090669E-2"/>
  </r>
  <r>
    <s v="2024-12-02"/>
    <x v="0"/>
    <n v="1696"/>
    <n v="71"/>
    <n v="421957"/>
    <n v="3.79"/>
    <n v="36103"/>
    <n v="1625"/>
    <n v="3.8511033114748661E-3"/>
  </r>
  <r>
    <s v="2024-12-02"/>
    <x v="1"/>
    <n v="1902"/>
    <n v="196"/>
    <n v="470269"/>
    <n v="4.79"/>
    <n v="26103"/>
    <n v="1706"/>
    <n v="3.6277109484146308E-3"/>
  </r>
  <r>
    <s v="2024-12-02"/>
    <x v="2"/>
    <n v="1441"/>
    <n v="268"/>
    <n v="309904"/>
    <n v="6.37"/>
    <n v="3455"/>
    <n v="1173"/>
    <n v="3.7850431101244257E-3"/>
  </r>
  <r>
    <s v="2024-12-02"/>
    <x v="3"/>
    <n v="452"/>
    <n v="161"/>
    <n v="221274"/>
    <n v="2.65"/>
    <n v="40888"/>
    <n v="291"/>
    <n v="1.3151115811166245E-3"/>
  </r>
  <r>
    <s v="2024-12-09"/>
    <x v="0"/>
    <n v="1494"/>
    <n v="375"/>
    <n v="220616"/>
    <n v="1.81"/>
    <n v="22724"/>
    <n v="1119"/>
    <n v="5.0721615839286359E-3"/>
  </r>
  <r>
    <s v="2024-12-09"/>
    <x v="1"/>
    <n v="1514"/>
    <n v="141"/>
    <n v="35842"/>
    <n v="7.47"/>
    <n v="18601"/>
    <n v="1373"/>
    <n v="3.8307014117515761E-2"/>
  </r>
  <r>
    <s v="2024-12-09"/>
    <x v="2"/>
    <n v="1937"/>
    <n v="210"/>
    <n v="20607"/>
    <n v="4.2"/>
    <n v="20861"/>
    <n v="1727"/>
    <n v="8.3806473528412681E-2"/>
  </r>
  <r>
    <s v="2024-12-09"/>
    <x v="3"/>
    <n v="736"/>
    <n v="163"/>
    <n v="451894"/>
    <n v="5.43"/>
    <n v="46625"/>
    <n v="573"/>
    <n v="1.2679964770499277E-3"/>
  </r>
  <r>
    <s v="2024-12-16"/>
    <x v="0"/>
    <n v="1502"/>
    <n v="70"/>
    <n v="465553"/>
    <n v="3.32"/>
    <n v="20692"/>
    <n v="1432"/>
    <n v="3.0759118725472716E-3"/>
  </r>
  <r>
    <s v="2024-12-16"/>
    <x v="1"/>
    <n v="1623"/>
    <n v="246"/>
    <n v="415815"/>
    <n v="8.11"/>
    <n v="18656"/>
    <n v="1377"/>
    <n v="3.311568846722701E-3"/>
  </r>
  <r>
    <s v="2024-12-16"/>
    <x v="2"/>
    <n v="1592"/>
    <n v="233"/>
    <n v="327183"/>
    <n v="6.66"/>
    <n v="13316"/>
    <n v="1359"/>
    <n v="4.1536387893013997E-3"/>
  </r>
  <r>
    <s v="2024-12-16"/>
    <x v="3"/>
    <n v="1004"/>
    <n v="128"/>
    <n v="488901"/>
    <n v="8.09"/>
    <n v="49558"/>
    <n v="876"/>
    <n v="1.7917737946946315E-3"/>
  </r>
  <r>
    <s v="2024-12-23"/>
    <x v="0"/>
    <n v="1092"/>
    <n v="408"/>
    <n v="280795"/>
    <n v="8.44"/>
    <n v="4683"/>
    <n v="684"/>
    <n v="2.4359408109118751E-3"/>
  </r>
  <r>
    <s v="2024-12-23"/>
    <x v="1"/>
    <n v="1155"/>
    <n v="425"/>
    <n v="93347"/>
    <n v="2.02"/>
    <n v="47502"/>
    <n v="730"/>
    <n v="7.8202834584935772E-3"/>
  </r>
  <r>
    <s v="2024-12-23"/>
    <x v="2"/>
    <n v="1137"/>
    <n v="226"/>
    <n v="81119"/>
    <n v="7.74"/>
    <n v="35359"/>
    <n v="911"/>
    <n v="1.1230414576116569E-2"/>
  </r>
  <r>
    <s v="2024-12-23"/>
    <x v="3"/>
    <n v="1900"/>
    <n v="311"/>
    <n v="25177"/>
    <n v="2.89"/>
    <n v="14154"/>
    <n v="1589"/>
    <n v="6.3113158835445049E-2"/>
  </r>
  <r>
    <s v="2024-12-30"/>
    <x v="0"/>
    <n v="1814"/>
    <n v="49"/>
    <n v="140804"/>
    <n v="1.76"/>
    <n v="4313"/>
    <n v="1765"/>
    <n v="1.253515525127127E-2"/>
  </r>
  <r>
    <s v="2024-12-30"/>
    <x v="1"/>
    <n v="1980"/>
    <n v="204"/>
    <n v="379431"/>
    <n v="3.09"/>
    <n v="25140"/>
    <n v="1776"/>
    <n v="4.6806929323118035E-3"/>
  </r>
  <r>
    <s v="2024-12-30"/>
    <x v="2"/>
    <n v="1786"/>
    <n v="257"/>
    <n v="274831"/>
    <n v="4.68"/>
    <n v="9118"/>
    <n v="1529"/>
    <n v="5.5634189738421064E-3"/>
  </r>
  <r>
    <s v="2024-12-30"/>
    <x v="3"/>
    <n v="1495"/>
    <n v="35"/>
    <n v="136845"/>
    <n v="4.4800000000000004"/>
    <n v="39931"/>
    <n v="1460"/>
    <n v="1.0669005078738719E-2"/>
  </r>
  <r>
    <s v="2025-01-06"/>
    <x v="0"/>
    <n v="1013"/>
    <n v="110"/>
    <n v="466382"/>
    <n v="5.3"/>
    <n v="37132"/>
    <n v="903"/>
    <n v="1.9361810704529763E-3"/>
  </r>
  <r>
    <s v="2025-01-06"/>
    <x v="1"/>
    <n v="816"/>
    <n v="196"/>
    <n v="95728"/>
    <n v="8.1999999999999993"/>
    <n v="17951"/>
    <n v="620"/>
    <n v="6.4766839378238338E-3"/>
  </r>
  <r>
    <s v="2025-01-06"/>
    <x v="2"/>
    <n v="1633"/>
    <n v="445"/>
    <n v="371156"/>
    <n v="2.2200000000000002"/>
    <n v="2798"/>
    <n v="1188"/>
    <n v="3.2008104408927781E-3"/>
  </r>
  <r>
    <s v="2025-01-06"/>
    <x v="3"/>
    <n v="891"/>
    <n v="45"/>
    <n v="95410"/>
    <n v="8.33"/>
    <n v="15045"/>
    <n v="846"/>
    <n v="8.8669950738916262E-3"/>
  </r>
  <r>
    <s v="2025-01-13"/>
    <x v="0"/>
    <n v="1855"/>
    <n v="133"/>
    <n v="349413"/>
    <n v="3.3"/>
    <n v="14548"/>
    <n v="1722"/>
    <n v="4.9282654051223049E-3"/>
  </r>
  <r>
    <s v="2025-01-13"/>
    <x v="1"/>
    <n v="651"/>
    <n v="353"/>
    <n v="224699"/>
    <n v="5.61"/>
    <n v="45708"/>
    <n v="298"/>
    <n v="1.3262186302564765E-3"/>
  </r>
  <r>
    <s v="2025-01-13"/>
    <x v="2"/>
    <n v="118"/>
    <n v="262"/>
    <n v="487896"/>
    <n v="2.56"/>
    <n v="12350"/>
    <n v="-144"/>
    <n v="-2.9514486693885583E-4"/>
  </r>
  <r>
    <s v="2025-01-13"/>
    <x v="3"/>
    <n v="1331"/>
    <n v="430"/>
    <n v="14437"/>
    <n v="3.29"/>
    <n v="40868"/>
    <n v="901"/>
    <n v="6.2409087760615087E-2"/>
  </r>
  <r>
    <s v="2025-01-20"/>
    <x v="0"/>
    <n v="1748"/>
    <n v="176"/>
    <n v="383681"/>
    <n v="9.24"/>
    <n v="43122"/>
    <n v="1572"/>
    <n v="4.0971536250166149E-3"/>
  </r>
  <r>
    <s v="2025-01-20"/>
    <x v="1"/>
    <n v="663"/>
    <n v="236"/>
    <n v="479490"/>
    <n v="4.51"/>
    <n v="23853"/>
    <n v="427"/>
    <n v="8.9052952094934197E-4"/>
  </r>
  <r>
    <s v="2025-01-20"/>
    <x v="2"/>
    <n v="1040"/>
    <n v="149"/>
    <n v="124404"/>
    <n v="5.23"/>
    <n v="45380"/>
    <n v="891"/>
    <n v="7.1621491270377159E-3"/>
  </r>
  <r>
    <s v="2025-01-20"/>
    <x v="3"/>
    <n v="1166"/>
    <n v="442"/>
    <n v="336949"/>
    <n v="4.68"/>
    <n v="7705"/>
    <n v="724"/>
    <n v="2.1486931256659019E-3"/>
  </r>
  <r>
    <s v="2025-01-27"/>
    <x v="0"/>
    <n v="115"/>
    <n v="281"/>
    <n v="357265"/>
    <n v="9.23"/>
    <n v="25525"/>
    <n v="-166"/>
    <n v="-4.6464109274628077E-4"/>
  </r>
  <r>
    <s v="2025-01-27"/>
    <x v="1"/>
    <n v="1249"/>
    <n v="351"/>
    <n v="321307"/>
    <n v="6.37"/>
    <n v="20560"/>
    <n v="898"/>
    <n v="2.7948348464241365E-3"/>
  </r>
  <r>
    <s v="2025-01-27"/>
    <x v="2"/>
    <n v="1501"/>
    <n v="75"/>
    <n v="262569"/>
    <n v="2.0099999999999998"/>
    <n v="19119"/>
    <n v="1426"/>
    <n v="5.4309533874905263E-3"/>
  </r>
  <r>
    <s v="2025-01-27"/>
    <x v="3"/>
    <n v="1411"/>
    <n v="186"/>
    <n v="461669"/>
    <n v="3.72"/>
    <n v="43999"/>
    <n v="1225"/>
    <n v="2.6534161921203288E-3"/>
  </r>
  <r>
    <s v="2025-02-03"/>
    <x v="0"/>
    <n v="1556"/>
    <n v="476"/>
    <n v="351556"/>
    <n v="3.89"/>
    <n v="10825"/>
    <n v="1080"/>
    <n v="3.0720567989168156E-3"/>
  </r>
  <r>
    <s v="2025-02-03"/>
    <x v="1"/>
    <n v="1159"/>
    <n v="411"/>
    <n v="135987"/>
    <n v="8.6999999999999993"/>
    <n v="40323"/>
    <n v="748"/>
    <n v="5.5005257855530306E-3"/>
  </r>
  <r>
    <s v="2025-02-03"/>
    <x v="2"/>
    <n v="927"/>
    <n v="358"/>
    <n v="177554"/>
    <n v="6.95"/>
    <n v="48270"/>
    <n v="569"/>
    <n v="3.2046588643454949E-3"/>
  </r>
  <r>
    <s v="2025-02-03"/>
    <x v="3"/>
    <n v="152"/>
    <n v="355"/>
    <n v="270766"/>
    <n v="9.48"/>
    <n v="18001"/>
    <n v="-203"/>
    <n v="-7.4972485467156139E-4"/>
  </r>
  <r>
    <s v="2025-02-10"/>
    <x v="0"/>
    <n v="1957"/>
    <n v="234"/>
    <n v="222126"/>
    <n v="4.6100000000000003"/>
    <n v="3314"/>
    <n v="1723"/>
    <n v="7.7568587198256845E-3"/>
  </r>
  <r>
    <s v="2025-02-10"/>
    <x v="1"/>
    <n v="1294"/>
    <n v="382"/>
    <n v="309914"/>
    <n v="8.0299999999999994"/>
    <n v="23489"/>
    <n v="912"/>
    <n v="2.9427518601934728E-3"/>
  </r>
  <r>
    <s v="2025-02-10"/>
    <x v="2"/>
    <n v="1587"/>
    <n v="385"/>
    <n v="126582"/>
    <n v="6.99"/>
    <n v="42832"/>
    <n v="1202"/>
    <n v="9.4958208908059605E-3"/>
  </r>
  <r>
    <s v="2025-02-10"/>
    <x v="3"/>
    <n v="1707"/>
    <n v="263"/>
    <n v="485280"/>
    <n v="9.0299999999999994"/>
    <n v="24494"/>
    <n v="1444"/>
    <n v="2.9756017144741179E-3"/>
  </r>
  <r>
    <s v="2025-02-17"/>
    <x v="0"/>
    <n v="1138"/>
    <n v="173"/>
    <n v="453243"/>
    <n v="2.86"/>
    <n v="44097"/>
    <n v="965"/>
    <n v="2.1291007252180398E-3"/>
  </r>
  <r>
    <s v="2025-02-17"/>
    <x v="1"/>
    <n v="1895"/>
    <n v="305"/>
    <n v="104967"/>
    <n v="3.85"/>
    <n v="31853"/>
    <n v="1590"/>
    <n v="1.5147617822744291E-2"/>
  </r>
  <r>
    <s v="2025-02-17"/>
    <x v="2"/>
    <n v="362"/>
    <n v="399"/>
    <n v="145608"/>
    <n v="7.3"/>
    <n v="37636"/>
    <n v="-37"/>
    <n v="-2.5410691720235154E-4"/>
  </r>
  <r>
    <s v="2025-02-17"/>
    <x v="3"/>
    <n v="1662"/>
    <n v="487"/>
    <n v="105980"/>
    <n v="9.08"/>
    <n v="22996"/>
    <n v="1175"/>
    <n v="1.1086997546706926E-2"/>
  </r>
  <r>
    <s v="2025-02-24"/>
    <x v="0"/>
    <n v="1440"/>
    <n v="65"/>
    <n v="126524"/>
    <n v="4.34"/>
    <n v="49772"/>
    <n v="1375"/>
    <n v="1.0867503398564699E-2"/>
  </r>
  <r>
    <s v="2025-02-24"/>
    <x v="1"/>
    <n v="1884"/>
    <n v="177"/>
    <n v="230448"/>
    <n v="7.8"/>
    <n v="22713"/>
    <n v="1707"/>
    <n v="7.4073109768798169E-3"/>
  </r>
  <r>
    <s v="2025-02-24"/>
    <x v="2"/>
    <n v="861"/>
    <n v="153"/>
    <n v="317007"/>
    <n v="3.85"/>
    <n v="8718"/>
    <n v="708"/>
    <n v="2.2333891680625349E-3"/>
  </r>
  <r>
    <s v="2025-02-24"/>
    <x v="3"/>
    <n v="1063"/>
    <n v="47"/>
    <n v="464239"/>
    <n v="6.58"/>
    <n v="39031"/>
    <n v="1016"/>
    <n v="2.1885278918832756E-3"/>
  </r>
  <r>
    <s v="2025-03-03"/>
    <x v="0"/>
    <n v="1371"/>
    <n v="56"/>
    <n v="257579"/>
    <n v="8.6199999999999992"/>
    <n v="33799"/>
    <n v="1315"/>
    <n v="5.1052298518124532E-3"/>
  </r>
  <r>
    <s v="2025-03-03"/>
    <x v="1"/>
    <n v="345"/>
    <n v="464"/>
    <n v="366881"/>
    <n v="4.55"/>
    <n v="20553"/>
    <n v="-119"/>
    <n v="-3.2435585380545735E-4"/>
  </r>
  <r>
    <s v="2025-03-03"/>
    <x v="2"/>
    <n v="946"/>
    <n v="47"/>
    <n v="466575"/>
    <n v="8.33"/>
    <n v="10002"/>
    <n v="899"/>
    <n v="1.9268070513850934E-3"/>
  </r>
  <r>
    <s v="2025-03-03"/>
    <x v="3"/>
    <n v="510"/>
    <n v="195"/>
    <n v="224534"/>
    <n v="9.4"/>
    <n v="30987"/>
    <n v="315"/>
    <n v="1.4029055733207443E-3"/>
  </r>
  <r>
    <s v="2025-03-10"/>
    <x v="0"/>
    <n v="393"/>
    <n v="181"/>
    <n v="462142"/>
    <n v="7.23"/>
    <n v="6296"/>
    <n v="212"/>
    <n v="4.5873346287504706E-4"/>
  </r>
  <r>
    <s v="2025-03-10"/>
    <x v="1"/>
    <n v="1098"/>
    <n v="190"/>
    <n v="340842"/>
    <n v="9.39"/>
    <n v="21539"/>
    <n v="908"/>
    <n v="2.6639909400836752E-3"/>
  </r>
  <r>
    <s v="2025-03-10"/>
    <x v="2"/>
    <n v="1399"/>
    <n v="49"/>
    <n v="12471"/>
    <n v="5.12"/>
    <n v="14722"/>
    <n v="1350"/>
    <n v="0.10825114265095021"/>
  </r>
  <r>
    <s v="2025-03-10"/>
    <x v="3"/>
    <n v="1658"/>
    <n v="416"/>
    <n v="98397"/>
    <n v="6.11"/>
    <n v="11383"/>
    <n v="1242"/>
    <n v="1.2622336046830695E-2"/>
  </r>
  <r>
    <s v="2025-03-17"/>
    <x v="0"/>
    <n v="1102"/>
    <n v="422"/>
    <n v="410330"/>
    <n v="7.74"/>
    <n v="9480"/>
    <n v="680"/>
    <n v="1.6572027392586454E-3"/>
  </r>
  <r>
    <s v="2025-03-17"/>
    <x v="1"/>
    <n v="1358"/>
    <n v="242"/>
    <n v="342129"/>
    <n v="4.9400000000000004"/>
    <n v="29116"/>
    <n v="1116"/>
    <n v="3.2619275185675578E-3"/>
  </r>
  <r>
    <s v="2025-03-17"/>
    <x v="2"/>
    <n v="1077"/>
    <n v="216"/>
    <n v="12447"/>
    <n v="1.8"/>
    <n v="14068"/>
    <n v="861"/>
    <n v="6.9173294769824048E-2"/>
  </r>
  <r>
    <s v="2025-03-17"/>
    <x v="3"/>
    <n v="1596"/>
    <n v="211"/>
    <n v="17380"/>
    <n v="8.64"/>
    <n v="35801"/>
    <n v="1385"/>
    <n v="7.9689298043728429E-2"/>
  </r>
  <r>
    <s v="2025-03-24"/>
    <x v="0"/>
    <n v="490"/>
    <n v="29"/>
    <n v="364810"/>
    <n v="1.53"/>
    <n v="49077"/>
    <n v="461"/>
    <n v="1.2636715002329981E-3"/>
  </r>
  <r>
    <s v="2025-03-24"/>
    <x v="1"/>
    <n v="609"/>
    <n v="135"/>
    <n v="373606"/>
    <n v="8.52"/>
    <n v="21453"/>
    <n v="474"/>
    <n v="1.268716241173857E-3"/>
  </r>
  <r>
    <s v="2025-03-24"/>
    <x v="2"/>
    <n v="364"/>
    <n v="72"/>
    <n v="211090"/>
    <n v="5.53"/>
    <n v="21061"/>
    <n v="292"/>
    <n v="1.3832962243592781E-3"/>
  </r>
  <r>
    <s v="2025-03-24"/>
    <x v="3"/>
    <n v="442"/>
    <n v="53"/>
    <n v="441931"/>
    <n v="1.87"/>
    <n v="20059"/>
    <n v="389"/>
    <n v="8.8022790888170322E-4"/>
  </r>
  <r>
    <s v="2025-03-31"/>
    <x v="0"/>
    <n v="1033"/>
    <n v="392"/>
    <n v="282780"/>
    <n v="6.27"/>
    <n v="23140"/>
    <n v="641"/>
    <n v="2.2667798288422093E-3"/>
  </r>
  <r>
    <s v="2025-03-31"/>
    <x v="1"/>
    <n v="988"/>
    <n v="474"/>
    <n v="370070"/>
    <n v="9.4600000000000009"/>
    <n v="23461"/>
    <n v="514"/>
    <n v="1.3889264193260734E-3"/>
  </r>
  <r>
    <s v="2025-03-31"/>
    <x v="2"/>
    <n v="1946"/>
    <n v="270"/>
    <n v="198350"/>
    <n v="7.5"/>
    <n v="11805"/>
    <n v="1676"/>
    <n v="8.4497101083942528E-3"/>
  </r>
  <r>
    <s v="2025-03-31"/>
    <x v="3"/>
    <n v="1957"/>
    <n v="490"/>
    <n v="435726"/>
    <n v="4.7300000000000004"/>
    <n v="15969"/>
    <n v="1467"/>
    <n v="3.3667947287974553E-3"/>
  </r>
  <r>
    <s v="2025-04-07"/>
    <x v="0"/>
    <n v="559"/>
    <n v="392"/>
    <n v="78789"/>
    <n v="3.19"/>
    <n v="2436"/>
    <n v="167"/>
    <n v="2.1195852212872357E-3"/>
  </r>
  <r>
    <s v="2025-04-07"/>
    <x v="1"/>
    <n v="1307"/>
    <n v="278"/>
    <n v="98596"/>
    <n v="2.4900000000000002"/>
    <n v="47603"/>
    <n v="1029"/>
    <n v="1.0436528865268368E-2"/>
  </r>
  <r>
    <s v="2025-04-07"/>
    <x v="2"/>
    <n v="1432"/>
    <n v="425"/>
    <n v="29589"/>
    <n v="4.5"/>
    <n v="42964"/>
    <n v="1007"/>
    <n v="3.4032917638311531E-2"/>
  </r>
  <r>
    <s v="2025-04-07"/>
    <x v="3"/>
    <n v="623"/>
    <n v="414"/>
    <n v="290354"/>
    <n v="6.49"/>
    <n v="39923"/>
    <n v="209"/>
    <n v="7.1981098934404211E-4"/>
  </r>
  <r>
    <s v="2025-04-14"/>
    <x v="0"/>
    <n v="198"/>
    <n v="358"/>
    <n v="66682"/>
    <n v="6.73"/>
    <n v="2293"/>
    <n v="-160"/>
    <n v="-2.3994481269308059E-3"/>
  </r>
  <r>
    <s v="2025-04-14"/>
    <x v="1"/>
    <n v="198"/>
    <n v="373"/>
    <n v="70707"/>
    <n v="4.83"/>
    <n v="25920"/>
    <n v="-175"/>
    <n v="-2.4750024750024749E-3"/>
  </r>
  <r>
    <s v="2025-04-14"/>
    <x v="2"/>
    <n v="353"/>
    <n v="300"/>
    <n v="142507"/>
    <n v="5.3"/>
    <n v="11035"/>
    <n v="53"/>
    <n v="3.7191155522184875E-4"/>
  </r>
  <r>
    <s v="2025-04-14"/>
    <x v="3"/>
    <n v="520"/>
    <n v="375"/>
    <n v="369525"/>
    <n v="6.54"/>
    <n v="20733"/>
    <n v="145"/>
    <n v="3.9239564305527366E-4"/>
  </r>
  <r>
    <s v="2025-04-21"/>
    <x v="0"/>
    <n v="961"/>
    <n v="358"/>
    <n v="62942"/>
    <n v="6.8"/>
    <n v="18693"/>
    <n v="603"/>
    <n v="9.5802484827301332E-3"/>
  </r>
  <r>
    <s v="2025-04-21"/>
    <x v="1"/>
    <n v="1375"/>
    <n v="330"/>
    <n v="377382"/>
    <n v="2.6"/>
    <n v="7875"/>
    <n v="1045"/>
    <n v="2.7690774864725927E-3"/>
  </r>
  <r>
    <s v="2025-04-21"/>
    <x v="2"/>
    <n v="1147"/>
    <n v="388"/>
    <n v="333851"/>
    <n v="2.44"/>
    <n v="8471"/>
    <n v="759"/>
    <n v="2.2734693021737242E-3"/>
  </r>
  <r>
    <s v="2025-04-21"/>
    <x v="3"/>
    <n v="1707"/>
    <n v="74"/>
    <n v="270958"/>
    <n v="3.09"/>
    <n v="14090"/>
    <n v="1633"/>
    <n v="6.0267642955734836E-3"/>
  </r>
  <r>
    <s v="2025-04-28"/>
    <x v="0"/>
    <n v="1693"/>
    <n v="154"/>
    <n v="445944"/>
    <n v="5.69"/>
    <n v="14216"/>
    <n v="1539"/>
    <n v="3.4511059684624078E-3"/>
  </r>
  <r>
    <s v="2025-04-28"/>
    <x v="1"/>
    <n v="833"/>
    <n v="380"/>
    <n v="224830"/>
    <n v="3.86"/>
    <n v="3582"/>
    <n v="453"/>
    <n v="2.014855668727483E-3"/>
  </r>
  <r>
    <s v="2025-04-28"/>
    <x v="2"/>
    <n v="1222"/>
    <n v="274"/>
    <n v="487289"/>
    <n v="3.16"/>
    <n v="32500"/>
    <n v="948"/>
    <n v="1.9454574184929272E-3"/>
  </r>
  <r>
    <s v="2025-04-28"/>
    <x v="3"/>
    <n v="777"/>
    <n v="140"/>
    <n v="11435"/>
    <n v="1.6"/>
    <n v="6832"/>
    <n v="637"/>
    <n v="5.5706165282028861E-2"/>
  </r>
  <r>
    <s v="2025-05-05"/>
    <x v="0"/>
    <n v="1957"/>
    <n v="76"/>
    <n v="447902"/>
    <n v="6.09"/>
    <n v="33381"/>
    <n v="1881"/>
    <n v="4.1995793722733989E-3"/>
  </r>
  <r>
    <s v="2025-05-05"/>
    <x v="1"/>
    <n v="405"/>
    <n v="66"/>
    <n v="418696"/>
    <n v="5.59"/>
    <n v="48419"/>
    <n v="339"/>
    <n v="8.0965664826031301E-4"/>
  </r>
  <r>
    <s v="2025-05-05"/>
    <x v="2"/>
    <n v="1581"/>
    <n v="71"/>
    <n v="484364"/>
    <n v="3.55"/>
    <n v="16149"/>
    <n v="1510"/>
    <n v="3.1174901520344203E-3"/>
  </r>
  <r>
    <s v="2025-05-05"/>
    <x v="3"/>
    <n v="1035"/>
    <n v="171"/>
    <n v="148477"/>
    <n v="5.21"/>
    <n v="7541"/>
    <n v="864"/>
    <n v="5.8190830903102836E-3"/>
  </r>
  <r>
    <s v="2025-05-12"/>
    <x v="0"/>
    <n v="1765"/>
    <n v="109"/>
    <n v="468301"/>
    <n v="1.82"/>
    <n v="20042"/>
    <n v="1656"/>
    <n v="3.5361871958419907E-3"/>
  </r>
  <r>
    <s v="2025-05-12"/>
    <x v="1"/>
    <n v="837"/>
    <n v="430"/>
    <n v="364820"/>
    <n v="4"/>
    <n v="49400"/>
    <n v="407"/>
    <n v="1.1156186612576065E-3"/>
  </r>
  <r>
    <s v="2025-05-12"/>
    <x v="2"/>
    <n v="337"/>
    <n v="68"/>
    <n v="456298"/>
    <n v="7.57"/>
    <n v="4007"/>
    <n v="269"/>
    <n v="5.8952701962314107E-4"/>
  </r>
  <r>
    <s v="2025-05-12"/>
    <x v="3"/>
    <n v="119"/>
    <n v="456"/>
    <n v="82558"/>
    <n v="6.81"/>
    <n v="12174"/>
    <n v="-337"/>
    <n v="-4.0819787301048958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135"/>
    <n v="88"/>
    <n v="344084"/>
    <n v="8.06"/>
    <x v="0"/>
    <n v="1047"/>
    <n v="3.0428616268120576E-3"/>
    <x v="0"/>
  </r>
  <r>
    <s v="2024-06-03"/>
    <x v="1"/>
    <n v="1312"/>
    <n v="310"/>
    <n v="42654"/>
    <n v="4.9800000000000004"/>
    <x v="1"/>
    <n v="1002"/>
    <n v="2.3491348994232664E-2"/>
    <x v="0"/>
  </r>
  <r>
    <s v="2024-06-03"/>
    <x v="2"/>
    <n v="584"/>
    <n v="169"/>
    <n v="146834"/>
    <n v="8.31"/>
    <x v="2"/>
    <n v="415"/>
    <n v="2.826320879360366E-3"/>
    <x v="0"/>
  </r>
  <r>
    <s v="2024-06-03"/>
    <x v="3"/>
    <n v="1535"/>
    <n v="445"/>
    <n v="395536"/>
    <n v="4.1100000000000003"/>
    <x v="3"/>
    <n v="1090"/>
    <n v="2.7557542170624167E-3"/>
    <x v="0"/>
  </r>
  <r>
    <s v="2024-06-10"/>
    <x v="0"/>
    <n v="656"/>
    <n v="139"/>
    <n v="49157"/>
    <n v="9.0500000000000007"/>
    <x v="4"/>
    <n v="517"/>
    <n v="1.0517322049758936E-2"/>
    <x v="1"/>
  </r>
  <r>
    <s v="2024-06-10"/>
    <x v="1"/>
    <n v="1697"/>
    <n v="414"/>
    <n v="316555"/>
    <n v="2.37"/>
    <x v="5"/>
    <n v="1283"/>
    <n v="4.0530081660374974E-3"/>
    <x v="1"/>
  </r>
  <r>
    <s v="2024-06-10"/>
    <x v="2"/>
    <n v="436"/>
    <n v="250"/>
    <n v="254347"/>
    <n v="4.01"/>
    <x v="6"/>
    <n v="186"/>
    <n v="7.3128442639386348E-4"/>
    <x v="1"/>
  </r>
  <r>
    <s v="2024-06-10"/>
    <x v="3"/>
    <n v="1197"/>
    <n v="203"/>
    <n v="413878"/>
    <n v="3.16"/>
    <x v="7"/>
    <n v="994"/>
    <n v="2.4016739232334168E-3"/>
    <x v="1"/>
  </r>
  <r>
    <s v="2024-06-17"/>
    <x v="0"/>
    <n v="1048"/>
    <n v="155"/>
    <n v="456946"/>
    <n v="2.46"/>
    <x v="8"/>
    <n v="893"/>
    <n v="1.9542790614208243E-3"/>
    <x v="2"/>
  </r>
  <r>
    <s v="2024-06-17"/>
    <x v="1"/>
    <n v="1753"/>
    <n v="371"/>
    <n v="169496"/>
    <n v="8.11"/>
    <x v="9"/>
    <n v="1382"/>
    <n v="8.1535847453627231E-3"/>
    <x v="2"/>
  </r>
  <r>
    <s v="2024-06-17"/>
    <x v="2"/>
    <n v="1335"/>
    <n v="40"/>
    <n v="122732"/>
    <n v="8.19"/>
    <x v="10"/>
    <n v="1295"/>
    <n v="1.0551445425805821E-2"/>
    <x v="2"/>
  </r>
  <r>
    <s v="2024-06-17"/>
    <x v="3"/>
    <n v="403"/>
    <n v="66"/>
    <n v="382851"/>
    <n v="3.49"/>
    <x v="11"/>
    <n v="337"/>
    <n v="8.80238003818718E-4"/>
    <x v="2"/>
  </r>
  <r>
    <s v="2024-06-24"/>
    <x v="0"/>
    <n v="911"/>
    <n v="282"/>
    <n v="35664"/>
    <n v="6.92"/>
    <x v="12"/>
    <n v="629"/>
    <n v="1.7636832660385824E-2"/>
    <x v="3"/>
  </r>
  <r>
    <s v="2024-06-24"/>
    <x v="1"/>
    <n v="1779"/>
    <n v="109"/>
    <n v="26295"/>
    <n v="9.1199999999999992"/>
    <x v="13"/>
    <n v="1670"/>
    <n v="6.3510173036698994E-2"/>
    <x v="3"/>
  </r>
  <r>
    <s v="2024-06-24"/>
    <x v="2"/>
    <n v="1238"/>
    <n v="403"/>
    <n v="298421"/>
    <n v="3.5"/>
    <x v="14"/>
    <n v="835"/>
    <n v="2.798060458211721E-3"/>
    <x v="3"/>
  </r>
  <r>
    <s v="2024-06-24"/>
    <x v="3"/>
    <n v="308"/>
    <n v="431"/>
    <n v="426184"/>
    <n v="2.62"/>
    <x v="15"/>
    <n v="-123"/>
    <n v="-2.8860773750305035E-4"/>
    <x v="3"/>
  </r>
  <r>
    <s v="2024-07-01"/>
    <x v="0"/>
    <n v="226"/>
    <n v="445"/>
    <n v="419447"/>
    <n v="9.36"/>
    <x v="1"/>
    <n v="-219"/>
    <n v="-5.2211602419375983E-4"/>
    <x v="4"/>
  </r>
  <r>
    <s v="2024-07-01"/>
    <x v="1"/>
    <n v="505"/>
    <n v="441"/>
    <n v="220020"/>
    <n v="4.4800000000000004"/>
    <x v="16"/>
    <n v="64"/>
    <n v="2.9088264703208797E-4"/>
    <x v="4"/>
  </r>
  <r>
    <s v="2024-07-01"/>
    <x v="2"/>
    <n v="1420"/>
    <n v="63"/>
    <n v="315305"/>
    <n v="6.19"/>
    <x v="17"/>
    <n v="1357"/>
    <n v="4.3037693661692649E-3"/>
    <x v="4"/>
  </r>
  <r>
    <s v="2024-07-01"/>
    <x v="3"/>
    <n v="144"/>
    <n v="53"/>
    <n v="113678"/>
    <n v="8.7200000000000006"/>
    <x v="18"/>
    <n v="91"/>
    <n v="8.0050669434719116E-4"/>
    <x v="4"/>
  </r>
  <r>
    <s v="2024-07-08"/>
    <x v="0"/>
    <n v="1757"/>
    <n v="85"/>
    <n v="58223"/>
    <n v="8.74"/>
    <x v="19"/>
    <n v="1672"/>
    <n v="2.8717173625543171E-2"/>
    <x v="5"/>
  </r>
  <r>
    <s v="2024-07-08"/>
    <x v="1"/>
    <n v="350"/>
    <n v="41"/>
    <n v="251694"/>
    <n v="1.91"/>
    <x v="20"/>
    <n v="309"/>
    <n v="1.2276812319721568E-3"/>
    <x v="5"/>
  </r>
  <r>
    <s v="2024-07-08"/>
    <x v="2"/>
    <n v="987"/>
    <n v="440"/>
    <n v="389810"/>
    <n v="4.66"/>
    <x v="21"/>
    <n v="547"/>
    <n v="1.40324773607655E-3"/>
    <x v="5"/>
  </r>
  <r>
    <s v="2024-07-08"/>
    <x v="3"/>
    <n v="883"/>
    <n v="369"/>
    <n v="233694"/>
    <n v="2.88"/>
    <x v="22"/>
    <n v="514"/>
    <n v="2.1994574101175039E-3"/>
    <x v="5"/>
  </r>
  <r>
    <s v="2024-07-15"/>
    <x v="0"/>
    <n v="1960"/>
    <n v="115"/>
    <n v="154169"/>
    <n v="3.74"/>
    <x v="23"/>
    <n v="1845"/>
    <n v="1.1967386439556591E-2"/>
    <x v="6"/>
  </r>
  <r>
    <s v="2024-07-15"/>
    <x v="1"/>
    <n v="170"/>
    <n v="334"/>
    <n v="334626"/>
    <n v="6.44"/>
    <x v="24"/>
    <n v="-164"/>
    <n v="-4.9009939454794306E-4"/>
    <x v="6"/>
  </r>
  <r>
    <s v="2024-07-15"/>
    <x v="2"/>
    <n v="704"/>
    <n v="275"/>
    <n v="226002"/>
    <n v="8.56"/>
    <x v="25"/>
    <n v="429"/>
    <n v="1.8982132901478749E-3"/>
    <x v="6"/>
  </r>
  <r>
    <s v="2024-07-15"/>
    <x v="3"/>
    <n v="224"/>
    <n v="64"/>
    <n v="156683"/>
    <n v="4.5599999999999996"/>
    <x v="26"/>
    <n v="160"/>
    <n v="1.0211701333265254E-3"/>
    <x v="6"/>
  </r>
  <r>
    <s v="2024-07-22"/>
    <x v="0"/>
    <n v="508"/>
    <n v="349"/>
    <n v="473812"/>
    <n v="7.88"/>
    <x v="27"/>
    <n v="159"/>
    <n v="3.3557613568250698E-4"/>
    <x v="7"/>
  </r>
  <r>
    <s v="2024-07-22"/>
    <x v="1"/>
    <n v="1391"/>
    <n v="430"/>
    <n v="295032"/>
    <n v="7.86"/>
    <x v="28"/>
    <n v="961"/>
    <n v="3.2572737872501967E-3"/>
    <x v="7"/>
  </r>
  <r>
    <s v="2024-07-22"/>
    <x v="2"/>
    <n v="1701"/>
    <n v="385"/>
    <n v="198278"/>
    <n v="5.34"/>
    <x v="29"/>
    <n v="1316"/>
    <n v="6.6371458255580548E-3"/>
    <x v="7"/>
  </r>
  <r>
    <s v="2024-07-22"/>
    <x v="3"/>
    <n v="804"/>
    <n v="487"/>
    <n v="306564"/>
    <n v="5.52"/>
    <x v="30"/>
    <n v="317"/>
    <n v="1.0340418313957282E-3"/>
    <x v="7"/>
  </r>
  <r>
    <s v="2024-07-29"/>
    <x v="0"/>
    <n v="653"/>
    <n v="112"/>
    <n v="23664"/>
    <n v="4.05"/>
    <x v="31"/>
    <n v="541"/>
    <n v="2.2861730899256253E-2"/>
    <x v="8"/>
  </r>
  <r>
    <s v="2024-07-29"/>
    <x v="1"/>
    <n v="160"/>
    <n v="478"/>
    <n v="435034"/>
    <n v="7.73"/>
    <x v="32"/>
    <n v="-318"/>
    <n v="-7.3097734889686784E-4"/>
    <x v="8"/>
  </r>
  <r>
    <s v="2024-07-29"/>
    <x v="2"/>
    <n v="1756"/>
    <n v="261"/>
    <n v="287574"/>
    <n v="4.3600000000000003"/>
    <x v="33"/>
    <n v="1495"/>
    <n v="5.1986619096302169E-3"/>
    <x v="8"/>
  </r>
  <r>
    <s v="2024-07-29"/>
    <x v="3"/>
    <n v="576"/>
    <n v="101"/>
    <n v="62499"/>
    <n v="3.48"/>
    <x v="34"/>
    <n v="475"/>
    <n v="7.600121601945631E-3"/>
    <x v="8"/>
  </r>
  <r>
    <s v="2024-08-05"/>
    <x v="0"/>
    <n v="645"/>
    <n v="293"/>
    <n v="437968"/>
    <n v="7.83"/>
    <x v="35"/>
    <n v="352"/>
    <n v="8.0371168669857163E-4"/>
    <x v="9"/>
  </r>
  <r>
    <s v="2024-08-05"/>
    <x v="1"/>
    <n v="214"/>
    <n v="411"/>
    <n v="125034"/>
    <n v="6.11"/>
    <x v="36"/>
    <n v="-197"/>
    <n v="-1.5755714445670778E-3"/>
    <x v="9"/>
  </r>
  <r>
    <s v="2024-08-05"/>
    <x v="2"/>
    <n v="826"/>
    <n v="498"/>
    <n v="449994"/>
    <n v="9.43"/>
    <x v="37"/>
    <n v="328"/>
    <n v="7.2889860753698943E-4"/>
    <x v="9"/>
  </r>
  <r>
    <s v="2024-08-05"/>
    <x v="3"/>
    <n v="460"/>
    <n v="141"/>
    <n v="320650"/>
    <n v="4.04"/>
    <x v="38"/>
    <n v="319"/>
    <n v="9.9485420240137223E-4"/>
    <x v="9"/>
  </r>
  <r>
    <s v="2024-08-12"/>
    <x v="0"/>
    <n v="1528"/>
    <n v="203"/>
    <n v="489188"/>
    <n v="6.23"/>
    <x v="39"/>
    <n v="1325"/>
    <n v="2.7085701202809553E-3"/>
    <x v="10"/>
  </r>
  <r>
    <s v="2024-08-12"/>
    <x v="1"/>
    <n v="1534"/>
    <n v="200"/>
    <n v="307612"/>
    <n v="6.01"/>
    <x v="40"/>
    <n v="1334"/>
    <n v="4.3366318609156986E-3"/>
    <x v="10"/>
  </r>
  <r>
    <s v="2024-08-12"/>
    <x v="2"/>
    <n v="485"/>
    <n v="448"/>
    <n v="434883"/>
    <n v="8.5500000000000007"/>
    <x v="41"/>
    <n v="37"/>
    <n v="8.5080354946042954E-5"/>
    <x v="10"/>
  </r>
  <r>
    <s v="2024-08-12"/>
    <x v="3"/>
    <n v="1210"/>
    <n v="178"/>
    <n v="102042"/>
    <n v="5.42"/>
    <x v="42"/>
    <n v="1032"/>
    <n v="1.011348268360087E-2"/>
    <x v="10"/>
  </r>
  <r>
    <s v="2024-08-19"/>
    <x v="0"/>
    <n v="215"/>
    <n v="139"/>
    <n v="325444"/>
    <n v="3.25"/>
    <x v="43"/>
    <n v="76"/>
    <n v="2.335271198731579E-4"/>
    <x v="11"/>
  </r>
  <r>
    <s v="2024-08-19"/>
    <x v="1"/>
    <n v="1078"/>
    <n v="20"/>
    <n v="183924"/>
    <n v="8.84"/>
    <x v="44"/>
    <n v="1058"/>
    <n v="5.7523759813836147E-3"/>
    <x v="11"/>
  </r>
  <r>
    <s v="2024-08-19"/>
    <x v="2"/>
    <n v="1751"/>
    <n v="86"/>
    <n v="188655"/>
    <n v="7.24"/>
    <x v="45"/>
    <n v="1665"/>
    <n v="8.825634093981077E-3"/>
    <x v="11"/>
  </r>
  <r>
    <s v="2024-08-19"/>
    <x v="3"/>
    <n v="221"/>
    <n v="31"/>
    <n v="87443"/>
    <n v="6.19"/>
    <x v="46"/>
    <n v="190"/>
    <n v="2.1728440241071327E-3"/>
    <x v="11"/>
  </r>
  <r>
    <s v="2024-08-26"/>
    <x v="0"/>
    <n v="1685"/>
    <n v="76"/>
    <n v="453799"/>
    <n v="5.71"/>
    <x v="47"/>
    <n v="1609"/>
    <n v="3.5456226214689766E-3"/>
    <x v="12"/>
  </r>
  <r>
    <s v="2024-08-26"/>
    <x v="1"/>
    <n v="248"/>
    <n v="211"/>
    <n v="379380"/>
    <n v="9.0399999999999991"/>
    <x v="48"/>
    <n v="37"/>
    <n v="9.7527544941747058E-5"/>
    <x v="12"/>
  </r>
  <r>
    <s v="2024-08-26"/>
    <x v="2"/>
    <n v="1300"/>
    <n v="71"/>
    <n v="186454"/>
    <n v="3.91"/>
    <x v="49"/>
    <n v="1229"/>
    <n v="6.5914381026955706E-3"/>
    <x v="12"/>
  </r>
  <r>
    <s v="2024-08-26"/>
    <x v="3"/>
    <n v="422"/>
    <n v="394"/>
    <n v="239044"/>
    <n v="7.83"/>
    <x v="50"/>
    <n v="28"/>
    <n v="1.1713324743561855E-4"/>
    <x v="12"/>
  </r>
  <r>
    <s v="2024-09-02"/>
    <x v="0"/>
    <n v="1429"/>
    <n v="182"/>
    <n v="101332"/>
    <n v="7.16"/>
    <x v="51"/>
    <n v="1247"/>
    <n v="1.2306082974775983E-2"/>
    <x v="13"/>
  </r>
  <r>
    <s v="2024-09-02"/>
    <x v="1"/>
    <n v="1520"/>
    <n v="475"/>
    <n v="496982"/>
    <n v="6.41"/>
    <x v="52"/>
    <n v="1045"/>
    <n v="2.1026918479944948E-3"/>
    <x v="13"/>
  </r>
  <r>
    <s v="2024-09-02"/>
    <x v="2"/>
    <n v="557"/>
    <n v="360"/>
    <n v="318779"/>
    <n v="8.02"/>
    <x v="53"/>
    <n v="197"/>
    <n v="6.1798299135137512E-4"/>
    <x v="13"/>
  </r>
  <r>
    <s v="2024-09-02"/>
    <x v="3"/>
    <n v="728"/>
    <n v="395"/>
    <n v="370971"/>
    <n v="3.86"/>
    <x v="54"/>
    <n v="333"/>
    <n v="8.9764429025449434E-4"/>
    <x v="13"/>
  </r>
  <r>
    <s v="2024-09-09"/>
    <x v="0"/>
    <n v="1592"/>
    <n v="20"/>
    <n v="378054"/>
    <n v="9.09"/>
    <x v="55"/>
    <n v="1572"/>
    <n v="4.1581361392816901E-3"/>
    <x v="14"/>
  </r>
  <r>
    <s v="2024-09-09"/>
    <x v="1"/>
    <n v="1842"/>
    <n v="414"/>
    <n v="307524"/>
    <n v="1.76"/>
    <x v="56"/>
    <n v="1428"/>
    <n v="4.6435400163889647E-3"/>
    <x v="14"/>
  </r>
  <r>
    <s v="2024-09-09"/>
    <x v="2"/>
    <n v="751"/>
    <n v="491"/>
    <n v="434047"/>
    <n v="9.24"/>
    <x v="57"/>
    <n v="260"/>
    <n v="5.990134708914012E-4"/>
    <x v="14"/>
  </r>
  <r>
    <s v="2024-09-09"/>
    <x v="3"/>
    <n v="1409"/>
    <n v="309"/>
    <n v="64583"/>
    <n v="8.99"/>
    <x v="58"/>
    <n v="1100"/>
    <n v="1.7032345973398571E-2"/>
    <x v="14"/>
  </r>
  <r>
    <s v="2024-09-16"/>
    <x v="0"/>
    <n v="778"/>
    <n v="401"/>
    <n v="50793"/>
    <n v="3.4"/>
    <x v="59"/>
    <n v="377"/>
    <n v="7.4222825979957871E-3"/>
    <x v="15"/>
  </r>
  <r>
    <s v="2024-09-16"/>
    <x v="1"/>
    <n v="443"/>
    <n v="345"/>
    <n v="474162"/>
    <n v="9.1999999999999993"/>
    <x v="60"/>
    <n v="98"/>
    <n v="2.0668041724136477E-4"/>
    <x v="15"/>
  </r>
  <r>
    <s v="2024-09-16"/>
    <x v="2"/>
    <n v="1472"/>
    <n v="347"/>
    <n v="392355"/>
    <n v="8.59"/>
    <x v="61"/>
    <n v="1125"/>
    <n v="2.8673012960201858E-3"/>
    <x v="15"/>
  </r>
  <r>
    <s v="2024-09-16"/>
    <x v="3"/>
    <n v="123"/>
    <n v="155"/>
    <n v="119934"/>
    <n v="3.5"/>
    <x v="62"/>
    <n v="-32"/>
    <n v="-2.6681341404439108E-4"/>
    <x v="15"/>
  </r>
  <r>
    <s v="2024-09-23"/>
    <x v="0"/>
    <n v="817"/>
    <n v="151"/>
    <n v="422625"/>
    <n v="2.36"/>
    <x v="63"/>
    <n v="666"/>
    <n v="1.5758651286601596E-3"/>
    <x v="16"/>
  </r>
  <r>
    <s v="2024-09-23"/>
    <x v="1"/>
    <n v="198"/>
    <n v="217"/>
    <n v="239753"/>
    <n v="7.36"/>
    <x v="64"/>
    <n v="-19"/>
    <n v="-7.9248226299566635E-5"/>
    <x v="16"/>
  </r>
  <r>
    <s v="2024-09-23"/>
    <x v="2"/>
    <n v="1911"/>
    <n v="231"/>
    <n v="268516"/>
    <n v="8.5500000000000007"/>
    <x v="65"/>
    <n v="1680"/>
    <n v="6.2566104068286429E-3"/>
    <x v="16"/>
  </r>
  <r>
    <s v="2024-09-23"/>
    <x v="3"/>
    <n v="1218"/>
    <n v="212"/>
    <n v="63177"/>
    <n v="8.1300000000000008"/>
    <x v="66"/>
    <n v="1006"/>
    <n v="1.592351646960128E-2"/>
    <x v="16"/>
  </r>
  <r>
    <s v="2024-09-30"/>
    <x v="0"/>
    <n v="1433"/>
    <n v="408"/>
    <n v="370269"/>
    <n v="3.3"/>
    <x v="67"/>
    <n v="1025"/>
    <n v="2.7682576721248606E-3"/>
    <x v="17"/>
  </r>
  <r>
    <s v="2024-09-30"/>
    <x v="1"/>
    <n v="250"/>
    <n v="429"/>
    <n v="453423"/>
    <n v="1.77"/>
    <x v="68"/>
    <n v="-179"/>
    <n v="-3.9477485703195471E-4"/>
    <x v="17"/>
  </r>
  <r>
    <s v="2024-09-30"/>
    <x v="2"/>
    <n v="752"/>
    <n v="153"/>
    <n v="64906"/>
    <n v="2.09"/>
    <x v="69"/>
    <n v="599"/>
    <n v="9.2287307798970819E-3"/>
    <x v="17"/>
  </r>
  <r>
    <s v="2024-09-30"/>
    <x v="3"/>
    <n v="1918"/>
    <n v="212"/>
    <n v="94360"/>
    <n v="7.36"/>
    <x v="70"/>
    <n v="1706"/>
    <n v="1.8079694785926241E-2"/>
    <x v="17"/>
  </r>
  <r>
    <s v="2024-10-07"/>
    <x v="0"/>
    <n v="1939"/>
    <n v="67"/>
    <n v="187183"/>
    <n v="6.25"/>
    <x v="71"/>
    <n v="1872"/>
    <n v="1.0000908202133741E-2"/>
    <x v="18"/>
  </r>
  <r>
    <s v="2024-10-07"/>
    <x v="1"/>
    <n v="1929"/>
    <n v="267"/>
    <n v="379363"/>
    <n v="1.75"/>
    <x v="72"/>
    <n v="1662"/>
    <n v="4.3810281972675247E-3"/>
    <x v="18"/>
  </r>
  <r>
    <s v="2024-10-07"/>
    <x v="2"/>
    <n v="437"/>
    <n v="330"/>
    <n v="476486"/>
    <n v="4.97"/>
    <x v="73"/>
    <n v="107"/>
    <n v="2.2456063766826309E-4"/>
    <x v="18"/>
  </r>
  <r>
    <s v="2024-10-07"/>
    <x v="3"/>
    <n v="307"/>
    <n v="189"/>
    <n v="117767"/>
    <n v="9.3000000000000007"/>
    <x v="74"/>
    <n v="118"/>
    <n v="1.0019784829366461E-3"/>
    <x v="18"/>
  </r>
  <r>
    <s v="2024-10-14"/>
    <x v="0"/>
    <n v="1527"/>
    <n v="303"/>
    <n v="388555"/>
    <n v="8.9"/>
    <x v="75"/>
    <n v="1224"/>
    <n v="3.1501331857780751E-3"/>
    <x v="19"/>
  </r>
  <r>
    <s v="2024-10-14"/>
    <x v="1"/>
    <n v="643"/>
    <n v="358"/>
    <n v="157599"/>
    <n v="3.88"/>
    <x v="76"/>
    <n v="285"/>
    <n v="1.8083871090552605E-3"/>
    <x v="19"/>
  </r>
  <r>
    <s v="2024-10-14"/>
    <x v="2"/>
    <n v="201"/>
    <n v="221"/>
    <n v="309772"/>
    <n v="5.9"/>
    <x v="77"/>
    <n v="-20"/>
    <n v="-6.456361452939582E-5"/>
    <x v="19"/>
  </r>
  <r>
    <s v="2024-10-14"/>
    <x v="3"/>
    <n v="414"/>
    <n v="47"/>
    <n v="199178"/>
    <n v="1.53"/>
    <x v="78"/>
    <n v="367"/>
    <n v="1.8425729749269497E-3"/>
    <x v="19"/>
  </r>
  <r>
    <s v="2024-10-21"/>
    <x v="0"/>
    <n v="703"/>
    <n v="441"/>
    <n v="357089"/>
    <n v="6.5"/>
    <x v="79"/>
    <n v="262"/>
    <n v="7.3371064356504961E-4"/>
    <x v="20"/>
  </r>
  <r>
    <s v="2024-10-21"/>
    <x v="1"/>
    <n v="508"/>
    <n v="69"/>
    <n v="23492"/>
    <n v="3.16"/>
    <x v="80"/>
    <n v="439"/>
    <n v="1.8687212668142345E-2"/>
    <x v="20"/>
  </r>
  <r>
    <s v="2024-10-21"/>
    <x v="2"/>
    <n v="697"/>
    <n v="61"/>
    <n v="258287"/>
    <n v="8.25"/>
    <x v="81"/>
    <n v="636"/>
    <n v="2.4623771231227277E-3"/>
    <x v="20"/>
  </r>
  <r>
    <s v="2024-10-21"/>
    <x v="3"/>
    <n v="1707"/>
    <n v="223"/>
    <n v="256910"/>
    <n v="5.41"/>
    <x v="82"/>
    <n v="1484"/>
    <n v="5.7763419096181542E-3"/>
    <x v="20"/>
  </r>
  <r>
    <s v="2024-10-28"/>
    <x v="0"/>
    <n v="642"/>
    <n v="66"/>
    <n v="346522"/>
    <n v="5.85"/>
    <x v="83"/>
    <n v="576"/>
    <n v="1.6622321237901201E-3"/>
    <x v="21"/>
  </r>
  <r>
    <s v="2024-10-28"/>
    <x v="1"/>
    <n v="859"/>
    <n v="473"/>
    <n v="209987"/>
    <n v="4.46"/>
    <x v="84"/>
    <n v="386"/>
    <n v="1.8382090319876945E-3"/>
    <x v="21"/>
  </r>
  <r>
    <s v="2024-10-28"/>
    <x v="2"/>
    <n v="191"/>
    <n v="154"/>
    <n v="240550"/>
    <n v="5.22"/>
    <x v="85"/>
    <n v="37"/>
    <n v="1.5381417584701726E-4"/>
    <x v="21"/>
  </r>
  <r>
    <s v="2024-10-28"/>
    <x v="3"/>
    <n v="1814"/>
    <n v="157"/>
    <n v="305827"/>
    <n v="1.99"/>
    <x v="86"/>
    <n v="1657"/>
    <n v="5.4180958515762179E-3"/>
    <x v="21"/>
  </r>
  <r>
    <s v="2024-11-04"/>
    <x v="0"/>
    <n v="1466"/>
    <n v="69"/>
    <n v="54935"/>
    <n v="6.85"/>
    <x v="87"/>
    <n v="1397"/>
    <n v="2.5430053699827069E-2"/>
    <x v="22"/>
  </r>
  <r>
    <s v="2024-11-04"/>
    <x v="1"/>
    <n v="947"/>
    <n v="407"/>
    <n v="319186"/>
    <n v="3.32"/>
    <x v="88"/>
    <n v="540"/>
    <n v="1.6918035252172713E-3"/>
    <x v="22"/>
  </r>
  <r>
    <s v="2024-11-04"/>
    <x v="2"/>
    <n v="1821"/>
    <n v="218"/>
    <n v="439080"/>
    <n v="5.68"/>
    <x v="89"/>
    <n v="1603"/>
    <n v="3.6508153411678964E-3"/>
    <x v="22"/>
  </r>
  <r>
    <s v="2024-11-04"/>
    <x v="3"/>
    <n v="1507"/>
    <n v="463"/>
    <n v="258944"/>
    <n v="6.08"/>
    <x v="90"/>
    <n v="1044"/>
    <n v="4.0317597627286209E-3"/>
    <x v="22"/>
  </r>
  <r>
    <s v="2024-11-11"/>
    <x v="0"/>
    <n v="1075"/>
    <n v="173"/>
    <n v="51395"/>
    <n v="4.66"/>
    <x v="91"/>
    <n v="902"/>
    <n v="1.7550345364335054E-2"/>
    <x v="23"/>
  </r>
  <r>
    <s v="2024-11-11"/>
    <x v="1"/>
    <n v="171"/>
    <n v="277"/>
    <n v="309483"/>
    <n v="8.6999999999999993"/>
    <x v="92"/>
    <n v="-106"/>
    <n v="-3.4250669665215861E-4"/>
    <x v="23"/>
  </r>
  <r>
    <s v="2024-11-11"/>
    <x v="2"/>
    <n v="1487"/>
    <n v="337"/>
    <n v="87305"/>
    <n v="2.46"/>
    <x v="93"/>
    <n v="1150"/>
    <n v="1.3172212358971423E-2"/>
    <x v="23"/>
  </r>
  <r>
    <s v="2024-11-11"/>
    <x v="3"/>
    <n v="454"/>
    <n v="105"/>
    <n v="121091"/>
    <n v="7.97"/>
    <x v="94"/>
    <n v="349"/>
    <n v="2.8821299683708945E-3"/>
    <x v="23"/>
  </r>
  <r>
    <s v="2024-11-18"/>
    <x v="0"/>
    <n v="187"/>
    <n v="236"/>
    <n v="51087"/>
    <n v="9.41"/>
    <x v="95"/>
    <n v="-49"/>
    <n v="-9.5914811987394058E-4"/>
    <x v="24"/>
  </r>
  <r>
    <s v="2024-11-18"/>
    <x v="1"/>
    <n v="513"/>
    <n v="441"/>
    <n v="338847"/>
    <n v="2.68"/>
    <x v="96"/>
    <n v="72"/>
    <n v="2.1248528096751631E-4"/>
    <x v="24"/>
  </r>
  <r>
    <s v="2024-11-18"/>
    <x v="2"/>
    <n v="628"/>
    <n v="183"/>
    <n v="487523"/>
    <n v="7.32"/>
    <x v="97"/>
    <n v="445"/>
    <n v="9.1277744844858602E-4"/>
    <x v="24"/>
  </r>
  <r>
    <s v="2024-11-18"/>
    <x v="3"/>
    <n v="278"/>
    <n v="218"/>
    <n v="301695"/>
    <n v="4.68"/>
    <x v="98"/>
    <n v="60"/>
    <n v="1.9887634863023914E-4"/>
    <x v="24"/>
  </r>
  <r>
    <s v="2024-11-25"/>
    <x v="0"/>
    <n v="1854"/>
    <n v="161"/>
    <n v="282466"/>
    <n v="5.17"/>
    <x v="99"/>
    <n v="1693"/>
    <n v="5.9936417126309005E-3"/>
    <x v="25"/>
  </r>
  <r>
    <s v="2024-11-25"/>
    <x v="1"/>
    <n v="1710"/>
    <n v="378"/>
    <n v="336661"/>
    <n v="6.2"/>
    <x v="100"/>
    <n v="1332"/>
    <n v="3.9565022381564839E-3"/>
    <x v="25"/>
  </r>
  <r>
    <s v="2024-11-25"/>
    <x v="2"/>
    <n v="330"/>
    <n v="232"/>
    <n v="88455"/>
    <n v="2.69"/>
    <x v="101"/>
    <n v="98"/>
    <n v="1.1079079758069075E-3"/>
    <x v="25"/>
  </r>
  <r>
    <s v="2024-11-25"/>
    <x v="3"/>
    <n v="1293"/>
    <n v="408"/>
    <n v="62535"/>
    <n v="8.9"/>
    <x v="102"/>
    <n v="885"/>
    <n v="1.4152074838090669E-2"/>
    <x v="25"/>
  </r>
  <r>
    <s v="2024-12-02"/>
    <x v="0"/>
    <n v="1696"/>
    <n v="71"/>
    <n v="421957"/>
    <n v="3.79"/>
    <x v="103"/>
    <n v="1625"/>
    <n v="3.8511033114748661E-3"/>
    <x v="26"/>
  </r>
  <r>
    <s v="2024-12-02"/>
    <x v="1"/>
    <n v="1902"/>
    <n v="196"/>
    <n v="470269"/>
    <n v="4.79"/>
    <x v="104"/>
    <n v="1706"/>
    <n v="3.6277109484146308E-3"/>
    <x v="26"/>
  </r>
  <r>
    <s v="2024-12-02"/>
    <x v="2"/>
    <n v="1441"/>
    <n v="268"/>
    <n v="309904"/>
    <n v="6.37"/>
    <x v="105"/>
    <n v="1173"/>
    <n v="3.7850431101244257E-3"/>
    <x v="26"/>
  </r>
  <r>
    <s v="2024-12-02"/>
    <x v="3"/>
    <n v="452"/>
    <n v="161"/>
    <n v="221274"/>
    <n v="2.65"/>
    <x v="106"/>
    <n v="291"/>
    <n v="1.3151115811166245E-3"/>
    <x v="26"/>
  </r>
  <r>
    <s v="2024-12-09"/>
    <x v="0"/>
    <n v="1494"/>
    <n v="375"/>
    <n v="220616"/>
    <n v="1.81"/>
    <x v="107"/>
    <n v="1119"/>
    <n v="5.0721615839286359E-3"/>
    <x v="27"/>
  </r>
  <r>
    <s v="2024-12-09"/>
    <x v="1"/>
    <n v="1514"/>
    <n v="141"/>
    <n v="35842"/>
    <n v="7.47"/>
    <x v="108"/>
    <n v="1373"/>
    <n v="3.8307014117515761E-2"/>
    <x v="27"/>
  </r>
  <r>
    <s v="2024-12-09"/>
    <x v="2"/>
    <n v="1937"/>
    <n v="210"/>
    <n v="20607"/>
    <n v="4.2"/>
    <x v="109"/>
    <n v="1727"/>
    <n v="8.3806473528412681E-2"/>
    <x v="27"/>
  </r>
  <r>
    <s v="2024-12-09"/>
    <x v="3"/>
    <n v="736"/>
    <n v="163"/>
    <n v="451894"/>
    <n v="5.43"/>
    <x v="110"/>
    <n v="573"/>
    <n v="1.2679964770499277E-3"/>
    <x v="27"/>
  </r>
  <r>
    <s v="2024-12-16"/>
    <x v="0"/>
    <n v="1502"/>
    <n v="70"/>
    <n v="465553"/>
    <n v="3.32"/>
    <x v="111"/>
    <n v="1432"/>
    <n v="3.0759118725472716E-3"/>
    <x v="28"/>
  </r>
  <r>
    <s v="2024-12-16"/>
    <x v="1"/>
    <n v="1623"/>
    <n v="246"/>
    <n v="415815"/>
    <n v="8.11"/>
    <x v="112"/>
    <n v="1377"/>
    <n v="3.311568846722701E-3"/>
    <x v="28"/>
  </r>
  <r>
    <s v="2024-12-16"/>
    <x v="2"/>
    <n v="1592"/>
    <n v="233"/>
    <n v="327183"/>
    <n v="6.66"/>
    <x v="113"/>
    <n v="1359"/>
    <n v="4.1536387893013997E-3"/>
    <x v="28"/>
  </r>
  <r>
    <s v="2024-12-16"/>
    <x v="3"/>
    <n v="1004"/>
    <n v="128"/>
    <n v="488901"/>
    <n v="8.09"/>
    <x v="114"/>
    <n v="876"/>
    <n v="1.7917737946946315E-3"/>
    <x v="28"/>
  </r>
  <r>
    <s v="2024-12-23"/>
    <x v="0"/>
    <n v="1092"/>
    <n v="408"/>
    <n v="280795"/>
    <n v="8.44"/>
    <x v="115"/>
    <n v="684"/>
    <n v="2.4359408109118751E-3"/>
    <x v="29"/>
  </r>
  <r>
    <s v="2024-12-23"/>
    <x v="1"/>
    <n v="1155"/>
    <n v="425"/>
    <n v="93347"/>
    <n v="2.02"/>
    <x v="116"/>
    <n v="730"/>
    <n v="7.8202834584935772E-3"/>
    <x v="29"/>
  </r>
  <r>
    <s v="2024-12-23"/>
    <x v="2"/>
    <n v="1137"/>
    <n v="226"/>
    <n v="81119"/>
    <n v="7.74"/>
    <x v="117"/>
    <n v="911"/>
    <n v="1.1230414576116569E-2"/>
    <x v="29"/>
  </r>
  <r>
    <s v="2024-12-23"/>
    <x v="3"/>
    <n v="1900"/>
    <n v="311"/>
    <n v="25177"/>
    <n v="2.89"/>
    <x v="118"/>
    <n v="1589"/>
    <n v="6.3113158835445049E-2"/>
    <x v="29"/>
  </r>
  <r>
    <s v="2024-12-30"/>
    <x v="0"/>
    <n v="1814"/>
    <n v="49"/>
    <n v="140804"/>
    <n v="1.76"/>
    <x v="119"/>
    <n v="1765"/>
    <n v="1.253515525127127E-2"/>
    <x v="30"/>
  </r>
  <r>
    <s v="2024-12-30"/>
    <x v="1"/>
    <n v="1980"/>
    <n v="204"/>
    <n v="379431"/>
    <n v="3.09"/>
    <x v="120"/>
    <n v="1776"/>
    <n v="4.6806929323118035E-3"/>
    <x v="30"/>
  </r>
  <r>
    <s v="2024-12-30"/>
    <x v="2"/>
    <n v="1786"/>
    <n v="257"/>
    <n v="274831"/>
    <n v="4.68"/>
    <x v="121"/>
    <n v="1529"/>
    <n v="5.5634189738421064E-3"/>
    <x v="30"/>
  </r>
  <r>
    <s v="2024-12-30"/>
    <x v="3"/>
    <n v="1495"/>
    <n v="35"/>
    <n v="136845"/>
    <n v="4.4800000000000004"/>
    <x v="122"/>
    <n v="1460"/>
    <n v="1.0669005078738719E-2"/>
    <x v="30"/>
  </r>
  <r>
    <s v="2025-01-06"/>
    <x v="0"/>
    <n v="1013"/>
    <n v="110"/>
    <n v="466382"/>
    <n v="5.3"/>
    <x v="123"/>
    <n v="903"/>
    <n v="1.9361810704529763E-3"/>
    <x v="31"/>
  </r>
  <r>
    <s v="2025-01-06"/>
    <x v="1"/>
    <n v="816"/>
    <n v="196"/>
    <n v="95728"/>
    <n v="8.1999999999999993"/>
    <x v="124"/>
    <n v="620"/>
    <n v="6.4766839378238338E-3"/>
    <x v="31"/>
  </r>
  <r>
    <s v="2025-01-06"/>
    <x v="2"/>
    <n v="1633"/>
    <n v="445"/>
    <n v="371156"/>
    <n v="2.2200000000000002"/>
    <x v="125"/>
    <n v="1188"/>
    <n v="3.2008104408927781E-3"/>
    <x v="31"/>
  </r>
  <r>
    <s v="2025-01-06"/>
    <x v="3"/>
    <n v="891"/>
    <n v="45"/>
    <n v="95410"/>
    <n v="8.33"/>
    <x v="126"/>
    <n v="846"/>
    <n v="8.8669950738916262E-3"/>
    <x v="31"/>
  </r>
  <r>
    <s v="2025-01-13"/>
    <x v="0"/>
    <n v="1855"/>
    <n v="133"/>
    <n v="349413"/>
    <n v="3.3"/>
    <x v="127"/>
    <n v="1722"/>
    <n v="4.9282654051223049E-3"/>
    <x v="32"/>
  </r>
  <r>
    <s v="2025-01-13"/>
    <x v="1"/>
    <n v="651"/>
    <n v="353"/>
    <n v="224699"/>
    <n v="5.61"/>
    <x v="128"/>
    <n v="298"/>
    <n v="1.3262186302564765E-3"/>
    <x v="32"/>
  </r>
  <r>
    <s v="2025-01-13"/>
    <x v="2"/>
    <n v="118"/>
    <n v="262"/>
    <n v="487896"/>
    <n v="2.56"/>
    <x v="129"/>
    <n v="-144"/>
    <n v="-2.9514486693885583E-4"/>
    <x v="32"/>
  </r>
  <r>
    <s v="2025-01-13"/>
    <x v="3"/>
    <n v="1331"/>
    <n v="430"/>
    <n v="14437"/>
    <n v="3.29"/>
    <x v="130"/>
    <n v="901"/>
    <n v="6.2409087760615087E-2"/>
    <x v="32"/>
  </r>
  <r>
    <s v="2025-01-20"/>
    <x v="0"/>
    <n v="1748"/>
    <n v="176"/>
    <n v="383681"/>
    <n v="9.24"/>
    <x v="131"/>
    <n v="1572"/>
    <n v="4.0971536250166149E-3"/>
    <x v="33"/>
  </r>
  <r>
    <s v="2025-01-20"/>
    <x v="1"/>
    <n v="663"/>
    <n v="236"/>
    <n v="479490"/>
    <n v="4.51"/>
    <x v="132"/>
    <n v="427"/>
    <n v="8.9052952094934197E-4"/>
    <x v="33"/>
  </r>
  <r>
    <s v="2025-01-20"/>
    <x v="2"/>
    <n v="1040"/>
    <n v="149"/>
    <n v="124404"/>
    <n v="5.23"/>
    <x v="133"/>
    <n v="891"/>
    <n v="7.1621491270377159E-3"/>
    <x v="33"/>
  </r>
  <r>
    <s v="2025-01-20"/>
    <x v="3"/>
    <n v="1166"/>
    <n v="442"/>
    <n v="336949"/>
    <n v="4.68"/>
    <x v="134"/>
    <n v="724"/>
    <n v="2.1486931256659019E-3"/>
    <x v="33"/>
  </r>
  <r>
    <s v="2025-01-27"/>
    <x v="0"/>
    <n v="115"/>
    <n v="281"/>
    <n v="357265"/>
    <n v="9.23"/>
    <x v="135"/>
    <n v="-166"/>
    <n v="-4.6464109274628077E-4"/>
    <x v="34"/>
  </r>
  <r>
    <s v="2025-01-27"/>
    <x v="1"/>
    <n v="1249"/>
    <n v="351"/>
    <n v="321307"/>
    <n v="6.37"/>
    <x v="136"/>
    <n v="898"/>
    <n v="2.7948348464241365E-3"/>
    <x v="34"/>
  </r>
  <r>
    <s v="2025-01-27"/>
    <x v="2"/>
    <n v="1501"/>
    <n v="75"/>
    <n v="262569"/>
    <n v="2.0099999999999998"/>
    <x v="137"/>
    <n v="1426"/>
    <n v="5.4309533874905263E-3"/>
    <x v="34"/>
  </r>
  <r>
    <s v="2025-01-27"/>
    <x v="3"/>
    <n v="1411"/>
    <n v="186"/>
    <n v="461669"/>
    <n v="3.72"/>
    <x v="138"/>
    <n v="1225"/>
    <n v="2.6534161921203288E-3"/>
    <x v="34"/>
  </r>
  <r>
    <s v="2025-02-03"/>
    <x v="0"/>
    <n v="1556"/>
    <n v="476"/>
    <n v="351556"/>
    <n v="3.89"/>
    <x v="139"/>
    <n v="1080"/>
    <n v="3.0720567989168156E-3"/>
    <x v="35"/>
  </r>
  <r>
    <s v="2025-02-03"/>
    <x v="1"/>
    <n v="1159"/>
    <n v="411"/>
    <n v="135987"/>
    <n v="8.6999999999999993"/>
    <x v="140"/>
    <n v="748"/>
    <n v="5.5005257855530306E-3"/>
    <x v="35"/>
  </r>
  <r>
    <s v="2025-02-03"/>
    <x v="2"/>
    <n v="927"/>
    <n v="358"/>
    <n v="177554"/>
    <n v="6.95"/>
    <x v="141"/>
    <n v="569"/>
    <n v="3.2046588643454949E-3"/>
    <x v="35"/>
  </r>
  <r>
    <s v="2025-02-03"/>
    <x v="3"/>
    <n v="152"/>
    <n v="355"/>
    <n v="270766"/>
    <n v="9.48"/>
    <x v="142"/>
    <n v="-203"/>
    <n v="-7.4972485467156139E-4"/>
    <x v="35"/>
  </r>
  <r>
    <s v="2025-02-10"/>
    <x v="0"/>
    <n v="1957"/>
    <n v="234"/>
    <n v="222126"/>
    <n v="4.6100000000000003"/>
    <x v="143"/>
    <n v="1723"/>
    <n v="7.7568587198256845E-3"/>
    <x v="36"/>
  </r>
  <r>
    <s v="2025-02-10"/>
    <x v="1"/>
    <n v="1294"/>
    <n v="382"/>
    <n v="309914"/>
    <n v="8.0299999999999994"/>
    <x v="144"/>
    <n v="912"/>
    <n v="2.9427518601934728E-3"/>
    <x v="36"/>
  </r>
  <r>
    <s v="2025-02-10"/>
    <x v="2"/>
    <n v="1587"/>
    <n v="385"/>
    <n v="126582"/>
    <n v="6.99"/>
    <x v="145"/>
    <n v="1202"/>
    <n v="9.4958208908059605E-3"/>
    <x v="36"/>
  </r>
  <r>
    <s v="2025-02-10"/>
    <x v="3"/>
    <n v="1707"/>
    <n v="263"/>
    <n v="485280"/>
    <n v="9.0299999999999994"/>
    <x v="146"/>
    <n v="1444"/>
    <n v="2.9756017144741179E-3"/>
    <x v="36"/>
  </r>
  <r>
    <s v="2025-02-17"/>
    <x v="0"/>
    <n v="1138"/>
    <n v="173"/>
    <n v="453243"/>
    <n v="2.86"/>
    <x v="147"/>
    <n v="965"/>
    <n v="2.1291007252180398E-3"/>
    <x v="37"/>
  </r>
  <r>
    <s v="2025-02-17"/>
    <x v="1"/>
    <n v="1895"/>
    <n v="305"/>
    <n v="104967"/>
    <n v="3.85"/>
    <x v="148"/>
    <n v="1590"/>
    <n v="1.5147617822744291E-2"/>
    <x v="37"/>
  </r>
  <r>
    <s v="2025-02-17"/>
    <x v="2"/>
    <n v="362"/>
    <n v="399"/>
    <n v="145608"/>
    <n v="7.3"/>
    <x v="149"/>
    <n v="-37"/>
    <n v="-2.5410691720235154E-4"/>
    <x v="37"/>
  </r>
  <r>
    <s v="2025-02-17"/>
    <x v="3"/>
    <n v="1662"/>
    <n v="487"/>
    <n v="105980"/>
    <n v="9.08"/>
    <x v="150"/>
    <n v="1175"/>
    <n v="1.1086997546706926E-2"/>
    <x v="37"/>
  </r>
  <r>
    <s v="2025-02-24"/>
    <x v="0"/>
    <n v="1440"/>
    <n v="65"/>
    <n v="126524"/>
    <n v="4.34"/>
    <x v="151"/>
    <n v="1375"/>
    <n v="1.0867503398564699E-2"/>
    <x v="38"/>
  </r>
  <r>
    <s v="2025-02-24"/>
    <x v="1"/>
    <n v="1884"/>
    <n v="177"/>
    <n v="230448"/>
    <n v="7.8"/>
    <x v="152"/>
    <n v="1707"/>
    <n v="7.4073109768798169E-3"/>
    <x v="38"/>
  </r>
  <r>
    <s v="2025-02-24"/>
    <x v="2"/>
    <n v="861"/>
    <n v="153"/>
    <n v="317007"/>
    <n v="3.85"/>
    <x v="153"/>
    <n v="708"/>
    <n v="2.2333891680625349E-3"/>
    <x v="38"/>
  </r>
  <r>
    <s v="2025-02-24"/>
    <x v="3"/>
    <n v="1063"/>
    <n v="47"/>
    <n v="464239"/>
    <n v="6.58"/>
    <x v="154"/>
    <n v="1016"/>
    <n v="2.1885278918832756E-3"/>
    <x v="38"/>
  </r>
  <r>
    <s v="2025-03-03"/>
    <x v="0"/>
    <n v="1371"/>
    <n v="56"/>
    <n v="257579"/>
    <n v="8.6199999999999992"/>
    <x v="155"/>
    <n v="1315"/>
    <n v="5.1052298518124532E-3"/>
    <x v="39"/>
  </r>
  <r>
    <s v="2025-03-03"/>
    <x v="1"/>
    <n v="345"/>
    <n v="464"/>
    <n v="366881"/>
    <n v="4.55"/>
    <x v="156"/>
    <n v="-119"/>
    <n v="-3.2435585380545735E-4"/>
    <x v="39"/>
  </r>
  <r>
    <s v="2025-03-03"/>
    <x v="2"/>
    <n v="946"/>
    <n v="47"/>
    <n v="466575"/>
    <n v="8.33"/>
    <x v="157"/>
    <n v="899"/>
    <n v="1.9268070513850934E-3"/>
    <x v="39"/>
  </r>
  <r>
    <s v="2025-03-03"/>
    <x v="3"/>
    <n v="510"/>
    <n v="195"/>
    <n v="224534"/>
    <n v="9.4"/>
    <x v="158"/>
    <n v="315"/>
    <n v="1.4029055733207443E-3"/>
    <x v="39"/>
  </r>
  <r>
    <s v="2025-03-10"/>
    <x v="0"/>
    <n v="393"/>
    <n v="181"/>
    <n v="462142"/>
    <n v="7.23"/>
    <x v="159"/>
    <n v="212"/>
    <n v="4.5873346287504706E-4"/>
    <x v="40"/>
  </r>
  <r>
    <s v="2025-03-10"/>
    <x v="1"/>
    <n v="1098"/>
    <n v="190"/>
    <n v="340842"/>
    <n v="9.39"/>
    <x v="160"/>
    <n v="908"/>
    <n v="2.6639909400836752E-3"/>
    <x v="40"/>
  </r>
  <r>
    <s v="2025-03-10"/>
    <x v="2"/>
    <n v="1399"/>
    <n v="49"/>
    <n v="12471"/>
    <n v="5.12"/>
    <x v="161"/>
    <n v="1350"/>
    <n v="0.10825114265095021"/>
    <x v="40"/>
  </r>
  <r>
    <s v="2025-03-10"/>
    <x v="3"/>
    <n v="1658"/>
    <n v="416"/>
    <n v="98397"/>
    <n v="6.11"/>
    <x v="162"/>
    <n v="1242"/>
    <n v="1.2622336046830695E-2"/>
    <x v="40"/>
  </r>
  <r>
    <s v="2025-03-17"/>
    <x v="0"/>
    <n v="1102"/>
    <n v="422"/>
    <n v="410330"/>
    <n v="7.74"/>
    <x v="163"/>
    <n v="680"/>
    <n v="1.6572027392586454E-3"/>
    <x v="41"/>
  </r>
  <r>
    <s v="2025-03-17"/>
    <x v="1"/>
    <n v="1358"/>
    <n v="242"/>
    <n v="342129"/>
    <n v="4.9400000000000004"/>
    <x v="164"/>
    <n v="1116"/>
    <n v="3.2619275185675578E-3"/>
    <x v="41"/>
  </r>
  <r>
    <s v="2025-03-17"/>
    <x v="2"/>
    <n v="1077"/>
    <n v="216"/>
    <n v="12447"/>
    <n v="1.8"/>
    <x v="165"/>
    <n v="861"/>
    <n v="6.9173294769824048E-2"/>
    <x v="41"/>
  </r>
  <r>
    <s v="2025-03-17"/>
    <x v="3"/>
    <n v="1596"/>
    <n v="211"/>
    <n v="17380"/>
    <n v="8.64"/>
    <x v="166"/>
    <n v="1385"/>
    <n v="7.9689298043728429E-2"/>
    <x v="41"/>
  </r>
  <r>
    <s v="2025-03-24"/>
    <x v="0"/>
    <n v="490"/>
    <n v="29"/>
    <n v="364810"/>
    <n v="1.53"/>
    <x v="167"/>
    <n v="461"/>
    <n v="1.2636715002329981E-3"/>
    <x v="42"/>
  </r>
  <r>
    <s v="2025-03-24"/>
    <x v="1"/>
    <n v="609"/>
    <n v="135"/>
    <n v="373606"/>
    <n v="8.52"/>
    <x v="168"/>
    <n v="474"/>
    <n v="1.268716241173857E-3"/>
    <x v="42"/>
  </r>
  <r>
    <s v="2025-03-24"/>
    <x v="2"/>
    <n v="364"/>
    <n v="72"/>
    <n v="211090"/>
    <n v="5.53"/>
    <x v="169"/>
    <n v="292"/>
    <n v="1.3832962243592781E-3"/>
    <x v="42"/>
  </r>
  <r>
    <s v="2025-03-24"/>
    <x v="3"/>
    <n v="442"/>
    <n v="53"/>
    <n v="441931"/>
    <n v="1.87"/>
    <x v="170"/>
    <n v="389"/>
    <n v="8.8022790888170322E-4"/>
    <x v="42"/>
  </r>
  <r>
    <s v="2025-03-31"/>
    <x v="0"/>
    <n v="1033"/>
    <n v="392"/>
    <n v="282780"/>
    <n v="6.27"/>
    <x v="171"/>
    <n v="641"/>
    <n v="2.2667798288422093E-3"/>
    <x v="43"/>
  </r>
  <r>
    <s v="2025-03-31"/>
    <x v="1"/>
    <n v="988"/>
    <n v="474"/>
    <n v="370070"/>
    <n v="9.4600000000000009"/>
    <x v="172"/>
    <n v="514"/>
    <n v="1.3889264193260734E-3"/>
    <x v="43"/>
  </r>
  <r>
    <s v="2025-03-31"/>
    <x v="2"/>
    <n v="1946"/>
    <n v="270"/>
    <n v="198350"/>
    <n v="7.5"/>
    <x v="173"/>
    <n v="1676"/>
    <n v="8.4497101083942528E-3"/>
    <x v="43"/>
  </r>
  <r>
    <s v="2025-03-31"/>
    <x v="3"/>
    <n v="1957"/>
    <n v="490"/>
    <n v="435726"/>
    <n v="4.7300000000000004"/>
    <x v="174"/>
    <n v="1467"/>
    <n v="3.3667947287974553E-3"/>
    <x v="43"/>
  </r>
  <r>
    <s v="2025-04-07"/>
    <x v="0"/>
    <n v="559"/>
    <n v="392"/>
    <n v="78789"/>
    <n v="3.19"/>
    <x v="175"/>
    <n v="167"/>
    <n v="2.1195852212872357E-3"/>
    <x v="44"/>
  </r>
  <r>
    <s v="2025-04-07"/>
    <x v="1"/>
    <n v="1307"/>
    <n v="278"/>
    <n v="98596"/>
    <n v="2.4900000000000002"/>
    <x v="176"/>
    <n v="1029"/>
    <n v="1.0436528865268368E-2"/>
    <x v="44"/>
  </r>
  <r>
    <s v="2025-04-07"/>
    <x v="2"/>
    <n v="1432"/>
    <n v="425"/>
    <n v="29589"/>
    <n v="4.5"/>
    <x v="177"/>
    <n v="1007"/>
    <n v="3.4032917638311531E-2"/>
    <x v="44"/>
  </r>
  <r>
    <s v="2025-04-07"/>
    <x v="3"/>
    <n v="623"/>
    <n v="414"/>
    <n v="290354"/>
    <n v="6.49"/>
    <x v="178"/>
    <n v="209"/>
    <n v="7.1981098934404211E-4"/>
    <x v="44"/>
  </r>
  <r>
    <s v="2025-04-14"/>
    <x v="0"/>
    <n v="198"/>
    <n v="358"/>
    <n v="66682"/>
    <n v="6.73"/>
    <x v="179"/>
    <n v="-160"/>
    <n v="-2.3994481269308059E-3"/>
    <x v="45"/>
  </r>
  <r>
    <s v="2025-04-14"/>
    <x v="1"/>
    <n v="198"/>
    <n v="373"/>
    <n v="70707"/>
    <n v="4.83"/>
    <x v="180"/>
    <n v="-175"/>
    <n v="-2.4750024750024749E-3"/>
    <x v="45"/>
  </r>
  <r>
    <s v="2025-04-14"/>
    <x v="2"/>
    <n v="353"/>
    <n v="300"/>
    <n v="142507"/>
    <n v="5.3"/>
    <x v="181"/>
    <n v="53"/>
    <n v="3.7191155522184875E-4"/>
    <x v="45"/>
  </r>
  <r>
    <s v="2025-04-14"/>
    <x v="3"/>
    <n v="520"/>
    <n v="375"/>
    <n v="369525"/>
    <n v="6.54"/>
    <x v="182"/>
    <n v="145"/>
    <n v="3.9239564305527366E-4"/>
    <x v="45"/>
  </r>
  <r>
    <s v="2025-04-21"/>
    <x v="0"/>
    <n v="961"/>
    <n v="358"/>
    <n v="62942"/>
    <n v="6.8"/>
    <x v="183"/>
    <n v="603"/>
    <n v="9.5802484827301332E-3"/>
    <x v="46"/>
  </r>
  <r>
    <s v="2025-04-21"/>
    <x v="1"/>
    <n v="1375"/>
    <n v="330"/>
    <n v="377382"/>
    <n v="2.6"/>
    <x v="184"/>
    <n v="1045"/>
    <n v="2.7690774864725927E-3"/>
    <x v="46"/>
  </r>
  <r>
    <s v="2025-04-21"/>
    <x v="2"/>
    <n v="1147"/>
    <n v="388"/>
    <n v="333851"/>
    <n v="2.44"/>
    <x v="185"/>
    <n v="759"/>
    <n v="2.2734693021737242E-3"/>
    <x v="46"/>
  </r>
  <r>
    <s v="2025-04-21"/>
    <x v="3"/>
    <n v="1707"/>
    <n v="74"/>
    <n v="270958"/>
    <n v="3.09"/>
    <x v="186"/>
    <n v="1633"/>
    <n v="6.0267642955734836E-3"/>
    <x v="46"/>
  </r>
  <r>
    <s v="2025-04-28"/>
    <x v="0"/>
    <n v="1693"/>
    <n v="154"/>
    <n v="445944"/>
    <n v="5.69"/>
    <x v="187"/>
    <n v="1539"/>
    <n v="3.4511059684624078E-3"/>
    <x v="47"/>
  </r>
  <r>
    <s v="2025-04-28"/>
    <x v="1"/>
    <n v="833"/>
    <n v="380"/>
    <n v="224830"/>
    <n v="3.86"/>
    <x v="188"/>
    <n v="453"/>
    <n v="2.014855668727483E-3"/>
    <x v="47"/>
  </r>
  <r>
    <s v="2025-04-28"/>
    <x v="2"/>
    <n v="1222"/>
    <n v="274"/>
    <n v="487289"/>
    <n v="3.16"/>
    <x v="189"/>
    <n v="948"/>
    <n v="1.9454574184929272E-3"/>
    <x v="47"/>
  </r>
  <r>
    <s v="2025-04-28"/>
    <x v="3"/>
    <n v="777"/>
    <n v="140"/>
    <n v="11435"/>
    <n v="1.6"/>
    <x v="190"/>
    <n v="637"/>
    <n v="5.5706165282028861E-2"/>
    <x v="47"/>
  </r>
  <r>
    <s v="2025-05-05"/>
    <x v="0"/>
    <n v="1957"/>
    <n v="76"/>
    <n v="447902"/>
    <n v="6.09"/>
    <x v="191"/>
    <n v="1881"/>
    <n v="4.1995793722733989E-3"/>
    <x v="48"/>
  </r>
  <r>
    <s v="2025-05-05"/>
    <x v="1"/>
    <n v="405"/>
    <n v="66"/>
    <n v="418696"/>
    <n v="5.59"/>
    <x v="192"/>
    <n v="339"/>
    <n v="8.0965664826031301E-4"/>
    <x v="48"/>
  </r>
  <r>
    <s v="2025-05-05"/>
    <x v="2"/>
    <n v="1581"/>
    <n v="71"/>
    <n v="484364"/>
    <n v="3.55"/>
    <x v="193"/>
    <n v="1510"/>
    <n v="3.1174901520344203E-3"/>
    <x v="48"/>
  </r>
  <r>
    <s v="2025-05-05"/>
    <x v="3"/>
    <n v="1035"/>
    <n v="171"/>
    <n v="148477"/>
    <n v="5.21"/>
    <x v="194"/>
    <n v="864"/>
    <n v="5.8190830903102836E-3"/>
    <x v="48"/>
  </r>
  <r>
    <s v="2025-05-12"/>
    <x v="0"/>
    <n v="1765"/>
    <n v="109"/>
    <n v="468301"/>
    <n v="1.82"/>
    <x v="195"/>
    <n v="1656"/>
    <n v="3.5361871958419907E-3"/>
    <x v="49"/>
  </r>
  <r>
    <s v="2025-05-12"/>
    <x v="1"/>
    <n v="837"/>
    <n v="430"/>
    <n v="364820"/>
    <n v="4"/>
    <x v="196"/>
    <n v="407"/>
    <n v="1.1156186612576065E-3"/>
    <x v="49"/>
  </r>
  <r>
    <s v="2025-05-12"/>
    <x v="2"/>
    <n v="337"/>
    <n v="68"/>
    <n v="456298"/>
    <n v="7.57"/>
    <x v="197"/>
    <n v="269"/>
    <n v="5.8952701962314107E-4"/>
    <x v="49"/>
  </r>
  <r>
    <s v="2025-05-12"/>
    <x v="3"/>
    <n v="119"/>
    <n v="456"/>
    <n v="82558"/>
    <n v="6.81"/>
    <x v="198"/>
    <n v="-337"/>
    <n v="-4.0819787301048958E-3"/>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D504B-9CD1-48AB-992D-6B4F2E4CF5A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Platform">
  <location ref="A27:D34" firstHeaderRow="0" firstDataRow="1" firstDataCol="1"/>
  <pivotFields count="27">
    <pivotField showAll="0" defaultSubtotal="0"/>
    <pivotField axis="axisRow" showAll="0" defaultSubtotal="0">
      <items count="4">
        <item x="3"/>
        <item h="1" x="2"/>
        <item h="1" x="0"/>
        <item h="1" x="1"/>
      </items>
    </pivotField>
    <pivotField numFmtId="14" showAll="0" defaultSubtotal="0"/>
    <pivotField axis="axisRow" showAll="0" defaultSubtotal="0">
      <items count="6">
        <item x="3"/>
        <item x="4"/>
        <item x="0"/>
        <item x="2"/>
        <item x="1"/>
        <item x="5"/>
      </items>
    </pivotField>
    <pivotField showAll="0" defaultSubtotal="0"/>
    <pivotField dataField="1"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ubtotalTop="0" showAll="0" defaultSubtotal="0"/>
    <pivotField showAll="0" defaultSubtotal="0"/>
    <pivotField numFmtId="164"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2">
    <field x="1"/>
    <field x="3"/>
  </rowFields>
  <rowItems count="7">
    <i>
      <x/>
    </i>
    <i r="1">
      <x/>
    </i>
    <i r="1">
      <x v="1"/>
    </i>
    <i r="1">
      <x v="2"/>
    </i>
    <i r="1">
      <x v="3"/>
    </i>
    <i r="1">
      <x v="4"/>
    </i>
    <i r="1">
      <x v="5"/>
    </i>
  </rowItems>
  <colFields count="1">
    <field x="-2"/>
  </colFields>
  <colItems count="3">
    <i>
      <x/>
    </i>
    <i i="1">
      <x v="1"/>
    </i>
    <i i="2">
      <x v="2"/>
    </i>
  </colItems>
  <dataFields count="3">
    <dataField name="Total Likes" fld="5" baseField="1" baseItem="0"/>
    <dataField name="Total Shares" fld="6" baseField="1" baseItem="0"/>
    <dataField name="Total Comments" fld="7" baseField="1" baseItem="0"/>
  </dataFields>
  <formats count="18">
    <format dxfId="97">
      <pivotArea dataOnly="0" labelOnly="1" outline="0" fieldPosition="0">
        <references count="1">
          <reference field="4294967294" count="1">
            <x v="2"/>
          </reference>
        </references>
      </pivotArea>
    </format>
    <format dxfId="96">
      <pivotArea dataOnly="0" labelOnly="1" outline="0" fieldPosition="0">
        <references count="1">
          <reference field="4294967294" count="1">
            <x v="0"/>
          </reference>
        </references>
      </pivotArea>
    </format>
    <format dxfId="95">
      <pivotArea collapsedLevelsAreSubtotals="1" fieldPosition="0">
        <references count="3">
          <reference field="4294967294" count="1" selected="0">
            <x v="0"/>
          </reference>
          <reference field="1" count="1" selected="0">
            <x v="0"/>
          </reference>
          <reference field="3" count="1">
            <x v="1"/>
          </reference>
        </references>
      </pivotArea>
    </format>
    <format dxfId="94">
      <pivotArea collapsedLevelsAreSubtotals="1" fieldPosition="0">
        <references count="3">
          <reference field="4294967294" count="1" selected="0">
            <x v="0"/>
          </reference>
          <reference field="1" count="1" selected="0">
            <x v="1"/>
          </reference>
          <reference field="3" count="1">
            <x v="3"/>
          </reference>
        </references>
      </pivotArea>
    </format>
    <format dxfId="93">
      <pivotArea collapsedLevelsAreSubtotals="1" fieldPosition="0">
        <references count="3">
          <reference field="4294967294" count="1" selected="0">
            <x v="0"/>
          </reference>
          <reference field="1" count="1" selected="0">
            <x v="2"/>
          </reference>
          <reference field="3" count="1">
            <x v="0"/>
          </reference>
        </references>
      </pivotArea>
    </format>
    <format dxfId="92">
      <pivotArea collapsedLevelsAreSubtotals="1" fieldPosition="0">
        <references count="3">
          <reference field="4294967294" count="1" selected="0">
            <x v="0"/>
          </reference>
          <reference field="1" count="1" selected="0">
            <x v="3"/>
          </reference>
          <reference field="3" count="1">
            <x v="5"/>
          </reference>
        </references>
      </pivotArea>
    </format>
    <format dxfId="91">
      <pivotArea collapsedLevelsAreSubtotals="1" fieldPosition="0">
        <references count="3">
          <reference field="4294967294" count="1" selected="0">
            <x v="1"/>
          </reference>
          <reference field="1" count="1" selected="0">
            <x v="0"/>
          </reference>
          <reference field="3" count="1">
            <x v="1"/>
          </reference>
        </references>
      </pivotArea>
    </format>
    <format dxfId="90">
      <pivotArea collapsedLevelsAreSubtotals="1" fieldPosition="0">
        <references count="2">
          <reference field="1" count="1" selected="0">
            <x v="0"/>
          </reference>
          <reference field="3" count="1">
            <x v="1"/>
          </reference>
        </references>
      </pivotArea>
    </format>
    <format dxfId="89">
      <pivotArea dataOnly="0" labelOnly="1" fieldPosition="0">
        <references count="2">
          <reference field="1" count="1" selected="0">
            <x v="0"/>
          </reference>
          <reference field="3" count="1">
            <x v="1"/>
          </reference>
        </references>
      </pivotArea>
    </format>
    <format dxfId="88">
      <pivotArea collapsedLevelsAreSubtotals="1" fieldPosition="0">
        <references count="2">
          <reference field="1" count="1" selected="0">
            <x v="1"/>
          </reference>
          <reference field="3" count="1">
            <x v="3"/>
          </reference>
        </references>
      </pivotArea>
    </format>
    <format dxfId="87">
      <pivotArea dataOnly="0" labelOnly="1" fieldPosition="0">
        <references count="2">
          <reference field="1" count="1" selected="0">
            <x v="1"/>
          </reference>
          <reference field="3" count="1">
            <x v="3"/>
          </reference>
        </references>
      </pivotArea>
    </format>
    <format dxfId="86">
      <pivotArea collapsedLevelsAreSubtotals="1" fieldPosition="0">
        <references count="2">
          <reference field="1" count="1" selected="0">
            <x v="2"/>
          </reference>
          <reference field="3" count="1">
            <x v="0"/>
          </reference>
        </references>
      </pivotArea>
    </format>
    <format dxfId="85">
      <pivotArea dataOnly="0" labelOnly="1" fieldPosition="0">
        <references count="2">
          <reference field="1" count="1" selected="0">
            <x v="2"/>
          </reference>
          <reference field="3" count="1">
            <x v="0"/>
          </reference>
        </references>
      </pivotArea>
    </format>
    <format dxfId="84">
      <pivotArea collapsedLevelsAreSubtotals="1" fieldPosition="0">
        <references count="2">
          <reference field="1" count="1" selected="0">
            <x v="3"/>
          </reference>
          <reference field="3" count="1">
            <x v="5"/>
          </reference>
        </references>
      </pivotArea>
    </format>
    <format dxfId="83">
      <pivotArea collapsedLevelsAreSubtotals="1" fieldPosition="0">
        <references count="3">
          <reference field="4294967294" count="1" selected="0">
            <x v="2"/>
          </reference>
          <reference field="1" count="1" selected="0">
            <x v="3"/>
          </reference>
          <reference field="3" count="1">
            <x v="5"/>
          </reference>
        </references>
      </pivotArea>
    </format>
    <format dxfId="82">
      <pivotArea collapsedLevelsAreSubtotals="1" fieldPosition="0">
        <references count="3">
          <reference field="4294967294" count="1" selected="0">
            <x v="1"/>
          </reference>
          <reference field="1" count="1" selected="0">
            <x v="3"/>
          </reference>
          <reference field="3" count="1">
            <x v="5"/>
          </reference>
        </references>
      </pivotArea>
    </format>
    <format dxfId="81">
      <pivotArea collapsedLevelsAreSubtotals="1" fieldPosition="0">
        <references count="3">
          <reference field="4294967294" count="1" selected="0">
            <x v="0"/>
          </reference>
          <reference field="1" count="1" selected="0">
            <x v="3"/>
          </reference>
          <reference field="3" count="1">
            <x v="5"/>
          </reference>
        </references>
      </pivotArea>
    </format>
    <format dxfId="80">
      <pivotArea dataOnly="0" labelOnly="1" fieldPosition="0">
        <references count="2">
          <reference field="1" count="1" selected="0">
            <x v="3"/>
          </reference>
          <reference field="3" count="1">
            <x v="5"/>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9B65AC-B9FC-4049-B628-593D27B3C8C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Tesla Post">
  <location ref="A13:B23" firstHeaderRow="1" firstDataRow="1" firstDataCol="1"/>
  <pivotFields count="27">
    <pivotField axis="axisRow" showAll="0" measureFilter="1" sortType="descending">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autoSortScope>
        <pivotArea dataOnly="0" outline="0" fieldPosition="0">
          <references count="1">
            <reference field="4294967294" count="1" selected="0">
              <x v="0"/>
            </reference>
          </references>
        </pivotArea>
      </autoSortScope>
    </pivotField>
    <pivotField showAll="0">
      <items count="5">
        <item x="3"/>
        <item h="1" x="2"/>
        <item h="1" x="0"/>
        <item h="1" x="1"/>
        <item t="default"/>
      </items>
    </pivotField>
    <pivotField numFmtId="14" showAll="0"/>
    <pivotField showAll="0">
      <items count="7">
        <item x="3"/>
        <item x="4"/>
        <item x="0"/>
        <item x="2"/>
        <item x="1"/>
        <item x="5"/>
        <item t="default"/>
      </items>
    </pivotField>
    <pivotField showAll="0"/>
    <pivotField showAll="0"/>
    <pivotField showAll="0"/>
    <pivotField showAll="0"/>
    <pivotField showAll="0"/>
    <pivotField showAll="0"/>
    <pivotField showAll="0"/>
    <pivotField showAll="0"/>
    <pivotField showAll="0">
      <items count="6">
        <item x="0"/>
        <item x="2"/>
        <item x="1"/>
        <item x="4"/>
        <item x="3"/>
        <item t="default"/>
      </items>
    </pivotField>
    <pivotField showAll="0"/>
    <pivotField showAll="0"/>
    <pivotField showAll="0"/>
    <pivotField dataField="1" showAll="0"/>
    <pivotField numFmtId="164" showAll="0"/>
    <pivotField showAll="0"/>
    <pivotField showAll="0"/>
    <pivotField showAll="0"/>
    <pivotField showAll="0"/>
    <pivotField showAll="0">
      <items count="245">
        <item x="211"/>
        <item x="52"/>
        <item x="114"/>
        <item x="183"/>
        <item x="59"/>
        <item x="110"/>
        <item x="85"/>
        <item x="72"/>
        <item x="28"/>
        <item x="123"/>
        <item x="49"/>
        <item x="67"/>
        <item x="144"/>
        <item x="182"/>
        <item x="193"/>
        <item x="207"/>
        <item x="55"/>
        <item x="187"/>
        <item x="141"/>
        <item x="230"/>
        <item x="200"/>
        <item x="26"/>
        <item x="148"/>
        <item x="63"/>
        <item x="146"/>
        <item x="160"/>
        <item x="46"/>
        <item x="66"/>
        <item x="199"/>
        <item x="50"/>
        <item x="176"/>
        <item x="97"/>
        <item x="190"/>
        <item x="228"/>
        <item x="40"/>
        <item x="31"/>
        <item x="37"/>
        <item x="64"/>
        <item x="163"/>
        <item x="178"/>
        <item x="61"/>
        <item x="18"/>
        <item x="138"/>
        <item x="157"/>
        <item x="44"/>
        <item x="140"/>
        <item x="151"/>
        <item x="222"/>
        <item x="75"/>
        <item x="57"/>
        <item x="164"/>
        <item x="158"/>
        <item x="168"/>
        <item x="180"/>
        <item x="201"/>
        <item x="82"/>
        <item x="71"/>
        <item x="172"/>
        <item x="27"/>
        <item x="21"/>
        <item x="12"/>
        <item x="134"/>
        <item x="38"/>
        <item x="100"/>
        <item x="221"/>
        <item x="116"/>
        <item x="204"/>
        <item x="2"/>
        <item x="42"/>
        <item x="11"/>
        <item x="124"/>
        <item x="186"/>
        <item x="91"/>
        <item x="22"/>
        <item x="76"/>
        <item x="242"/>
        <item x="238"/>
        <item x="125"/>
        <item x="173"/>
        <item x="25"/>
        <item x="0"/>
        <item x="166"/>
        <item x="95"/>
        <item x="129"/>
        <item x="232"/>
        <item x="54"/>
        <item x="112"/>
        <item x="202"/>
        <item x="30"/>
        <item x="105"/>
        <item x="94"/>
        <item x="240"/>
        <item x="62"/>
        <item x="43"/>
        <item x="106"/>
        <item x="161"/>
        <item x="90"/>
        <item x="113"/>
        <item x="139"/>
        <item x="47"/>
        <item x="45"/>
        <item x="188"/>
        <item x="179"/>
        <item x="79"/>
        <item x="212"/>
        <item x="231"/>
        <item x="143"/>
        <item x="185"/>
        <item x="10"/>
        <item x="3"/>
        <item x="216"/>
        <item x="41"/>
        <item x="234"/>
        <item x="15"/>
        <item x="68"/>
        <item x="88"/>
        <item x="128"/>
        <item x="152"/>
        <item x="29"/>
        <item x="133"/>
        <item x="210"/>
        <item x="119"/>
        <item x="65"/>
        <item x="227"/>
        <item x="84"/>
        <item x="189"/>
        <item x="102"/>
        <item x="58"/>
        <item x="229"/>
        <item x="137"/>
        <item x="181"/>
        <item x="24"/>
        <item x="150"/>
        <item x="53"/>
        <item x="103"/>
        <item x="170"/>
        <item x="80"/>
        <item x="239"/>
        <item x="23"/>
        <item x="169"/>
        <item x="35"/>
        <item x="205"/>
        <item x="117"/>
        <item x="32"/>
        <item x="241"/>
        <item x="83"/>
        <item x="213"/>
        <item x="171"/>
        <item x="74"/>
        <item x="111"/>
        <item x="237"/>
        <item x="175"/>
        <item x="5"/>
        <item x="195"/>
        <item x="70"/>
        <item x="155"/>
        <item x="208"/>
        <item x="34"/>
        <item x="135"/>
        <item x="56"/>
        <item x="77"/>
        <item x="6"/>
        <item x="219"/>
        <item x="206"/>
        <item x="96"/>
        <item x="162"/>
        <item x="98"/>
        <item x="217"/>
        <item x="154"/>
        <item x="81"/>
        <item x="218"/>
        <item x="104"/>
        <item x="220"/>
        <item x="233"/>
        <item x="89"/>
        <item x="126"/>
        <item x="174"/>
        <item x="236"/>
        <item x="197"/>
        <item x="48"/>
        <item x="1"/>
        <item x="17"/>
        <item x="109"/>
        <item x="7"/>
        <item x="8"/>
        <item x="203"/>
        <item x="215"/>
        <item x="39"/>
        <item x="127"/>
        <item x="33"/>
        <item x="9"/>
        <item x="131"/>
        <item x="121"/>
        <item x="87"/>
        <item x="107"/>
        <item x="167"/>
        <item x="78"/>
        <item x="196"/>
        <item x="101"/>
        <item x="108"/>
        <item x="73"/>
        <item x="118"/>
        <item x="142"/>
        <item x="165"/>
        <item x="16"/>
        <item x="235"/>
        <item x="60"/>
        <item x="136"/>
        <item x="145"/>
        <item x="147"/>
        <item x="149"/>
        <item x="153"/>
        <item x="225"/>
        <item x="36"/>
        <item x="226"/>
        <item x="194"/>
        <item x="177"/>
        <item x="120"/>
        <item x="192"/>
        <item x="224"/>
        <item x="14"/>
        <item x="4"/>
        <item x="20"/>
        <item x="122"/>
        <item x="69"/>
        <item x="191"/>
        <item x="19"/>
        <item x="130"/>
        <item x="86"/>
        <item x="214"/>
        <item x="92"/>
        <item x="132"/>
        <item x="198"/>
        <item x="115"/>
        <item x="156"/>
        <item x="99"/>
        <item x="93"/>
        <item x="223"/>
        <item x="243"/>
        <item x="159"/>
        <item x="184"/>
        <item x="209"/>
        <item x="51"/>
        <item x="13"/>
        <item t="default"/>
      </items>
    </pivotField>
    <pivotField showAll="0">
      <items count="5">
        <item x="0"/>
        <item x="3"/>
        <item x="2"/>
        <item x="1"/>
        <item t="default"/>
      </items>
    </pivotField>
    <pivotField showAll="0"/>
    <pivotField showAll="0"/>
    <pivotField showAll="0"/>
  </pivotFields>
  <rowFields count="1">
    <field x="0"/>
  </rowFields>
  <rowItems count="10">
    <i>
      <x v="246"/>
    </i>
    <i>
      <x v="256"/>
    </i>
    <i>
      <x v="214"/>
    </i>
    <i>
      <x v="216"/>
    </i>
    <i>
      <x v="139"/>
    </i>
    <i>
      <x v="221"/>
    </i>
    <i>
      <x v="151"/>
    </i>
    <i>
      <x v="117"/>
    </i>
    <i>
      <x v="66"/>
    </i>
    <i>
      <x v="240"/>
    </i>
  </rowItems>
  <colItems count="1">
    <i/>
  </colItems>
  <dataFields count="1">
    <dataField name="Sum of Engagement" fld="16" baseField="0" baseItem="0"/>
  </dataFields>
  <formats count="1">
    <format dxfId="98">
      <pivotArea dataOnly="0" fieldPosition="0">
        <references count="1">
          <reference field="0" count="1">
            <x v="279"/>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259"/>
          </reference>
        </references>
      </pivotArea>
    </chartFormat>
    <chartFormat chart="0" format="2" series="1">
      <pivotArea type="data" outline="0" fieldPosition="0">
        <references count="2">
          <reference field="4294967294" count="1" selected="0">
            <x v="0"/>
          </reference>
          <reference field="0" count="1" selected="0">
            <x v="299"/>
          </reference>
        </references>
      </pivotArea>
    </chartFormat>
    <chartFormat chart="0" format="3" series="1">
      <pivotArea type="data" outline="0" fieldPosition="0">
        <references count="2">
          <reference field="4294967294" count="1" selected="0">
            <x v="0"/>
          </reference>
          <reference field="0" count="1" selected="0">
            <x v="246"/>
          </reference>
        </references>
      </pivotArea>
    </chartFormat>
    <chartFormat chart="0" format="4" series="1">
      <pivotArea type="data" outline="0" fieldPosition="0">
        <references count="2">
          <reference field="4294967294" count="1" selected="0">
            <x v="0"/>
          </reference>
          <reference field="0" count="1" selected="0">
            <x v="163"/>
          </reference>
        </references>
      </pivotArea>
    </chartFormat>
    <chartFormat chart="0" format="5" series="1">
      <pivotArea type="data" outline="0" fieldPosition="0">
        <references count="2">
          <reference field="4294967294" count="1" selected="0">
            <x v="0"/>
          </reference>
          <reference field="0" count="1" selected="0">
            <x v="256"/>
          </reference>
        </references>
      </pivotArea>
    </chartFormat>
    <chartFormat chart="0" format="6" series="1">
      <pivotArea type="data" outline="0" fieldPosition="0">
        <references count="2">
          <reference field="4294967294" count="1" selected="0">
            <x v="0"/>
          </reference>
          <reference field="0" count="1" selected="0">
            <x v="96"/>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206"/>
          </reference>
        </references>
      </pivotArea>
    </chartFormat>
    <chartFormat chart="0" format="9" series="1">
      <pivotArea type="data" outline="0" fieldPosition="0">
        <references count="2">
          <reference field="4294967294" count="1" selected="0">
            <x v="0"/>
          </reference>
          <reference field="0" count="1" selected="0">
            <x v="204"/>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0" count="1" selected="0">
            <x v="259"/>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4FB56-75F6-47FF-B28A-2158D3121BD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Platform">
  <location ref="A3:B4" firstHeaderRow="1" firstDataRow="1" firstDataCol="1"/>
  <pivotFields count="27">
    <pivotField showAll="0"/>
    <pivotField axis="axisRow" showAll="0" sortType="descending">
      <items count="5">
        <item x="3"/>
        <item h="1" x="2"/>
        <item h="1" x="0"/>
        <item h="1" x="1"/>
        <item t="default"/>
      </items>
      <autoSortScope>
        <pivotArea dataOnly="0" outline="0" fieldPosition="0">
          <references count="1">
            <reference field="4294967294" count="1" selected="0">
              <x v="0"/>
            </reference>
          </references>
        </pivotArea>
      </autoSortScope>
    </pivotField>
    <pivotField numFmtId="14" showAll="0"/>
    <pivotField showAll="0">
      <items count="7">
        <item x="3"/>
        <item x="4"/>
        <item x="0"/>
        <item x="2"/>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294">
        <item x="257"/>
        <item x="71"/>
        <item x="61"/>
        <item x="141"/>
        <item x="222"/>
        <item x="103"/>
        <item x="136"/>
        <item x="87"/>
        <item x="30"/>
        <item x="252"/>
        <item x="65"/>
        <item x="57"/>
        <item x="175"/>
        <item x="217"/>
        <item x="227"/>
        <item x="172"/>
        <item x="276"/>
        <item x="243"/>
        <item x="27"/>
        <item x="150"/>
        <item x="81"/>
        <item x="75"/>
        <item x="244"/>
        <item x="198"/>
        <item x="180"/>
        <item x="54"/>
        <item x="69"/>
        <item x="235"/>
        <item x="255"/>
        <item x="52"/>
        <item x="45"/>
        <item x="40"/>
        <item x="241"/>
        <item x="203"/>
        <item x="284"/>
        <item x="77"/>
        <item x="211"/>
        <item x="82"/>
        <item x="119"/>
        <item x="18"/>
        <item x="207"/>
        <item x="192"/>
        <item x="231"/>
        <item x="51"/>
        <item x="12"/>
        <item x="163"/>
        <item x="122"/>
        <item x="213"/>
        <item x="157"/>
        <item x="76"/>
        <item x="168"/>
        <item x="216"/>
        <item x="229"/>
        <item x="226"/>
        <item x="178"/>
        <item x="195"/>
        <item x="268"/>
        <item x="80"/>
        <item x="59"/>
        <item x="0"/>
        <item x="118"/>
        <item x="21"/>
        <item x="189"/>
        <item x="94"/>
        <item x="274"/>
        <item x="33"/>
        <item x="279"/>
        <item x="143"/>
        <item x="100"/>
        <item x="32"/>
        <item x="187"/>
        <item x="151"/>
        <item x="221"/>
        <item x="73"/>
        <item x="98"/>
        <item x="170"/>
        <item x="184"/>
        <item x="249"/>
        <item x="208"/>
        <item x="26"/>
        <item x="91"/>
        <item x="68"/>
        <item x="199"/>
        <item x="115"/>
        <item x="22"/>
        <item x="64"/>
        <item x="193"/>
        <item x="245"/>
        <item x="287"/>
        <item x="155"/>
        <item x="31"/>
        <item x="88"/>
        <item x="152"/>
        <item x="146"/>
        <item x="113"/>
        <item x="289"/>
        <item x="74"/>
        <item x="131"/>
        <item x="41"/>
        <item x="86"/>
        <item x="28"/>
        <item x="47"/>
        <item x="140"/>
        <item x="156"/>
        <item x="228"/>
        <item x="215"/>
        <item x="58"/>
        <item x="96"/>
        <item x="42"/>
        <item x="138"/>
        <item x="247"/>
        <item x="130"/>
        <item x="10"/>
        <item x="3"/>
        <item x="267"/>
        <item x="50"/>
        <item x="2"/>
        <item x="127"/>
        <item x="49"/>
        <item x="48"/>
        <item x="196"/>
        <item x="282"/>
        <item x="11"/>
        <item x="109"/>
        <item x="67"/>
        <item x="83"/>
        <item x="53"/>
        <item x="110"/>
        <item x="79"/>
        <item x="137"/>
        <item x="92"/>
        <item x="117"/>
        <item x="135"/>
        <item x="29"/>
        <item x="281"/>
        <item x="291"/>
        <item x="165"/>
        <item x="201"/>
        <item x="128"/>
        <item x="288"/>
        <item x="185"/>
        <item x="43"/>
        <item x="126"/>
        <item x="162"/>
        <item x="256"/>
        <item x="78"/>
        <item x="24"/>
        <item x="63"/>
        <item x="37"/>
        <item x="273"/>
        <item x="285"/>
        <item x="46"/>
        <item x="56"/>
        <item x="206"/>
        <item x="70"/>
        <item x="17"/>
        <item x="275"/>
        <item x="219"/>
        <item x="210"/>
        <item x="25"/>
        <item x="169"/>
        <item x="44"/>
        <item x="55"/>
        <item x="85"/>
        <item x="205"/>
        <item x="93"/>
        <item x="148"/>
        <item x="265"/>
        <item x="250"/>
        <item x="278"/>
        <item x="174"/>
        <item x="225"/>
        <item x="144"/>
        <item x="132"/>
        <item x="34"/>
        <item x="101"/>
        <item x="262"/>
        <item x="173"/>
        <item x="200"/>
        <item x="159"/>
        <item x="266"/>
        <item x="15"/>
        <item x="171"/>
        <item x="5"/>
        <item x="242"/>
        <item x="107"/>
        <item x="166"/>
        <item x="259"/>
        <item x="36"/>
        <item x="6"/>
        <item x="114"/>
        <item x="177"/>
        <item x="38"/>
        <item x="251"/>
        <item x="181"/>
        <item x="186"/>
        <item x="139"/>
        <item x="197"/>
        <item x="120"/>
        <item x="263"/>
        <item x="134"/>
        <item x="7"/>
        <item x="102"/>
        <item x="230"/>
        <item x="248"/>
        <item x="125"/>
        <item x="124"/>
        <item x="246"/>
        <item x="14"/>
        <item x="167"/>
        <item x="4"/>
        <item x="183"/>
        <item x="62"/>
        <item x="182"/>
        <item x="108"/>
        <item x="153"/>
        <item x="209"/>
        <item x="202"/>
        <item x="84"/>
        <item x="97"/>
        <item x="232"/>
        <item x="23"/>
        <item x="176"/>
        <item x="238"/>
        <item x="277"/>
        <item x="123"/>
        <item x="204"/>
        <item x="133"/>
        <item x="19"/>
        <item x="89"/>
        <item x="145"/>
        <item x="13"/>
        <item x="1"/>
        <item x="218"/>
        <item x="8"/>
        <item x="260"/>
        <item x="16"/>
        <item x="111"/>
        <item x="220"/>
        <item x="283"/>
        <item x="72"/>
        <item x="290"/>
        <item x="261"/>
        <item x="240"/>
        <item x="258"/>
        <item x="191"/>
        <item x="121"/>
        <item x="154"/>
        <item x="90"/>
        <item x="112"/>
        <item x="286"/>
        <item x="35"/>
        <item x="9"/>
        <item x="160"/>
        <item x="179"/>
        <item x="269"/>
        <item x="234"/>
        <item x="292"/>
        <item x="106"/>
        <item x="237"/>
        <item x="190"/>
        <item x="39"/>
        <item x="253"/>
        <item x="272"/>
        <item x="236"/>
        <item x="95"/>
        <item x="66"/>
        <item x="116"/>
        <item x="147"/>
        <item x="233"/>
        <item x="270"/>
        <item x="188"/>
        <item x="99"/>
        <item x="194"/>
        <item x="20"/>
        <item x="264"/>
        <item x="149"/>
        <item x="164"/>
        <item x="129"/>
        <item x="105"/>
        <item x="214"/>
        <item x="224"/>
        <item x="280"/>
        <item x="271"/>
        <item x="223"/>
        <item x="158"/>
        <item x="104"/>
        <item x="212"/>
        <item x="239"/>
        <item x="254"/>
        <item x="161"/>
        <item x="142"/>
        <item x="60"/>
        <item t="default"/>
      </items>
    </pivotField>
    <pivotField dataField="1" numFmtId="164" showAll="0"/>
    <pivotField showAll="0"/>
    <pivotField showAll="0"/>
    <pivotField showAll="0"/>
    <pivotField showAll="0"/>
    <pivotField showAll="0"/>
    <pivotField showAll="0"/>
    <pivotField showAll="0"/>
    <pivotField showAll="0"/>
    <pivotField showAll="0"/>
  </pivotFields>
  <rowFields count="1">
    <field x="1"/>
  </rowFields>
  <rowItems count="1">
    <i>
      <x/>
    </i>
  </rowItems>
  <colItems count="1">
    <i/>
  </colItems>
  <dataFields count="1">
    <dataField name="Average of Engagement Rate" fld="17" subtotal="average" baseField="1" baseItem="0" numFmtId="9"/>
  </dataFields>
  <formats count="4">
    <format dxfId="102">
      <pivotArea outline="0" collapsedLevelsAreSubtotals="1" fieldPosition="0"/>
    </format>
    <format dxfId="101">
      <pivotArea dataOnly="0" labelOnly="1" outline="0" axis="axisValues" fieldPosition="0"/>
    </format>
    <format dxfId="100">
      <pivotArea dataOnly="0" labelOnly="1" fieldPosition="0">
        <references count="1">
          <reference field="1" count="1">
            <x v="1"/>
          </reference>
        </references>
      </pivotArea>
    </format>
    <format dxfId="99">
      <pivotArea collapsedLevelsAreSubtotals="1" fieldPosition="0">
        <references count="1">
          <reference field="1"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2F307-C2F8-418F-9663-81B8FDDBDCE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Platform">
  <location ref="A80:B87" firstHeaderRow="1" firstDataRow="1" firstDataCol="1"/>
  <pivotFields count="27">
    <pivotField showAll="0" defaultSubtotal="0"/>
    <pivotField axis="axisRow" showAll="0" defaultSubtotal="0">
      <items count="4">
        <item x="3"/>
        <item h="1" x="2"/>
        <item h="1" x="0"/>
        <item h="1" x="1"/>
      </items>
    </pivotField>
    <pivotField numFmtId="14" showAll="0" defaultSubtotal="0"/>
    <pivotField axis="axisRow" showAll="0" defaultSubtotal="0">
      <items count="6">
        <item x="3"/>
        <item x="4"/>
        <item x="0"/>
        <item x="2"/>
        <item x="1"/>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numFmtId="9"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2">
    <field x="1"/>
    <field x="3"/>
  </rowFields>
  <rowItems count="7">
    <i>
      <x/>
    </i>
    <i r="1">
      <x/>
    </i>
    <i r="1">
      <x v="1"/>
    </i>
    <i r="1">
      <x v="2"/>
    </i>
    <i r="1">
      <x v="3"/>
    </i>
    <i r="1">
      <x v="4"/>
    </i>
    <i r="1">
      <x v="5"/>
    </i>
  </rowItems>
  <colItems count="1">
    <i/>
  </colItems>
  <dataFields count="1">
    <dataField name="Average of Engagement" fld="16" subtotal="average" baseField="1" baseItem="0"/>
  </dataFields>
  <formats count="8">
    <format dxfId="110">
      <pivotArea collapsedLevelsAreSubtotals="1" fieldPosition="0">
        <references count="2">
          <reference field="1" count="1" selected="0">
            <x v="0"/>
          </reference>
          <reference field="3" count="0"/>
        </references>
      </pivotArea>
    </format>
    <format dxfId="109">
      <pivotArea collapsedLevelsAreSubtotals="1" fieldPosition="0">
        <references count="1">
          <reference field="1" count="1">
            <x v="1"/>
          </reference>
        </references>
      </pivotArea>
    </format>
    <format dxfId="108">
      <pivotArea collapsedLevelsAreSubtotals="1" fieldPosition="0">
        <references count="2">
          <reference field="1" count="1" selected="0">
            <x v="1"/>
          </reference>
          <reference field="3" count="0"/>
        </references>
      </pivotArea>
    </format>
    <format dxfId="107">
      <pivotArea collapsedLevelsAreSubtotals="1" fieldPosition="0">
        <references count="1">
          <reference field="1" count="1">
            <x v="2"/>
          </reference>
        </references>
      </pivotArea>
    </format>
    <format dxfId="106">
      <pivotArea collapsedLevelsAreSubtotals="1" fieldPosition="0">
        <references count="2">
          <reference field="1" count="1" selected="0">
            <x v="2"/>
          </reference>
          <reference field="3" count="0"/>
        </references>
      </pivotArea>
    </format>
    <format dxfId="105">
      <pivotArea collapsedLevelsAreSubtotals="1" fieldPosition="0">
        <references count="1">
          <reference field="1" count="1">
            <x v="3"/>
          </reference>
        </references>
      </pivotArea>
    </format>
    <format dxfId="104">
      <pivotArea collapsedLevelsAreSubtotals="1" fieldPosition="0">
        <references count="2">
          <reference field="1" count="1" selected="0">
            <x v="3"/>
          </reference>
          <reference field="3" count="0"/>
        </references>
      </pivotArea>
    </format>
    <format dxfId="103">
      <pivotArea collapsedLevelsAreSubtotals="1" fieldPosition="0">
        <references count="1">
          <reference field="1" count="1">
            <x v="0"/>
          </reference>
        </references>
      </pivotArea>
    </format>
  </formats>
  <chartFormats count="2">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ADB801-B449-4F6E-AE5D-7476D102378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Post Hashtags">
  <location ref="A62:B68" firstHeaderRow="1" firstDataRow="1" firstDataCol="1"/>
  <pivotFields count="27">
    <pivotField showAll="0"/>
    <pivotField showAll="0">
      <items count="5">
        <item x="3"/>
        <item h="1" x="2"/>
        <item h="1" x="0"/>
        <item h="1" x="1"/>
        <item t="default"/>
      </items>
    </pivotField>
    <pivotField numFmtId="14" showAll="0"/>
    <pivotField showAll="0">
      <items count="7">
        <item x="3"/>
        <item x="4"/>
        <item x="0"/>
        <item x="2"/>
        <item x="1"/>
        <item x="5"/>
        <item t="default"/>
      </items>
    </pivotField>
    <pivotField showAll="0"/>
    <pivotField showAll="0"/>
    <pivotField showAll="0"/>
    <pivotField showAll="0"/>
    <pivotField showAll="0"/>
    <pivotField showAll="0"/>
    <pivotField dataField="1" showAll="0"/>
    <pivotField axis="axisRow" showAll="0" sortType="descending">
      <items count="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11"/>
  </rowFields>
  <rowItems count="6">
    <i>
      <x/>
    </i>
    <i>
      <x v="3"/>
    </i>
    <i>
      <x v="2"/>
    </i>
    <i>
      <x v="5"/>
    </i>
    <i>
      <x v="1"/>
    </i>
    <i>
      <x v="4"/>
    </i>
  </rowItems>
  <colItems count="1">
    <i/>
  </colItems>
  <dataFields count="1">
    <dataField name="Average of Clicks" fld="10" subtotal="average" baseField="11" baseItem="0" numFmtId="2"/>
  </dataFields>
  <formats count="9">
    <format dxfId="119">
      <pivotArea collapsedLevelsAreSubtotals="1" fieldPosition="0">
        <references count="1">
          <reference field="11" count="1">
            <x v="0"/>
          </reference>
        </references>
      </pivotArea>
    </format>
    <format dxfId="118">
      <pivotArea outline="0" collapsedLevelsAreSubtotals="1" fieldPosition="0"/>
    </format>
    <format dxfId="117">
      <pivotArea dataOnly="0" labelOnly="1" fieldPosition="0">
        <references count="1">
          <reference field="11" count="1">
            <x v="0"/>
          </reference>
        </references>
      </pivotArea>
    </format>
    <format dxfId="116">
      <pivotArea dataOnly="0" labelOnly="1" fieldPosition="0">
        <references count="1">
          <reference field="11" count="1">
            <x v="5"/>
          </reference>
        </references>
      </pivotArea>
    </format>
    <format dxfId="115">
      <pivotArea collapsedLevelsAreSubtotals="1" fieldPosition="0">
        <references count="1">
          <reference field="11" count="1">
            <x v="0"/>
          </reference>
        </references>
      </pivotArea>
    </format>
    <format dxfId="114">
      <pivotArea dataOnly="0" labelOnly="1" fieldPosition="0">
        <references count="1">
          <reference field="11" count="1">
            <x v="2"/>
          </reference>
        </references>
      </pivotArea>
    </format>
    <format dxfId="113">
      <pivotArea collapsedLevelsAreSubtotals="1" fieldPosition="0">
        <references count="1">
          <reference field="11" count="1">
            <x v="5"/>
          </reference>
        </references>
      </pivotArea>
    </format>
    <format dxfId="112">
      <pivotArea dataOnly="0" labelOnly="1" fieldPosition="0">
        <references count="1">
          <reference field="11" count="1">
            <x v="0"/>
          </reference>
        </references>
      </pivotArea>
    </format>
    <format dxfId="111">
      <pivotArea dataOnly="0" labelOnly="1" fieldPosition="0">
        <references count="1">
          <reference field="11" count="1">
            <x v="5"/>
          </reference>
        </references>
      </pivotArea>
    </format>
  </formats>
  <conditionalFormats count="3">
    <conditionalFormat type="all" priority="1">
      <pivotAreas count="1">
        <pivotArea type="data" collapsedLevelsAreSubtotals="1" fieldPosition="0">
          <references count="2">
            <reference field="4294967294" count="1" selected="0">
              <x v="0"/>
            </reference>
            <reference field="11" count="1">
              <x v="0"/>
            </reference>
          </references>
        </pivotArea>
      </pivotAreas>
    </conditionalFormat>
    <conditionalFormat type="all" priority="2">
      <pivotAreas count="1">
        <pivotArea type="data" outline="0" collapsedLevelsAreSubtotals="1" fieldPosition="0">
          <references count="1">
            <reference field="4294967294" count="1" selected="0">
              <x v="0"/>
            </reference>
          </references>
        </pivotArea>
      </pivotAreas>
    </conditionalFormat>
    <conditionalFormat type="all" priority="3">
      <pivotAreas count="1">
        <pivotArea type="data" collapsedLevelsAreSubtotals="1" fieldPosition="0">
          <references count="2">
            <reference field="4294967294" count="1" selected="0">
              <x v="0"/>
            </reference>
            <reference field="11" count="1">
              <x v="0"/>
            </reference>
          </references>
        </pivotArea>
      </pivotAreas>
    </conditionalFormat>
  </conditionalFormats>
  <chartFormats count="14">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1" count="1" selected="0">
            <x v="0"/>
          </reference>
        </references>
      </pivotArea>
    </chartFormat>
    <chartFormat chart="21" format="10">
      <pivotArea type="data" outline="0" fieldPosition="0">
        <references count="2">
          <reference field="4294967294" count="1" selected="0">
            <x v="0"/>
          </reference>
          <reference field="11" count="1" selected="0">
            <x v="5"/>
          </reference>
        </references>
      </pivotArea>
    </chartFormat>
    <chartFormat chart="21" format="11">
      <pivotArea type="data" outline="0" fieldPosition="0">
        <references count="2">
          <reference field="4294967294" count="1" selected="0">
            <x v="0"/>
          </reference>
          <reference field="11" count="1" selected="0">
            <x v="2"/>
          </reference>
        </references>
      </pivotArea>
    </chartFormat>
    <chartFormat chart="21" format="12">
      <pivotArea type="data" outline="0" fieldPosition="0">
        <references count="2">
          <reference field="4294967294" count="1" selected="0">
            <x v="0"/>
          </reference>
          <reference field="11" count="1" selected="0">
            <x v="3"/>
          </reference>
        </references>
      </pivotArea>
    </chartFormat>
    <chartFormat chart="21" format="13">
      <pivotArea type="data" outline="0" fieldPosition="0">
        <references count="2">
          <reference field="4294967294" count="1" selected="0">
            <x v="0"/>
          </reference>
          <reference field="11" count="1" selected="0">
            <x v="1"/>
          </reference>
        </references>
      </pivotArea>
    </chartFormat>
    <chartFormat chart="21" format="14">
      <pivotArea type="data" outline="0" fieldPosition="0">
        <references count="2">
          <reference field="4294967294" count="1" selected="0">
            <x v="0"/>
          </reference>
          <reference field="11" count="1" selected="0">
            <x v="4"/>
          </reference>
        </references>
      </pivotArea>
    </chartFormat>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11" count="1" selected="0">
            <x v="0"/>
          </reference>
        </references>
      </pivotArea>
    </chartFormat>
    <chartFormat chart="28" format="16">
      <pivotArea type="data" outline="0" fieldPosition="0">
        <references count="2">
          <reference field="4294967294" count="1" selected="0">
            <x v="0"/>
          </reference>
          <reference field="11" count="1" selected="0">
            <x v="5"/>
          </reference>
        </references>
      </pivotArea>
    </chartFormat>
    <chartFormat chart="28" format="17">
      <pivotArea type="data" outline="0" fieldPosition="0">
        <references count="2">
          <reference field="4294967294" count="1" selected="0">
            <x v="0"/>
          </reference>
          <reference field="11" count="1" selected="0">
            <x v="2"/>
          </reference>
        </references>
      </pivotArea>
    </chartFormat>
    <chartFormat chart="28" format="18">
      <pivotArea type="data" outline="0" fieldPosition="0">
        <references count="2">
          <reference field="4294967294" count="1" selected="0">
            <x v="0"/>
          </reference>
          <reference field="11" count="1" selected="0">
            <x v="3"/>
          </reference>
        </references>
      </pivotArea>
    </chartFormat>
    <chartFormat chart="28" format="19">
      <pivotArea type="data" outline="0" fieldPosition="0">
        <references count="2">
          <reference field="4294967294" count="1" selected="0">
            <x v="0"/>
          </reference>
          <reference field="11" count="1" selected="0">
            <x v="1"/>
          </reference>
        </references>
      </pivotArea>
    </chartFormat>
    <chartFormat chart="28" format="20">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DB2FC5-EAD3-43B6-A842-3BABC4611F97}" name="PivotTable1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Platform">
  <location ref="A26:C30" firstHeaderRow="0" firstDataRow="1" firstDataCol="1"/>
  <pivotFields count="10">
    <pivotField showAll="0"/>
    <pivotField axis="axisRow" showAll="0">
      <items count="5">
        <item x="1"/>
        <item x="0"/>
        <item x="2"/>
        <item x="3"/>
        <item t="default"/>
      </items>
    </pivotField>
    <pivotField showAll="0"/>
    <pivotField showAll="0"/>
    <pivotField showAll="0"/>
    <pivotField dataField="1" showAll="0"/>
    <pivotField dataField="1" showAll="0"/>
    <pivotField showAll="0"/>
    <pivotField numFmtId="10" showAll="0"/>
    <pivotField showAll="0"/>
  </pivotFields>
  <rowFields count="1">
    <field x="1"/>
  </rowFields>
  <rowItems count="4">
    <i>
      <x/>
    </i>
    <i>
      <x v="1"/>
    </i>
    <i>
      <x v="2"/>
    </i>
    <i>
      <x v="3"/>
    </i>
  </rowItems>
  <colFields count="1">
    <field x="-2"/>
  </colFields>
  <colItems count="2">
    <i>
      <x/>
    </i>
    <i i="1">
      <x v="1"/>
    </i>
  </colItems>
  <dataFields count="2">
    <dataField name="Average of Engagement_Rate" fld="5" subtotal="average" baseField="1" baseItem="0"/>
    <dataField name="Ad Spend" fld="6" baseField="1" baseItem="0" numFmtId="165"/>
  </dataFields>
  <formats count="7">
    <format dxfId="77">
      <pivotArea outline="0" collapsedLevelsAreSubtotals="1" fieldPosition="0">
        <references count="1">
          <reference field="4294967294" count="1" selected="0">
            <x v="1"/>
          </reference>
        </references>
      </pivotArea>
    </format>
    <format dxfId="76">
      <pivotArea collapsedLevelsAreSubtotals="1" fieldPosition="0">
        <references count="2">
          <reference field="4294967294" count="1" selected="0">
            <x v="1"/>
          </reference>
          <reference field="1" count="1">
            <x v="0"/>
          </reference>
        </references>
      </pivotArea>
    </format>
    <format dxfId="75">
      <pivotArea collapsedLevelsAreSubtotals="1" fieldPosition="0">
        <references count="2">
          <reference field="4294967294" count="1" selected="0">
            <x v="1"/>
          </reference>
          <reference field="1" count="1">
            <x v="1"/>
          </reference>
        </references>
      </pivotArea>
    </format>
    <format dxfId="74">
      <pivotArea collapsedLevelsAreSubtotals="1" fieldPosition="0">
        <references count="2">
          <reference field="4294967294" count="1" selected="0">
            <x v="1"/>
          </reference>
          <reference field="1" count="1">
            <x v="2"/>
          </reference>
        </references>
      </pivotArea>
    </format>
    <format dxfId="73">
      <pivotArea collapsedLevelsAreSubtotals="1" fieldPosition="0">
        <references count="2">
          <reference field="4294967294" count="1" selected="0">
            <x v="1"/>
          </reference>
          <reference field="1" count="1">
            <x v="3"/>
          </reference>
        </references>
      </pivotArea>
    </format>
    <format dxfId="72">
      <pivotArea collapsedLevelsAreSubtotals="1" fieldPosition="0">
        <references count="2">
          <reference field="4294967294" count="1" selected="0">
            <x v="0"/>
          </reference>
          <reference field="1" count="1">
            <x v="1"/>
          </reference>
        </references>
      </pivotArea>
    </format>
    <format dxfId="71">
      <pivotArea dataOnly="0" labelOnly="1" fieldPosition="0">
        <references count="1">
          <reference field="1"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26AD32-20FA-4A18-AF83-93E4138AF787}"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latform">
  <location ref="A16:B20" firstHeaderRow="1" firstDataRow="1" firstDataCol="1"/>
  <pivotFields count="9">
    <pivotField showAll="0"/>
    <pivotField axis="axisRow" showAll="0">
      <items count="5">
        <item x="1"/>
        <item x="0"/>
        <item x="2"/>
        <item x="3"/>
        <item t="default"/>
      </items>
    </pivotField>
    <pivotField showAll="0"/>
    <pivotField showAll="0"/>
    <pivotField showAll="0"/>
    <pivotField showAll="0"/>
    <pivotField showAll="0"/>
    <pivotField showAll="0"/>
    <pivotField dataField="1" numFmtId="10" showAll="0"/>
  </pivotFields>
  <rowFields count="1">
    <field x="1"/>
  </rowFields>
  <rowItems count="4">
    <i>
      <x/>
    </i>
    <i>
      <x v="1"/>
    </i>
    <i>
      <x v="2"/>
    </i>
    <i>
      <x v="3"/>
    </i>
  </rowItems>
  <colItems count="1">
    <i/>
  </colItems>
  <dataFields count="1">
    <dataField name=" Follower Growth Rate" fld="8"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FCBCF2-21E5-4496-9172-B8E7192B9D8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Platform">
  <location ref="A4:B5" firstHeaderRow="1" firstDataRow="1" firstDataCol="1"/>
  <pivotFields count="27">
    <pivotField showAll="0"/>
    <pivotField axis="axisRow" showAll="0" sortType="descending">
      <items count="5">
        <item x="3"/>
        <item h="1" x="2"/>
        <item h="1" x="0"/>
        <item h="1" x="1"/>
        <item t="default"/>
      </items>
      <autoSortScope>
        <pivotArea dataOnly="0" outline="0" fieldPosition="0">
          <references count="1">
            <reference field="4294967294" count="1" selected="0">
              <x v="0"/>
            </reference>
          </references>
        </pivotArea>
      </autoSortScope>
    </pivotField>
    <pivotField numFmtId="14" showAll="0"/>
    <pivotField showAll="0">
      <items count="7">
        <item x="3"/>
        <item x="4"/>
        <item x="0"/>
        <item x="2"/>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 showAll="0"/>
    <pivotField showAll="0"/>
  </pivotFields>
  <rowFields count="1">
    <field x="1"/>
  </rowFields>
  <rowItems count="1">
    <i>
      <x/>
    </i>
  </rowItems>
  <colItems count="1">
    <i/>
  </colItems>
  <dataFields count="1">
    <dataField name="Sum of Engagement" fld="16" baseField="0" baseItem="0"/>
  </dataFields>
  <formats count="2">
    <format dxfId="79">
      <pivotArea dataOnly="0" fieldPosition="0">
        <references count="1">
          <reference field="1" count="1">
            <x v="0"/>
          </reference>
        </references>
      </pivotArea>
    </format>
    <format dxfId="78">
      <pivotArea dataOnly="0" fieldPosition="0">
        <references count="1">
          <reference field="1"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8A4D1B-346A-4DFD-9C52-105D8723B99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Hashtags Used">
  <location ref="A17:B23" firstHeaderRow="1" firstDataRow="1" firstDataCol="1"/>
  <pivotFields count="27">
    <pivotField dataField="1" showAll="0"/>
    <pivotField showAll="0">
      <items count="5">
        <item x="3"/>
        <item h="1" x="2"/>
        <item h="1" x="0"/>
        <item h="1" x="1"/>
        <item t="default"/>
      </items>
    </pivotField>
    <pivotField numFmtId="14" showAll="0"/>
    <pivotField showAll="0">
      <items count="7">
        <item x="3"/>
        <item x="4"/>
        <item x="0"/>
        <item x="2"/>
        <item x="1"/>
        <item x="5"/>
        <item t="default"/>
      </items>
    </pivotField>
    <pivotField showAll="0"/>
    <pivotField showAll="0"/>
    <pivotField showAll="0"/>
    <pivotField showAll="0"/>
    <pivotField showAll="0"/>
    <pivotField showAll="0"/>
    <pivotField showAll="0"/>
    <pivotField axis="axisRow" showAll="0" sortType="descending">
      <items count="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11"/>
  </rowFields>
  <rowItems count="6">
    <i>
      <x v="3"/>
    </i>
    <i>
      <x v="5"/>
    </i>
    <i>
      <x v="2"/>
    </i>
    <i>
      <x/>
    </i>
    <i>
      <x v="1"/>
    </i>
    <i>
      <x v="4"/>
    </i>
  </rowItems>
  <colItems count="1">
    <i/>
  </colItems>
  <dataFields count="1">
    <dataField name="Count of Posts" fld="0" subtotal="count" baseField="11" baseItem="5"/>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5"/>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0"/>
          </reference>
        </references>
      </pivotArea>
    </chartFormat>
    <chartFormat chart="0" format="5">
      <pivotArea type="data" outline="0" fieldPosition="0">
        <references count="2">
          <reference field="4294967294" count="1" selected="0">
            <x v="0"/>
          </reference>
          <reference field="11" count="1" selected="0">
            <x v="1"/>
          </reference>
        </references>
      </pivotArea>
    </chartFormat>
    <chartFormat chart="0" format="6">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D6607C-DA8B-4A86-AAB0-679AAFFF7DD3}"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ntent Type">
  <location ref="A46:B52" firstHeaderRow="1" firstDataRow="1" firstDataCol="1"/>
  <pivotFields count="27">
    <pivotField showAll="0"/>
    <pivotField showAll="0">
      <items count="5">
        <item x="3"/>
        <item h="1" x="2"/>
        <item h="1" x="0"/>
        <item h="1" x="1"/>
        <item t="default"/>
      </items>
    </pivotField>
    <pivotField numFmtId="14" showAll="0"/>
    <pivotField axis="axisRow" showAll="0" sortType="descending">
      <items count="7">
        <item x="3"/>
        <item x="4"/>
        <item x="0"/>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Fields count="1">
    <field x="3"/>
  </rowFields>
  <rowItems count="6">
    <i>
      <x v="3"/>
    </i>
    <i>
      <x v="5"/>
    </i>
    <i>
      <x/>
    </i>
    <i>
      <x v="1"/>
    </i>
    <i>
      <x v="4"/>
    </i>
    <i>
      <x v="2"/>
    </i>
  </rowItems>
  <colItems count="1">
    <i/>
  </colItems>
  <dataFields count="1">
    <dataField name="Average of Engagement Rate" fld="17" subtotal="average" baseField="0" baseItem="0" numFmtId="9"/>
  </dataFields>
  <formats count="1">
    <format dxfId="6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660322-1713-4DB1-BFF1-06FB08EA75AB}"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Hashtags Used">
  <location ref="A34:B40" firstHeaderRow="1" firstDataRow="1" firstDataCol="1"/>
  <pivotFields count="27">
    <pivotField showAll="0"/>
    <pivotField showAll="0">
      <items count="5">
        <item x="3"/>
        <item h="1" x="2"/>
        <item h="1" x="0"/>
        <item h="1" x="1"/>
        <item t="default"/>
      </items>
    </pivotField>
    <pivotField numFmtId="14" showAll="0"/>
    <pivotField showAll="0">
      <items count="7">
        <item x="3"/>
        <item x="4"/>
        <item x="0"/>
        <item x="2"/>
        <item x="1"/>
        <item x="5"/>
        <item t="default"/>
      </items>
    </pivotField>
    <pivotField showAll="0"/>
    <pivotField showAll="0"/>
    <pivotField showAll="0"/>
    <pivotField showAll="0"/>
    <pivotField showAll="0"/>
    <pivotField showAll="0"/>
    <pivotField showAll="0"/>
    <pivotField axis="axisRow" showAll="0" sortType="descending">
      <items count="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Fields count="1">
    <field x="11"/>
  </rowFields>
  <rowItems count="6">
    <i>
      <x v="4"/>
    </i>
    <i>
      <x v="5"/>
    </i>
    <i>
      <x v="2"/>
    </i>
    <i>
      <x v="3"/>
    </i>
    <i>
      <x/>
    </i>
    <i>
      <x v="1"/>
    </i>
  </rowItems>
  <colItems count="1">
    <i/>
  </colItems>
  <dataFields count="1">
    <dataField name="Average of Engagement Rate" fld="17" subtotal="average" baseField="0" baseItem="0" numFmtId="9"/>
  </dataFields>
  <formats count="1">
    <format dxfId="7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5"/>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2EBCEE-D662-4FFD-BF75-A29EC2AB0B2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ampaign Name">
  <location ref="A62:B67" firstHeaderRow="1" firstDataRow="1" firstDataCol="1"/>
  <pivotFields count="27">
    <pivotField showAll="0" defaultSubtotal="0"/>
    <pivotField showAll="0" defaultSubtotal="0">
      <items count="4">
        <item x="3"/>
        <item h="1" x="2"/>
        <item h="1" x="0"/>
        <item h="1" x="1"/>
      </items>
    </pivotField>
    <pivotField numFmtId="14" showAll="0" defaultSubtotal="0"/>
    <pivotField showAll="0" defaultSubtotal="0">
      <items count="6">
        <item x="3"/>
        <item x="4"/>
        <item x="0"/>
        <item x="2"/>
        <item x="1"/>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5">
        <item x="0"/>
        <item x="2"/>
        <item x="1"/>
        <item x="4"/>
        <item x="3"/>
      </items>
    </pivotField>
    <pivotField showAll="0" defaultSubtotal="0"/>
    <pivotField showAll="0" defaultSubtotal="0"/>
    <pivotField showAll="0" defaultSubtotal="0"/>
    <pivotField showAll="0" defaultSubtotal="0"/>
    <pivotField numFmtId="9" showAll="0" defaultSubtotal="0"/>
    <pivotField showAll="0" defaultSubtotal="0"/>
    <pivotField showAll="0" defaultSubtotal="0"/>
    <pivotField showAll="0" defaultSubtotal="0"/>
    <pivotField showAll="0" defaultSubtotal="0"/>
    <pivotField showAll="0" defaultSubtotal="0"/>
    <pivotField dataField="1" showAll="0" defaultSubtotal="0"/>
    <pivotField subtotalTop="0" showAll="0" defaultSubtotal="0"/>
    <pivotField subtotalTop="0" showAll="0" defaultSubtotal="0"/>
    <pivotField subtotalTop="0" showAll="0" defaultSubtotal="0"/>
  </pivotFields>
  <rowFields count="1">
    <field x="12"/>
  </rowFields>
  <rowItems count="5">
    <i>
      <x/>
    </i>
    <i>
      <x v="1"/>
    </i>
    <i>
      <x v="2"/>
    </i>
    <i>
      <x v="3"/>
    </i>
    <i>
      <x v="4"/>
    </i>
  </rowItems>
  <colItems count="1">
    <i/>
  </colItems>
  <dataFields count="1">
    <dataField name="Sum of Follower Growth" fld="23" baseField="12" baseItem="0" numFmtId="1"/>
  </dataFields>
  <formats count="2">
    <format dxfId="43">
      <pivotArea outline="0" collapsedLevelsAreSubtotals="1" fieldPosition="0"/>
    </format>
    <format dxfId="42">
      <pivotArea collapsedLevelsAreSubtotals="1" fieldPosition="0">
        <references count="1">
          <reference field="12" count="1">
            <x v="1"/>
          </reference>
        </references>
      </pivotArea>
    </format>
  </formats>
  <conditionalFormats count="1">
    <conditionalFormat type="all" priority="1">
      <pivotAreas count="1">
        <pivotArea type="data" collapsedLevelsAreSubtotals="1" fieldPosition="0">
          <references count="2">
            <reference field="4294967294" count="1" selected="0">
              <x v="0"/>
            </reference>
            <reference field="12" count="1">
              <x v="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97E968-CF17-4DE3-B25D-4540C2CC460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ampaign Name">
  <location ref="A48:B53" firstHeaderRow="1" firstDataRow="1" firstDataCol="1"/>
  <pivotFields count="27">
    <pivotField showAll="0"/>
    <pivotField showAll="0">
      <items count="5">
        <item x="3"/>
        <item h="1" x="2"/>
        <item h="1" x="0"/>
        <item h="1" x="1"/>
        <item t="default"/>
      </items>
    </pivotField>
    <pivotField numFmtId="14" showAll="0"/>
    <pivotField showAll="0">
      <items count="7">
        <item x="3"/>
        <item x="4"/>
        <item x="0"/>
        <item x="2"/>
        <item x="1"/>
        <item x="5"/>
        <item t="default"/>
      </items>
    </pivotField>
    <pivotField showAll="0"/>
    <pivotField showAll="0"/>
    <pivotField showAll="0"/>
    <pivotField showAll="0"/>
    <pivotField showAll="0"/>
    <pivotField showAll="0"/>
    <pivotField showAll="0"/>
    <pivotField showAll="0"/>
    <pivotField axis="axisRow" showAll="0">
      <items count="6">
        <item x="0"/>
        <item x="2"/>
        <item x="1"/>
        <item x="4"/>
        <item x="3"/>
        <item t="default"/>
      </items>
    </pivotField>
    <pivotField showAll="0"/>
    <pivotField showAll="0"/>
    <pivotField showAll="0"/>
    <pivotField showAll="0"/>
    <pivotField numFmtId="9" showAll="0"/>
    <pivotField showAll="0"/>
    <pivotField showAll="0"/>
    <pivotField showAll="0"/>
    <pivotField showAll="0"/>
    <pivotField dataField="1" showAll="0"/>
    <pivotField showAll="0"/>
    <pivotField showAll="0"/>
    <pivotField showAll="0"/>
    <pivotField showAll="0"/>
  </pivotFields>
  <rowFields count="1">
    <field x="12"/>
  </rowFields>
  <rowItems count="5">
    <i>
      <x/>
    </i>
    <i>
      <x v="1"/>
    </i>
    <i>
      <x v="2"/>
    </i>
    <i>
      <x v="3"/>
    </i>
    <i>
      <x v="4"/>
    </i>
  </rowItems>
  <colItems count="1">
    <i/>
  </colItems>
  <dataFields count="1">
    <dataField name="Average of ROI" fld="22" subtotal="average" baseField="12" baseItem="0" numFmtId="168"/>
  </dataFields>
  <formats count="2">
    <format dxfId="45">
      <pivotArea collapsedLevelsAreSubtotals="1" fieldPosition="0">
        <references count="1">
          <reference field="12" count="1">
            <x v="0"/>
          </reference>
        </references>
      </pivotArea>
    </format>
    <format dxfId="44">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 chart="3" format="6">
      <pivotArea type="data" outline="0" fieldPosition="0">
        <references count="2">
          <reference field="4294967294" count="1" selected="0">
            <x v="0"/>
          </reference>
          <reference field="12"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2" count="1" selected="0">
            <x v="0"/>
          </reference>
        </references>
      </pivotArea>
    </chartFormat>
    <chartFormat chart="5" format="9">
      <pivotArea type="data" outline="0" fieldPosition="0">
        <references count="2">
          <reference field="4294967294" count="1" selected="0">
            <x v="0"/>
          </reference>
          <reference field="12" count="1" selected="0">
            <x v="1"/>
          </reference>
        </references>
      </pivotArea>
    </chartFormat>
    <chartFormat chart="5" format="10">
      <pivotArea type="data" outline="0" fieldPosition="0">
        <references count="2">
          <reference field="4294967294" count="1" selected="0">
            <x v="0"/>
          </reference>
          <reference field="12" count="1" selected="0">
            <x v="2"/>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4"/>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D7D3620-BFE1-4F01-969B-ECE1B129CD3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ampaign Name" colHeaderCaption="Campaign Timing">
  <location ref="A29:B41" firstHeaderRow="1" firstDataRow="1" firstDataCol="1"/>
  <pivotFields count="27">
    <pivotField showAll="0" defaultSubtotal="0"/>
    <pivotField showAll="0" defaultSubtotal="0">
      <items count="4">
        <item x="3"/>
        <item h="1" x="2"/>
        <item h="1" x="0"/>
        <item h="1" x="1"/>
      </items>
    </pivotField>
    <pivotField numFmtId="14" showAll="0" defaultSubtotal="0"/>
    <pivotField showAll="0" defaultSubtotal="0">
      <items count="6">
        <item x="3"/>
        <item x="4"/>
        <item x="0"/>
        <item x="2"/>
        <item x="1"/>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5">
        <item x="0"/>
        <item x="2"/>
        <item x="1"/>
        <item sd="0" x="4"/>
        <item x="3"/>
      </items>
    </pivotField>
    <pivotField showAll="0" defaultSubtotal="0"/>
    <pivotField showAll="0" defaultSubtotal="0"/>
    <pivotField subtotalTop="0" showAll="0" defaultSubtotal="0"/>
    <pivotField dataField="1" showAll="0" defaultSubtotal="0"/>
    <pivotField numFmtId="164" showAll="0" defaultSubtotal="0"/>
    <pivotField subtotalTop="0" showAll="0" defaultSubtotal="0"/>
    <pivotField subtotalTop="0" showAll="0" defaultSubtotal="0"/>
    <pivotField axis="axisRow" showAll="0" defaultSubtotal="0">
      <items count="2">
        <item x="0"/>
        <item x="1"/>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2">
    <field x="12"/>
    <field x="20"/>
  </rowFields>
  <rowItems count="12">
    <i>
      <x/>
    </i>
    <i r="1">
      <x/>
    </i>
    <i r="1">
      <x v="1"/>
    </i>
    <i>
      <x v="1"/>
    </i>
    <i r="1">
      <x/>
    </i>
    <i>
      <x v="2"/>
    </i>
    <i r="1">
      <x/>
    </i>
    <i r="1">
      <x v="1"/>
    </i>
    <i>
      <x v="3"/>
    </i>
    <i>
      <x v="4"/>
    </i>
    <i r="1">
      <x/>
    </i>
    <i r="1">
      <x v="1"/>
    </i>
  </rowItems>
  <colItems count="1">
    <i/>
  </colItems>
  <dataFields count="1">
    <dataField name="Average of Engagement" fld="16" subtotal="average" baseField="12" baseItem="0"/>
  </dataFields>
  <formats count="13">
    <format dxfId="58">
      <pivotArea dataOnly="0" labelOnly="1" fieldPosition="0">
        <references count="1">
          <reference field="12" count="1">
            <x v="1"/>
          </reference>
        </references>
      </pivotArea>
    </format>
    <format dxfId="57">
      <pivotArea collapsedLevelsAreSubtotals="1" fieldPosition="0">
        <references count="2">
          <reference field="12" count="1" selected="0">
            <x v="0"/>
          </reference>
          <reference field="20" count="0"/>
        </references>
      </pivotArea>
    </format>
    <format dxfId="56">
      <pivotArea collapsedLevelsAreSubtotals="1" fieldPosition="0">
        <references count="1">
          <reference field="12" count="1">
            <x v="1"/>
          </reference>
        </references>
      </pivotArea>
    </format>
    <format dxfId="55">
      <pivotArea collapsedLevelsAreSubtotals="1" fieldPosition="0">
        <references count="2">
          <reference field="12" count="1" selected="0">
            <x v="1"/>
          </reference>
          <reference field="20" count="0"/>
        </references>
      </pivotArea>
    </format>
    <format dxfId="54">
      <pivotArea collapsedLevelsAreSubtotals="1" fieldPosition="0">
        <references count="1">
          <reference field="12" count="1">
            <x v="2"/>
          </reference>
        </references>
      </pivotArea>
    </format>
    <format dxfId="53">
      <pivotArea collapsedLevelsAreSubtotals="1" fieldPosition="0">
        <references count="2">
          <reference field="12" count="1" selected="0">
            <x v="2"/>
          </reference>
          <reference field="20" count="0"/>
        </references>
      </pivotArea>
    </format>
    <format dxfId="52">
      <pivotArea collapsedLevelsAreSubtotals="1" fieldPosition="0">
        <references count="1">
          <reference field="12" count="1">
            <x v="3"/>
          </reference>
        </references>
      </pivotArea>
    </format>
    <format dxfId="51">
      <pivotArea collapsedLevelsAreSubtotals="1" fieldPosition="0">
        <references count="2">
          <reference field="12" count="1" selected="0">
            <x v="3"/>
          </reference>
          <reference field="20" count="1">
            <x v="0"/>
          </reference>
        </references>
      </pivotArea>
    </format>
    <format dxfId="50">
      <pivotArea collapsedLevelsAreSubtotals="1" fieldPosition="0">
        <references count="1">
          <reference field="12" count="1">
            <x v="4"/>
          </reference>
        </references>
      </pivotArea>
    </format>
    <format dxfId="49">
      <pivotArea collapsedLevelsAreSubtotals="1" fieldPosition="0">
        <references count="2">
          <reference field="12" count="1" selected="0">
            <x v="4"/>
          </reference>
          <reference field="20" count="0"/>
        </references>
      </pivotArea>
    </format>
    <format dxfId="48">
      <pivotArea dataOnly="0" labelOnly="1" fieldPosition="0">
        <references count="1">
          <reference field="12" count="1">
            <x v="1"/>
          </reference>
        </references>
      </pivotArea>
    </format>
    <format dxfId="47">
      <pivotArea collapsedLevelsAreSubtotals="1" fieldPosition="0">
        <references count="1">
          <reference field="12" count="1">
            <x v="2"/>
          </reference>
        </references>
      </pivotArea>
    </format>
    <format dxfId="46">
      <pivotArea dataOnly="0" labelOnly="1" fieldPosition="0">
        <references count="1">
          <reference field="12" count="1">
            <x v="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81B755-3AF1-4EF8-9C71-21518CB95624}"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Campaign Name">
  <location ref="A3:G8" firstHeaderRow="0" firstDataRow="1" firstDataCol="1"/>
  <pivotFields count="27">
    <pivotField showAll="0"/>
    <pivotField showAll="0">
      <items count="5">
        <item x="3"/>
        <item h="1" x="2"/>
        <item h="1" x="0"/>
        <item h="1" x="1"/>
        <item t="default"/>
      </items>
    </pivotField>
    <pivotField numFmtId="14" showAll="0"/>
    <pivotField showAll="0">
      <items count="7">
        <item x="3"/>
        <item x="4"/>
        <item x="0"/>
        <item x="2"/>
        <item x="1"/>
        <item x="5"/>
        <item t="default"/>
      </items>
    </pivotField>
    <pivotField showAll="0"/>
    <pivotField dataField="1" showAll="0"/>
    <pivotField showAll="0"/>
    <pivotField showAll="0"/>
    <pivotField dataField="1" showAll="0"/>
    <pivotField showAll="0"/>
    <pivotField dataField="1" showAll="0"/>
    <pivotField showAll="0"/>
    <pivotField axis="axisRow" showAll="0" sortType="descending">
      <items count="6">
        <item x="0"/>
        <item x="2"/>
        <item x="1"/>
        <item x="4"/>
        <item x="3"/>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12"/>
  </rowFields>
  <rowItems count="5">
    <i>
      <x v="3"/>
    </i>
    <i>
      <x/>
    </i>
    <i>
      <x v="4"/>
    </i>
    <i>
      <x v="2"/>
    </i>
    <i>
      <x v="1"/>
    </i>
  </rowItems>
  <colFields count="1">
    <field x="-2"/>
  </colFields>
  <colItems count="6">
    <i>
      <x/>
    </i>
    <i i="1">
      <x v="1"/>
    </i>
    <i i="2">
      <x v="2"/>
    </i>
    <i i="3">
      <x v="3"/>
    </i>
    <i i="4">
      <x v="4"/>
    </i>
    <i i="5">
      <x v="5"/>
    </i>
  </colItems>
  <dataFields count="6">
    <dataField name="Sum of Likes" fld="5" baseField="0" baseItem="0"/>
    <dataField name="Average of Likes" fld="5" subtotal="average" baseField="12" baseItem="0" numFmtId="1"/>
    <dataField name="Sum of Clicks" fld="10" baseField="0" baseItem="0"/>
    <dataField name="Average of Clicks" fld="10" subtotal="average" baseField="12" baseItem="0" numFmtId="1"/>
    <dataField name="Sum of Impressions" fld="8" baseField="12" baseItem="0"/>
    <dataField name="Average of Impressions" fld="8" subtotal="average" baseField="12" baseItem="0" numFmtId="1"/>
  </dataFields>
  <formats count="9">
    <format dxfId="67">
      <pivotArea outline="0" collapsedLevelsAreSubtotals="1" fieldPosition="0">
        <references count="1">
          <reference field="4294967294" count="1" selected="0">
            <x v="1"/>
          </reference>
        </references>
      </pivotArea>
    </format>
    <format dxfId="66">
      <pivotArea outline="0" collapsedLevelsAreSubtotals="1" fieldPosition="0">
        <references count="1">
          <reference field="4294967294" count="1" selected="0">
            <x v="3"/>
          </reference>
        </references>
      </pivotArea>
    </format>
    <format dxfId="65">
      <pivotArea outline="0" collapsedLevelsAreSubtotals="1" fieldPosition="0">
        <references count="1">
          <reference field="4294967294" count="1" selected="0">
            <x v="5"/>
          </reference>
        </references>
      </pivotArea>
    </format>
    <format dxfId="64">
      <pivotArea collapsedLevelsAreSubtotals="1" fieldPosition="0">
        <references count="2">
          <reference field="4294967294" count="1" selected="0">
            <x v="0"/>
          </reference>
          <reference field="12" count="1">
            <x v="4"/>
          </reference>
        </references>
      </pivotArea>
    </format>
    <format dxfId="63">
      <pivotArea collapsedLevelsAreSubtotals="1" fieldPosition="0">
        <references count="2">
          <reference field="4294967294" count="1" selected="0">
            <x v="1"/>
          </reference>
          <reference field="12" count="1">
            <x v="0"/>
          </reference>
        </references>
      </pivotArea>
    </format>
    <format dxfId="62">
      <pivotArea collapsedLevelsAreSubtotals="1" fieldPosition="0">
        <references count="2">
          <reference field="4294967294" count="1" selected="0">
            <x v="2"/>
          </reference>
          <reference field="12" count="1">
            <x v="4"/>
          </reference>
        </references>
      </pivotArea>
    </format>
    <format dxfId="61">
      <pivotArea collapsedLevelsAreSubtotals="1" fieldPosition="0">
        <references count="2">
          <reference field="4294967294" count="1" selected="0">
            <x v="3"/>
          </reference>
          <reference field="12" count="1">
            <x v="2"/>
          </reference>
        </references>
      </pivotArea>
    </format>
    <format dxfId="60">
      <pivotArea collapsedLevelsAreSubtotals="1" fieldPosition="0">
        <references count="2">
          <reference field="4294967294" count="1" selected="0">
            <x v="4"/>
          </reference>
          <reference field="12" count="1">
            <x v="4"/>
          </reference>
        </references>
      </pivotArea>
    </format>
    <format dxfId="59">
      <pivotArea collapsedLevelsAreSubtotals="1" fieldPosition="0">
        <references count="2">
          <reference field="4294967294" count="1" selected="0">
            <x v="5"/>
          </reference>
          <reference field="12"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 chart="10" format="15" series="1">
      <pivotArea type="data" outline="0" fieldPosition="0">
        <references count="1">
          <reference field="4294967294" count="1" selected="0">
            <x v="3"/>
          </reference>
        </references>
      </pivotArea>
    </chartFormat>
    <chartFormat chart="10" format="16" series="1">
      <pivotArea type="data" outline="0" fieldPosition="0">
        <references count="1">
          <reference field="4294967294" count="1" selected="0">
            <x v="4"/>
          </reference>
        </references>
      </pivotArea>
    </chartFormat>
    <chartFormat chart="10"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2584052-704D-4FB3-9F16-0DB0C2810B1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Platform">
  <location ref="A3:B45" firstHeaderRow="1" firstDataRow="1" firstDataCol="1"/>
  <pivotFields count="27">
    <pivotField showAll="0" defaultSubtotal="0"/>
    <pivotField axis="axisRow" showAll="0" defaultSubtotal="0">
      <items count="4">
        <item x="3"/>
        <item h="1" x="2"/>
        <item h="1" x="0"/>
        <item h="1" x="1"/>
      </items>
    </pivotField>
    <pivotField numFmtId="14" showAll="0" defaultSubtotal="0"/>
    <pivotField showAll="0" defaultSubtotal="0">
      <items count="6">
        <item x="3"/>
        <item x="4"/>
        <item x="0"/>
        <item x="2"/>
        <item x="1"/>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9" showAll="0" defaultSubtotal="0"/>
    <pivotField showAll="0" defaultSubtotal="0"/>
    <pivotField showAll="0" defaultSubtotal="0"/>
    <pivotField showAll="0" defaultSubtotal="0"/>
    <pivotField showAll="0" defaultSubtotal="0"/>
    <pivotField showAll="0" defaultSubtotal="0"/>
    <pivotField dataField="1" showAll="0" defaultSubtotal="0"/>
    <pivotField axis="axisRow" showAll="0" defaultSubtotal="0">
      <items count="52">
        <item sd="0" x="17"/>
        <item sd="0" x="30"/>
        <item sd="0" x="49"/>
        <item sd="0" x="20"/>
        <item sd="0" x="24"/>
        <item sd="0" x="9"/>
        <item sd="0" x="40"/>
        <item sd="0" x="12"/>
        <item sd="0" x="18"/>
        <item sd="0" x="23"/>
        <item sd="0" x="8"/>
        <item sd="0" x="44"/>
        <item sd="0" x="27"/>
        <item sd="0" x="1"/>
        <item sd="0" x="21"/>
        <item sd="0" x="29"/>
        <item sd="0" x="45"/>
        <item sd="0" x="32"/>
        <item sd="0" x="14"/>
        <item sd="0" x="2"/>
        <item sd="0" x="50"/>
        <item sd="0" x="39"/>
        <item sd="0" x="33"/>
        <item sd="0" x="35"/>
        <item sd="0" x="4"/>
        <item sd="0" x="34"/>
        <item sd="0" x="6"/>
        <item sd="0" x="46"/>
        <item sd="0" x="10"/>
        <item sd="0" x="26"/>
        <item sd="0" x="41"/>
        <item sd="0" x="3"/>
        <item sd="0" x="15"/>
        <item sd="0" x="7"/>
        <item sd="0" x="36"/>
        <item sd="0" x="16"/>
        <item sd="0" x="22"/>
        <item sd="0" x="51"/>
        <item sd="0" x="42"/>
        <item sd="0" x="38"/>
        <item sd="0" x="37"/>
        <item sd="0" x="13"/>
        <item sd="0" x="5"/>
        <item sd="0" x="19"/>
        <item sd="0" x="43"/>
        <item sd="0" x="11"/>
        <item sd="0" x="28"/>
        <item sd="0" x="47"/>
        <item sd="0" x="31"/>
        <item sd="0" x="25"/>
        <item sd="0" x="0"/>
        <item sd="0" x="48"/>
      </items>
    </pivotField>
    <pivotField subtotalTop="0" showAll="0" defaultSubtotal="0"/>
    <pivotField subtotalTop="0" showAll="0" defaultSubtotal="0"/>
  </pivotFields>
  <rowFields count="2">
    <field x="24"/>
    <field x="1"/>
  </rowFields>
  <rowItems count="42">
    <i>
      <x/>
    </i>
    <i>
      <x v="1"/>
    </i>
    <i>
      <x v="2"/>
    </i>
    <i>
      <x v="3"/>
    </i>
    <i>
      <x v="4"/>
    </i>
    <i>
      <x v="5"/>
    </i>
    <i>
      <x v="6"/>
    </i>
    <i>
      <x v="7"/>
    </i>
    <i>
      <x v="8"/>
    </i>
    <i>
      <x v="9"/>
    </i>
    <i>
      <x v="10"/>
    </i>
    <i>
      <x v="12"/>
    </i>
    <i>
      <x v="13"/>
    </i>
    <i>
      <x v="14"/>
    </i>
    <i>
      <x v="16"/>
    </i>
    <i>
      <x v="17"/>
    </i>
    <i>
      <x v="18"/>
    </i>
    <i>
      <x v="19"/>
    </i>
    <i>
      <x v="20"/>
    </i>
    <i>
      <x v="21"/>
    </i>
    <i>
      <x v="22"/>
    </i>
    <i>
      <x v="23"/>
    </i>
    <i>
      <x v="26"/>
    </i>
    <i>
      <x v="27"/>
    </i>
    <i>
      <x v="28"/>
    </i>
    <i>
      <x v="29"/>
    </i>
    <i>
      <x v="30"/>
    </i>
    <i>
      <x v="31"/>
    </i>
    <i>
      <x v="32"/>
    </i>
    <i>
      <x v="33"/>
    </i>
    <i>
      <x v="39"/>
    </i>
    <i>
      <x v="40"/>
    </i>
    <i>
      <x v="41"/>
    </i>
    <i>
      <x v="42"/>
    </i>
    <i>
      <x v="43"/>
    </i>
    <i>
      <x v="44"/>
    </i>
    <i>
      <x v="45"/>
    </i>
    <i>
      <x v="46"/>
    </i>
    <i>
      <x v="47"/>
    </i>
    <i>
      <x v="48"/>
    </i>
    <i>
      <x v="49"/>
    </i>
    <i>
      <x v="50"/>
    </i>
  </rowItems>
  <colItems count="1">
    <i/>
  </colItems>
  <dataFields count="1">
    <dataField name="Average of Follower Growth" fld="23" subtotal="average" baseField="24"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E6C4E5-FC8B-4FFE-A352-A5729B90E6B4}"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Week Number" colHeaderCaption="Platform">
  <location ref="B148:F199" firstHeaderRow="1" firstDataRow="2" firstDataCol="1"/>
  <pivotFields count="10">
    <pivotField showAll="0"/>
    <pivotField axis="axisCol" showAll="0">
      <items count="5">
        <item x="1"/>
        <item x="0"/>
        <item x="2"/>
        <item x="3"/>
        <item t="default"/>
      </items>
    </pivotField>
    <pivotField showAll="0"/>
    <pivotField showAll="0"/>
    <pivotField showAll="0"/>
    <pivotField showAll="0"/>
    <pivotField numFmtId="167" showAll="0"/>
    <pivotField dataField="1" showAll="0"/>
    <pivotField numFmtId="10" showAll="0"/>
    <pivotField axis="axisRow" showAll="0">
      <items count="51">
        <item x="31"/>
        <item x="32"/>
        <item x="33"/>
        <item x="34"/>
        <item x="35"/>
        <item x="36"/>
        <item x="37"/>
        <item x="38"/>
        <item x="39"/>
        <item x="40"/>
        <item x="41"/>
        <item x="42"/>
        <item x="43"/>
        <item x="44"/>
        <item x="45"/>
        <item x="46"/>
        <item x="47"/>
        <item x="48"/>
        <item x="4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4">
    <i>
      <x/>
    </i>
    <i>
      <x v="1"/>
    </i>
    <i>
      <x v="2"/>
    </i>
    <i>
      <x v="3"/>
    </i>
  </colItems>
  <dataFields count="1">
    <dataField name="Sum of Net Follower"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2EDB32-5E86-4125-B09C-B968B30E3E9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0:E125" firstHeaderRow="0" firstDataRow="1" firstDataCol="1"/>
  <pivotFields count="10">
    <pivotField showAll="0"/>
    <pivotField axis="axisRow" showAll="0">
      <items count="5">
        <item x="1"/>
        <item x="0"/>
        <item x="2"/>
        <item x="3"/>
        <item t="default"/>
      </items>
    </pivotField>
    <pivotField showAll="0"/>
    <pivotField showAll="0"/>
    <pivotField showAll="0"/>
    <pivotField showAll="0"/>
    <pivotField dataField="1" numFmtId="167" showAll="0"/>
    <pivotField dataField="1" showAll="0"/>
    <pivotField numFmtId="10" showAll="0"/>
    <pivotField showAll="0"/>
  </pivotFields>
  <rowFields count="1">
    <field x="1"/>
  </rowFields>
  <rowItems count="5">
    <i>
      <x/>
    </i>
    <i>
      <x v="1"/>
    </i>
    <i>
      <x v="2"/>
    </i>
    <i>
      <x v="3"/>
    </i>
    <i t="grand">
      <x/>
    </i>
  </rowItems>
  <colFields count="1">
    <field x="-2"/>
  </colFields>
  <colItems count="2">
    <i>
      <x/>
    </i>
    <i i="1">
      <x v="1"/>
    </i>
  </colItems>
  <dataFields count="2">
    <dataField name="Sum of Ad_Spend" fld="6" baseField="0" baseItem="0" numFmtId="167"/>
    <dataField name="Sum of Net Follower"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3FE8CC8-177B-4003-9AFB-70055FAF934F}"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Week Number">
  <location ref="C64:D114" firstHeaderRow="1" firstDataRow="1" firstDataCol="1"/>
  <pivotFields count="10">
    <pivotField showAll="0"/>
    <pivotField showAll="0"/>
    <pivotField showAll="0"/>
    <pivotField showAll="0"/>
    <pivotField showAll="0"/>
    <pivotField showAll="0"/>
    <pivotField numFmtId="167" showAll="0"/>
    <pivotField dataField="1" showAll="0"/>
    <pivotField numFmtId="10" showAll="0"/>
    <pivotField axis="axisRow" showAll="0" sortType="ascending">
      <items count="51">
        <item x="31"/>
        <item x="32"/>
        <item x="33"/>
        <item x="34"/>
        <item x="35"/>
        <item x="36"/>
        <item x="37"/>
        <item x="38"/>
        <item x="39"/>
        <item x="40"/>
        <item x="41"/>
        <item x="42"/>
        <item x="43"/>
        <item x="44"/>
        <item x="45"/>
        <item x="46"/>
        <item x="47"/>
        <item x="48"/>
        <item x="4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Average of Net Follower" fld="7" subtotal="average" baseField="9" baseItem="49" numFmtId="1"/>
  </dataFields>
  <formats count="1">
    <format dxfId="14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49"/>
          </reference>
        </references>
      </pivotArea>
    </chartFormat>
    <chartFormat chart="7" format="4">
      <pivotArea type="data" outline="0" fieldPosition="0">
        <references count="2">
          <reference field="4294967294" count="1" selected="0">
            <x v="0"/>
          </reference>
          <reference field="9" count="1" selected="0">
            <x v="14"/>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5FFCF9-F939-4413-AA0E-DB045EC2423B}" autoFormatId="16" applyNumberFormats="0" applyBorderFormats="0" applyFontFormats="0" applyPatternFormats="0" applyAlignmentFormats="0" applyWidthHeightFormats="0">
  <queryTableRefresh nextId="32" unboundColumnsRight="10">
    <queryTableFields count="26">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Campaign_Name" tableColumnId="13"/>
      <queryTableField id="22" name="Campaign Start Date" tableColumnId="17"/>
      <queryTableField id="23" name="Campaign End Date" tableColumnId="18"/>
      <queryTableField id="24" name="Column1" tableColumnId="21"/>
      <queryTableField id="14" dataBound="0" tableColumnId="14"/>
      <queryTableField id="15" dataBound="0" tableColumnId="15"/>
      <queryTableField id="19" dataBound="0" tableColumnId="19"/>
      <queryTableField id="20" dataBound="0" tableColumnId="20"/>
      <queryTableField id="21" dataBound="0" tableColumnId="16"/>
      <queryTableField id="25" dataBound="0" tableColumnId="22"/>
      <queryTableField id="26" dataBound="0" tableColumnId="23"/>
      <queryTableField id="27" dataBound="0" tableColumnId="24"/>
      <queryTableField id="28" dataBound="0" tableColumnId="25"/>
      <queryTableField id="31"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B3EE2B66-2E0B-498B-977F-9286CAA58BD9}" sourceName="Content Type">
  <pivotTables>
    <pivotTable tabId="7" name="PivotTable5"/>
    <pivotTable tabId="7" name="PivotTable12"/>
    <pivotTable tabId="7" name="PivotTable6"/>
    <pivotTable tabId="7" name="PivotTable7"/>
    <pivotTable tabId="7" name="PivotTable8"/>
    <pivotTable tabId="8" name="PivotTable9"/>
    <pivotTable tabId="11" name="PivotTable12"/>
    <pivotTable tabId="11" name="PivotTable13"/>
    <pivotTable tabId="11" name="PivotTable14"/>
    <pivotTable tabId="15" name="PivotTable1"/>
    <pivotTable tabId="15" name="PivotTable16"/>
    <pivotTable tabId="15" name="PivotTable2"/>
    <pivotTable tabId="15" name="PivotTable3"/>
    <pivotTable tabId="16" name="PivotTable4"/>
  </pivotTables>
  <data>
    <tabular pivotCacheId="1124130629">
      <items count="6">
        <i x="3" s="1"/>
        <i x="4" s="1"/>
        <i x="0"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D2FBF2C-FC87-4727-8F73-031AB1F597C4}" sourceName="Platform">
  <pivotTables>
    <pivotTable tabId="7" name="PivotTable6"/>
    <pivotTable tabId="7" name="PivotTable12"/>
    <pivotTable tabId="7" name="PivotTable5"/>
    <pivotTable tabId="7" name="PivotTable7"/>
    <pivotTable tabId="7" name="PivotTable8"/>
    <pivotTable tabId="8" name="PivotTable9"/>
    <pivotTable tabId="11" name="PivotTable12"/>
    <pivotTable tabId="11" name="PivotTable13"/>
    <pivotTable tabId="11" name="PivotTable14"/>
    <pivotTable tabId="15" name="PivotTable1"/>
    <pivotTable tabId="15" name="PivotTable16"/>
    <pivotTable tabId="15" name="PivotTable2"/>
    <pivotTable tabId="15" name="PivotTable3"/>
    <pivotTable tabId="16" name="PivotTable4"/>
  </pivotTables>
  <data>
    <tabular pivotCacheId="1124130629">
      <items count="4">
        <i x="3" s="1"/>
        <i x="2"/>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2076F8C3-C07F-4049-A242-924A9BE09561}" sourceName="Campaign_Name">
  <pivotTables>
    <pivotTable tabId="7" name="PivotTable6"/>
  </pivotTables>
  <data>
    <tabular pivotCacheId="1124130629">
      <items count="5">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Type" xr10:uid="{7B61DAA3-64EB-407F-B835-4133D282EBCE}" cache="Slicer_Content_Type" caption="Content Type" rowHeight="234950"/>
  <slicer name="Platform" xr10:uid="{13C13CF6-C1CC-4C77-A843-D282510B3751}" cache="Slicer_Platform" caption="Platform" rowHeight="234950"/>
  <slicer name="Campaign_Name" xr10:uid="{9441D096-C361-4B87-84D0-1D5C612F864A}" cache="Slicer_Campaign_Name" caption="Campaign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8D38F2-E9BD-4E69-9408-C7F3A403BD46}" name="Table1_2" displayName="Table1_2" ref="A1:Z340" tableType="queryTable" totalsRowShown="0">
  <autoFilter ref="A1:Z340" xr:uid="{178D38F2-E9BD-4E69-9408-C7F3A403BD46}"/>
  <tableColumns count="26">
    <tableColumn id="1" xr3:uid="{BED7DB93-9A4D-42BC-9BB8-2CEE9BE9B745}" uniqueName="1" name="Post ID" queryTableFieldId="1" dataDxfId="141"/>
    <tableColumn id="2" xr3:uid="{7DE5B9A4-0099-4888-B549-89F308E254CB}" uniqueName="2" name="Platform" queryTableFieldId="2" dataDxfId="140"/>
    <tableColumn id="3" xr3:uid="{985C0725-0403-4DC9-B9F8-130F473B8E6B}" uniqueName="3" name="Date" queryTableFieldId="3" dataDxfId="139"/>
    <tableColumn id="4" xr3:uid="{FEFA2929-7348-489C-9EC5-E79389B15B10}" uniqueName="4" name="Content Type" queryTableFieldId="4" dataDxfId="138"/>
    <tableColumn id="5" xr3:uid="{AD9EF50C-9536-4F94-B17A-04704A3AE063}" uniqueName="5" name="Post Text" queryTableFieldId="5" dataDxfId="137"/>
    <tableColumn id="6" xr3:uid="{4A88B62F-5287-4B18-8D37-C2EC433593E7}" uniqueName="6" name="Likes" queryTableFieldId="6"/>
    <tableColumn id="7" xr3:uid="{42403717-E960-4B1D-AE72-7A783CFE94EC}" uniqueName="7" name="Shares" queryTableFieldId="7"/>
    <tableColumn id="8" xr3:uid="{4941A3FD-D409-491C-A383-14D4FBF29683}" uniqueName="8" name="Comments" queryTableFieldId="8"/>
    <tableColumn id="9" xr3:uid="{08AFF8CC-6964-414C-9426-9A0DD561ABEF}" uniqueName="9" name="Impressions" queryTableFieldId="9"/>
    <tableColumn id="10" xr3:uid="{D530CAD3-2367-4445-8E2E-7ECCF0064F06}" uniqueName="10" name="Reach" queryTableFieldId="10"/>
    <tableColumn id="11" xr3:uid="{74E5EE6E-98D6-4D27-B098-10A3D6FE2D70}" uniqueName="11" name="Clicks" queryTableFieldId="11"/>
    <tableColumn id="12" xr3:uid="{6E5972DB-2A88-4088-8B3F-0FFAD9112BBB}" uniqueName="12" name="Hashtags Used" queryTableFieldId="12" dataDxfId="136"/>
    <tableColumn id="13" xr3:uid="{609C1894-2873-4BB6-801F-91514A66D731}" uniqueName="13" name="Campaign_Name" queryTableFieldId="13" dataDxfId="135"/>
    <tableColumn id="17" xr3:uid="{B1B3E784-DBC4-4836-9C68-25EE7914EA48}" uniqueName="17" name="Campaign Start Date" queryTableFieldId="22" dataDxfId="134"/>
    <tableColumn id="18" xr3:uid="{304855F8-C7B9-44EE-B3B1-1CD0DB91A305}" uniqueName="18" name="Campaign End Date" queryTableFieldId="23" dataDxfId="133"/>
    <tableColumn id="21" xr3:uid="{D40C0C6A-A849-4C92-9392-3FEC1F253D56}" uniqueName="21" name="Column1" queryTableFieldId="24"/>
    <tableColumn id="14" xr3:uid="{72FDA9B2-723C-4F64-B2F2-FF69479E2EB4}" uniqueName="14" name="Engagement" queryTableFieldId="14" dataDxfId="132">
      <calculatedColumnFormula>Table1_2[[#This Row],[Likes]]+Table1_2[[#This Row],[Shares]]+Table1_2[[#This Row],[Comments]]</calculatedColumnFormula>
    </tableColumn>
    <tableColumn id="15" xr3:uid="{F1BE4D0F-EA06-491A-8B03-CF8DF5372168}" uniqueName="15" name="Engagement Rate" queryTableFieldId="15" dataDxfId="131" dataCellStyle="Percent">
      <calculatedColumnFormula>(Table1_2[[#This Row],[Likes]]+Table1_2[[#This Row],[Shares]]+Table1_2[[#This Row],[Comments]])/Table1_2[[#This Row],[Impressions]]</calculatedColumnFormula>
    </tableColumn>
    <tableColumn id="19" xr3:uid="{8959636B-AAC8-4289-8E8E-D016243AE0B1}" uniqueName="19" name="Campaign Start Date2" queryTableFieldId="19" dataDxfId="130">
      <calculatedColumnFormula>_xlfn.XLOOKUP(Table1_2[[#This Row],[Campaign_Name]],'Campaign Metadata'!A:A,'Campaign Metadata'!B:B,"not found",0)</calculatedColumnFormula>
    </tableColumn>
    <tableColumn id="20" xr3:uid="{4C9B60BA-E9A1-4807-AAF0-E477015EE6F6}" uniqueName="20" name="Campaign End Date3" queryTableFieldId="20" dataDxfId="129">
      <calculatedColumnFormula>_xlfn.XLOOKUP(Table1_2[[#This Row],[Campaign_Name]],'Campaign Metadata'!A:A,'Campaign Metadata'!C:C,"not found",0)</calculatedColumnFormula>
    </tableColumn>
    <tableColumn id="16" xr3:uid="{1D28777A-E0BC-4BFB-A6AB-0A1CCDD89B13}" uniqueName="16" name="Campaign Category" queryTableFieldId="21" dataDxfId="128">
      <calculatedColumnFormula>IF(AND(Table1_2[[#This Row],[Date]]&gt;=Table1_2[[#This Row],[Campaign Start Date2]],Table1_2[[#This Row],[Date]]&lt;=Table1_2[[#This Row],[Campaign End Date3]]),"During Campaign","Before Campaign")</calculatedColumnFormula>
    </tableColumn>
    <tableColumn id="22" xr3:uid="{C47A6569-8DAD-4146-B1FC-452553674708}" uniqueName="22" name="Campaign Budget" queryTableFieldId="25" dataDxfId="127">
      <calculatedColumnFormula>_xlfn.XLOOKUP(Table1_2[[#This Row],[Campaign_Name]],'Campaign Metadata'!A:A,'Campaign Metadata'!E:E,"Not Available",0)</calculatedColumnFormula>
    </tableColumn>
    <tableColumn id="23" xr3:uid="{73A6CBB5-6855-404E-827F-440393908353}" uniqueName="23" name="ROI" queryTableFieldId="26" dataDxfId="126">
      <calculatedColumnFormula>Table1_2[[#This Row],[Engagement]]/Table1_2[[#This Row],[Campaign Budget]]</calculatedColumnFormula>
    </tableColumn>
    <tableColumn id="24" xr3:uid="{EFC48889-5542-4817-87E8-CA17F0EE9058}" uniqueName="24" name="Follower Growth" queryTableFieldId="27" dataDxfId="125">
      <calculatedColumnFormula>_xlfn.XLOOKUP(Table1_2[[#This Row],[Platform]],'Engagement Summary'!B:B,'Engagement Summary'!H:H,"Not Available",0)</calculatedColumnFormula>
    </tableColumn>
    <tableColumn id="25" xr3:uid="{F0A789F4-B1F7-4B25-BCEB-39FF3DFA6516}" uniqueName="25" name="Week Number" queryTableFieldId="28" dataDxfId="124">
      <calculatedColumnFormula>WEEKNUM(Table1_2[[#This Row],[Date]])</calculatedColumnFormula>
    </tableColumn>
    <tableColumn id="28" xr3:uid="{0E5CCD84-EF23-4F3A-9BD6-7A943FD4AD4C}" uniqueName="28" name="Ad Spend" queryTableFieldId="31" dataDxfId="123">
      <calculatedColumnFormula>_xlfn.XLOOKUP(Table1_2[[#This Row],[Platform]],'Engagement Summary'!B:B,'Engagement Summary'!G:G,"Notavailable",0)</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72A00-E853-4069-BD5A-8F7840BFB5A2}" name="Table1" displayName="Table1" ref="A1:P301" totalsRowShown="0" headerRowDxfId="41" dataDxfId="39" headerRowBorderDxfId="40" tableBorderDxfId="38">
  <autoFilter ref="A1:P301" xr:uid="{EF672A00-E853-4069-BD5A-8F7840BFB5A2}"/>
  <tableColumns count="16">
    <tableColumn id="1" xr3:uid="{D1D14BEA-599E-4656-A331-16E395369AAD}" name="Post ID" dataDxfId="37"/>
    <tableColumn id="2" xr3:uid="{809AB044-FAC1-4AA2-AC90-68A73080613A}" name="Platform" dataDxfId="36"/>
    <tableColumn id="3" xr3:uid="{EAAA5DE8-787D-4342-878C-5302628FAC8B}" name="Date" dataDxfId="35"/>
    <tableColumn id="4" xr3:uid="{1A2FE9CF-E37C-4BFC-9B91-7CE3248E8971}" name="Content Type" dataDxfId="34"/>
    <tableColumn id="5" xr3:uid="{73387D91-0A7B-40C7-810E-D0C6CF792926}" name="Post Text" dataDxfId="33"/>
    <tableColumn id="6" xr3:uid="{85A3D026-75A3-4259-8D83-EEC888D86DD3}" name="Likes" dataDxfId="32"/>
    <tableColumn id="7" xr3:uid="{B4E900FC-357F-4583-853D-760C0F74204D}" name="Shares" dataDxfId="31"/>
    <tableColumn id="8" xr3:uid="{61DD2B31-DD95-4774-8D26-491792C377E7}" name="Comments" dataDxfId="30"/>
    <tableColumn id="9" xr3:uid="{221B02F8-E0C0-4AEF-91A8-201CAF1B4F9D}" name="Impressions" dataDxfId="29"/>
    <tableColumn id="10" xr3:uid="{057E5DAF-4C43-400B-9EE8-10F1CC80C485}" name="Reach" dataDxfId="28"/>
    <tableColumn id="11" xr3:uid="{D14EC74A-4E8F-4098-B2A3-7C4D90AD060B}" name="Clicks" dataDxfId="27"/>
    <tableColumn id="12" xr3:uid="{B47D2F3A-5673-4286-909E-807D398FF495}" name="Hashtags Used" dataDxfId="26"/>
    <tableColumn id="13" xr3:uid="{31023633-A508-494C-8777-2C822249A9BF}" name="Campaign_Name" dataDxfId="25"/>
    <tableColumn id="14" xr3:uid="{1ADA7CF0-D8AF-4220-90E6-7FF99EDF7E53}" name="Campaign Start Date" dataDxfId="24">
      <calculatedColumnFormula>_xlfn.XLOOKUP(Table1[[#This Row],[Campaign_Name]],'Campaign Metadata'!A:A,'Campaign Metadata'!B:B,"Notfound",0)</calculatedColumnFormula>
    </tableColumn>
    <tableColumn id="15" xr3:uid="{DCA2AB81-3EF8-4E14-A275-09637E79153C}" name="Campaign End Date" dataDxfId="23">
      <calculatedColumnFormula>_xlfn.XLOOKUP(Table1[[#This Row],[Campaign_Name]],'Campaign Metadata'!A:A,'Campaign Metadata'!C:C,"Not found",0)</calculatedColumnFormula>
    </tableColumn>
    <tableColumn id="16" xr3:uid="{5202407E-0C92-4DE7-A02B-826EA4B84F48}" name="Campaign Period" dataDxfId="22">
      <calculatedColumnFormula>IF(AND(Table1[[#This Row],[Date]]&gt;=Table1[[#This Row],[Campaign Start Date]],Table1[[#This Row],[Date]]&lt;=Table1[[#This Row],[Campaign End Date]]),"During Campaign","Before Campaign")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180016-F459-4378-8C43-86ED141FDCAA}" name="Table4" displayName="Table4" ref="A1:J201" totalsRowShown="0" headerRowDxfId="21" dataDxfId="20">
  <autoFilter ref="A1:J201" xr:uid="{C2180016-F459-4378-8C43-86ED141FDCAA}"/>
  <tableColumns count="10">
    <tableColumn id="1" xr3:uid="{03306CE2-E618-4616-8EAE-E14B32238DAB}" name="Week_Start_Date" dataDxfId="19"/>
    <tableColumn id="2" xr3:uid="{4A694CE4-C21A-450C-98E6-FDFC710BE660}" name="Platform" dataDxfId="18"/>
    <tableColumn id="3" xr3:uid="{91D8805E-0FE4-4399-B8E2-8C2E4FE7B125}" name="New_Followers" dataDxfId="17"/>
    <tableColumn id="4" xr3:uid="{B1BA9894-251B-4799-B98D-D98637A18B0E}" name="Unfollows" dataDxfId="16"/>
    <tableColumn id="5" xr3:uid="{BDC63C8C-56C7-462E-83F2-06424379830B}" name="Total_Followers" dataDxfId="15"/>
    <tableColumn id="6" xr3:uid="{AC6EF811-37CD-4089-AC79-16208127407D}" name="Engagement_Rate" dataDxfId="14"/>
    <tableColumn id="7" xr3:uid="{1080AA12-8F53-4911-97CB-160128F6A93E}" name="Ad_Spend" dataDxfId="13"/>
    <tableColumn id="8" xr3:uid="{4565766C-2CAF-4EE1-9D2E-C3B47DE7DAC4}" name="Net Follower">
      <calculatedColumnFormula>C2-D2</calculatedColumnFormula>
    </tableColumn>
    <tableColumn id="9" xr3:uid="{6C8D5F10-3D9F-4633-82FD-E562DD8A6A87}" name="Follower Growth Rate" dataDxfId="12" dataCellStyle="Percent">
      <calculatedColumnFormula>(C2-D2)/E2</calculatedColumnFormula>
    </tableColumn>
    <tableColumn id="10" xr3:uid="{475F8B78-D3EB-4F1C-9B8E-98D784033E30}" name="week number" dataDxfId="11">
      <calculatedColumnFormula>WEEKNUM(Table4[[#This Row],[Week_Start_Date]])</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457675-704C-4ABC-A395-B2316B004BE2}" name="Table7" displayName="Table7" ref="A1:G5" totalsRowShown="0" headerRowDxfId="10" dataDxfId="8" headerRowBorderDxfId="9" tableBorderDxfId="7">
  <autoFilter ref="A1:G5" xr:uid="{7F457675-704C-4ABC-A395-B2316B004BE2}"/>
  <tableColumns count="7">
    <tableColumn id="1" xr3:uid="{A7D999AB-924A-47C4-89E8-0F8DC40E19DF}" name="Campaign_Name" dataDxfId="6"/>
    <tableColumn id="2" xr3:uid="{05F99B86-031B-4CA7-9779-AE59C9D2B67C}" name="Start_Date" dataDxfId="5"/>
    <tableColumn id="3" xr3:uid="{C7C724C3-994F-407E-AF64-28E8526A93B6}" name="End_Date" dataDxfId="4"/>
    <tableColumn id="4" xr3:uid="{77A8A3A0-10B2-45F7-9FF9-D4786DF4F5DD}" name="Objective" dataDxfId="3"/>
    <tableColumn id="5" xr3:uid="{3B5528E4-C6EC-4CD3-9773-1B52620840BE}" name="Total_Budget" dataDxfId="2"/>
    <tableColumn id="6" xr3:uid="{2847B739-A3E5-43FC-89DD-327F45A55BA6}" name="Target_Platforms" dataDxfId="1"/>
    <tableColumn id="7" xr3:uid="{AD498598-E66A-47C1-BDA1-49B9D31401C4}" name="Primary_Hashtag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4.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5.xml"/><Relationship Id="rId4"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5270-E1D5-4FB5-8201-10BFBFA91DC3}">
  <sheetPr>
    <tabColor theme="7" tint="0.39997558519241921"/>
  </sheetPr>
  <dimension ref="A1:Z340"/>
  <sheetViews>
    <sheetView topLeftCell="R37" zoomScale="90" zoomScaleNormal="90" workbookViewId="0">
      <selection activeCell="Y2" sqref="Y2"/>
    </sheetView>
  </sheetViews>
  <sheetFormatPr defaultRowHeight="14.4" x14ac:dyDescent="0.3"/>
  <cols>
    <col min="1" max="1" width="9.88671875" bestFit="1" customWidth="1"/>
    <col min="2" max="2" width="11.109375" bestFit="1" customWidth="1"/>
    <col min="3" max="3" width="11.21875" bestFit="1" customWidth="1"/>
    <col min="4" max="4" width="15.33203125" bestFit="1" customWidth="1"/>
    <col min="5" max="5" width="39.33203125" bestFit="1" customWidth="1"/>
    <col min="6" max="6" width="7.88671875" bestFit="1" customWidth="1"/>
    <col min="7" max="7" width="9.33203125" bestFit="1" customWidth="1"/>
    <col min="8" max="8" width="13.109375" bestFit="1" customWidth="1"/>
    <col min="9" max="9" width="14.21875" bestFit="1" customWidth="1"/>
    <col min="10" max="10" width="8.88671875" bestFit="1" customWidth="1"/>
    <col min="11" max="11" width="8.33203125" bestFit="1" customWidth="1"/>
    <col min="12" max="12" width="21.21875" bestFit="1" customWidth="1"/>
    <col min="13" max="13" width="18.33203125" bestFit="1" customWidth="1"/>
    <col min="14" max="14" width="21.6640625" style="4" bestFit="1" customWidth="1"/>
    <col min="15" max="15" width="20.5546875" style="4" bestFit="1" customWidth="1"/>
    <col min="16" max="16" width="15.77734375" bestFit="1" customWidth="1"/>
    <col min="17" max="17" width="14.44140625" bestFit="1" customWidth="1"/>
    <col min="18" max="18" width="19.109375" bestFit="1" customWidth="1"/>
    <col min="19" max="19" width="22.77734375" bestFit="1" customWidth="1"/>
    <col min="20" max="20" width="21.88671875" bestFit="1" customWidth="1"/>
    <col min="21" max="21" width="20.44140625" bestFit="1" customWidth="1"/>
    <col min="22" max="22" width="19" style="30" bestFit="1" customWidth="1"/>
    <col min="23" max="23" width="21" customWidth="1"/>
    <col min="24" max="24" width="18.5546875" bestFit="1" customWidth="1"/>
    <col min="25" max="25" width="16.33203125" bestFit="1" customWidth="1"/>
    <col min="26" max="26" width="14" customWidth="1"/>
  </cols>
  <sheetData>
    <row r="1" spans="1:26" x14ac:dyDescent="0.3">
      <c r="A1" t="s">
        <v>0</v>
      </c>
      <c r="B1" t="s">
        <v>1</v>
      </c>
      <c r="C1" t="s">
        <v>2</v>
      </c>
      <c r="D1" t="s">
        <v>3</v>
      </c>
      <c r="E1" t="s">
        <v>4</v>
      </c>
      <c r="F1" t="s">
        <v>5</v>
      </c>
      <c r="G1" t="s">
        <v>6</v>
      </c>
      <c r="H1" t="s">
        <v>7</v>
      </c>
      <c r="I1" t="s">
        <v>8</v>
      </c>
      <c r="J1" t="s">
        <v>9</v>
      </c>
      <c r="K1" t="s">
        <v>10</v>
      </c>
      <c r="L1" t="s">
        <v>11</v>
      </c>
      <c r="M1" t="s">
        <v>12</v>
      </c>
      <c r="N1" s="4" t="s">
        <v>633</v>
      </c>
      <c r="O1" s="4" t="s">
        <v>634</v>
      </c>
      <c r="P1" t="s">
        <v>632</v>
      </c>
      <c r="Q1" t="s">
        <v>607</v>
      </c>
      <c r="R1" t="s">
        <v>608</v>
      </c>
      <c r="S1" s="17" t="s">
        <v>638</v>
      </c>
      <c r="T1" s="17" t="s">
        <v>639</v>
      </c>
      <c r="U1" t="s">
        <v>635</v>
      </c>
      <c r="V1" s="29" t="s">
        <v>645</v>
      </c>
      <c r="W1" s="17" t="s">
        <v>646</v>
      </c>
      <c r="X1" s="17" t="s">
        <v>649</v>
      </c>
      <c r="Y1" s="17" t="s">
        <v>654</v>
      </c>
      <c r="Z1" s="17" t="s">
        <v>626</v>
      </c>
    </row>
    <row r="2" spans="1:26" x14ac:dyDescent="0.3">
      <c r="A2" t="s">
        <v>13</v>
      </c>
      <c r="B2" t="s">
        <v>14</v>
      </c>
      <c r="C2" s="4">
        <v>45649</v>
      </c>
      <c r="D2" t="s">
        <v>16</v>
      </c>
      <c r="E2" t="s">
        <v>17</v>
      </c>
      <c r="F2">
        <v>1461</v>
      </c>
      <c r="G2">
        <v>184</v>
      </c>
      <c r="H2">
        <v>344</v>
      </c>
      <c r="I2">
        <v>21915</v>
      </c>
      <c r="J2">
        <v>21675</v>
      </c>
      <c r="K2">
        <v>15</v>
      </c>
      <c r="L2" t="s">
        <v>62</v>
      </c>
      <c r="M2" t="s">
        <v>19</v>
      </c>
      <c r="N2" s="4">
        <v>45458</v>
      </c>
      <c r="O2" s="4">
        <v>45488</v>
      </c>
      <c r="P2" t="s">
        <v>637</v>
      </c>
      <c r="Q2">
        <f>Table1_2[[#This Row],[Likes]]+Table1_2[[#This Row],[Shares]]+Table1_2[[#This Row],[Comments]]</f>
        <v>1989</v>
      </c>
      <c r="R2" s="12">
        <f>(Table1_2[[#This Row],[Likes]]+Table1_2[[#This Row],[Shares]]+Table1_2[[#This Row],[Comments]])/Table1_2[[#This Row],[Impressions]]</f>
        <v>9.0759753593429152E-2</v>
      </c>
      <c r="S2" s="4">
        <f>_xlfn.XLOOKUP(Table1_2[[#This Row],[Campaign_Name]],'Campaign Metadata'!A:A,'Campaign Metadata'!B:B,"not found",0)</f>
        <v>45458</v>
      </c>
      <c r="T2" s="4">
        <f>_xlfn.XLOOKUP(Table1_2[[#This Row],[Campaign_Name]],'Campaign Metadata'!A:A,'Campaign Metadata'!C:C,"not found",0)</f>
        <v>45488</v>
      </c>
      <c r="U2" t="str">
        <f>IF(AND(Table1_2[[#This Row],[Date]]&gt;=Table1_2[[#This Row],[Campaign Start Date2]],Table1_2[[#This Row],[Date]]&lt;=Table1_2[[#This Row],[Campaign End Date3]]),"During Campaign","Before Campaign")</f>
        <v>Before Campaign</v>
      </c>
      <c r="V2" s="30">
        <f>_xlfn.XLOOKUP(Table1_2[[#This Row],[Campaign_Name]],'Campaign Metadata'!A:A,'Campaign Metadata'!E:E,"Not Available",0)</f>
        <v>150000</v>
      </c>
      <c r="W2">
        <f>Table1_2[[#This Row],[Engagement]]/Table1_2[[#This Row],[Campaign Budget]]</f>
        <v>1.3259999999999999E-2</v>
      </c>
      <c r="X2">
        <f>_xlfn.XLOOKUP(Table1_2[[#This Row],[Platform]],'Engagement Summary'!B:B,'Engagement Summary'!H:H,"Not Available",0)</f>
        <v>415</v>
      </c>
      <c r="Y2">
        <f>WEEKNUM(Table1_2[[#This Row],[Date]])</f>
        <v>52</v>
      </c>
      <c r="Z2">
        <f>_xlfn.XLOOKUP(Table1_2[[#This Row],[Platform]],'Engagement Summary'!B:B,'Engagement Summary'!G:G,"Notavailable",0)</f>
        <v>26752</v>
      </c>
    </row>
    <row r="3" spans="1:26" x14ac:dyDescent="0.3">
      <c r="A3" t="s">
        <v>13</v>
      </c>
      <c r="B3" t="s">
        <v>14</v>
      </c>
      <c r="C3" s="4">
        <v>45649</v>
      </c>
      <c r="D3" t="s">
        <v>16</v>
      </c>
      <c r="E3" t="s">
        <v>17</v>
      </c>
      <c r="F3">
        <v>1461</v>
      </c>
      <c r="G3">
        <v>184</v>
      </c>
      <c r="H3">
        <v>344</v>
      </c>
      <c r="I3">
        <v>21915</v>
      </c>
      <c r="J3">
        <v>21675</v>
      </c>
      <c r="K3">
        <v>15</v>
      </c>
      <c r="L3" t="s">
        <v>615</v>
      </c>
      <c r="M3" t="s">
        <v>19</v>
      </c>
      <c r="N3" s="4">
        <v>45458</v>
      </c>
      <c r="O3" s="4">
        <v>45488</v>
      </c>
      <c r="P3" t="s">
        <v>637</v>
      </c>
      <c r="Q3">
        <f>Table1_2[[#This Row],[Likes]]+Table1_2[[#This Row],[Shares]]+Table1_2[[#This Row],[Comments]]</f>
        <v>1989</v>
      </c>
      <c r="R3" s="12">
        <f>(Table1_2[[#This Row],[Likes]]+Table1_2[[#This Row],[Shares]]+Table1_2[[#This Row],[Comments]])/Table1_2[[#This Row],[Impressions]]</f>
        <v>9.0759753593429152E-2</v>
      </c>
      <c r="S3" s="4">
        <f>_xlfn.XLOOKUP(Table1_2[[#This Row],[Campaign_Name]],'Campaign Metadata'!A:A,'Campaign Metadata'!B:B,"not found",0)</f>
        <v>45458</v>
      </c>
      <c r="T3" s="4">
        <f>_xlfn.XLOOKUP(Table1_2[[#This Row],[Campaign_Name]],'Campaign Metadata'!A:A,'Campaign Metadata'!C:C,"not found",0)</f>
        <v>45488</v>
      </c>
      <c r="U3" t="str">
        <f>IF(AND(Table1_2[[#This Row],[Date]]&gt;=Table1_2[[#This Row],[Campaign Start Date2]],Table1_2[[#This Row],[Date]]&lt;=Table1_2[[#This Row],[Campaign End Date3]]),"During Campaign","Before Campaign")</f>
        <v>Before Campaign</v>
      </c>
      <c r="V3" s="30">
        <f>_xlfn.XLOOKUP(Table1_2[[#This Row],[Campaign_Name]],'Campaign Metadata'!A:A,'Campaign Metadata'!E:E,"Not Available",0)</f>
        <v>150000</v>
      </c>
      <c r="W3">
        <f>Table1_2[[#This Row],[Engagement]]/Table1_2[[#This Row],[Campaign Budget]]</f>
        <v>1.3259999999999999E-2</v>
      </c>
      <c r="X3">
        <f>_xlfn.XLOOKUP(Table1_2[[#This Row],[Platform]],'Engagement Summary'!B:B,'Engagement Summary'!H:H,"Not Available",0)</f>
        <v>415</v>
      </c>
      <c r="Y3">
        <f>WEEKNUM(Table1_2[[#This Row],[Date]])</f>
        <v>52</v>
      </c>
      <c r="Z3">
        <f>_xlfn.XLOOKUP(Table1_2[[#This Row],[Platform]],'Engagement Summary'!B:B,'Engagement Summary'!G:G,"Notavailable",0)</f>
        <v>26752</v>
      </c>
    </row>
    <row r="4" spans="1:26" x14ac:dyDescent="0.3">
      <c r="A4" t="s">
        <v>20</v>
      </c>
      <c r="B4" t="s">
        <v>14</v>
      </c>
      <c r="C4" s="4">
        <v>45750</v>
      </c>
      <c r="D4" t="s">
        <v>22</v>
      </c>
      <c r="E4" t="s">
        <v>23</v>
      </c>
      <c r="F4">
        <v>4054</v>
      </c>
      <c r="G4">
        <v>389</v>
      </c>
      <c r="H4">
        <v>493</v>
      </c>
      <c r="I4">
        <v>64864</v>
      </c>
      <c r="J4">
        <v>64383</v>
      </c>
      <c r="K4">
        <v>117</v>
      </c>
      <c r="L4" t="s">
        <v>30</v>
      </c>
      <c r="M4" t="s">
        <v>25</v>
      </c>
      <c r="N4" s="4">
        <v>45566</v>
      </c>
      <c r="O4" s="4">
        <v>45596</v>
      </c>
      <c r="P4" t="s">
        <v>637</v>
      </c>
      <c r="Q4">
        <f>Table1_2[[#This Row],[Likes]]+Table1_2[[#This Row],[Shares]]+Table1_2[[#This Row],[Comments]]</f>
        <v>4936</v>
      </c>
      <c r="R4" s="12">
        <f>(Table1_2[[#This Row],[Likes]]+Table1_2[[#This Row],[Shares]]+Table1_2[[#This Row],[Comments]])/Table1_2[[#This Row],[Impressions]]</f>
        <v>7.6097681302417369E-2</v>
      </c>
      <c r="S4" s="4">
        <f>_xlfn.XLOOKUP(Table1_2[[#This Row],[Campaign_Name]],'Campaign Metadata'!A:A,'Campaign Metadata'!B:B,"not found",0)</f>
        <v>45566</v>
      </c>
      <c r="T4" s="4">
        <f>_xlfn.XLOOKUP(Table1_2[[#This Row],[Campaign_Name]],'Campaign Metadata'!A:A,'Campaign Metadata'!C:C,"not found",0)</f>
        <v>45596</v>
      </c>
      <c r="U4" t="str">
        <f>IF(AND(Table1_2[[#This Row],[Date]]&gt;=Table1_2[[#This Row],[Campaign Start Date2]],Table1_2[[#This Row],[Date]]&lt;=Table1_2[[#This Row],[Campaign End Date3]]),"During Campaign","Before Campaign")</f>
        <v>Before Campaign</v>
      </c>
      <c r="V4" s="30">
        <f>_xlfn.XLOOKUP(Table1_2[[#This Row],[Campaign_Name]],'Campaign Metadata'!A:A,'Campaign Metadata'!E:E,"Not Available",0)</f>
        <v>200000</v>
      </c>
      <c r="W4">
        <f>Table1_2[[#This Row],[Engagement]]/Table1_2[[#This Row],[Campaign Budget]]</f>
        <v>2.4680000000000001E-2</v>
      </c>
      <c r="X4">
        <f>_xlfn.XLOOKUP(Table1_2[[#This Row],[Platform]],'Engagement Summary'!B:B,'Engagement Summary'!H:H,"Not Available",0)</f>
        <v>415</v>
      </c>
      <c r="Y4">
        <f>WEEKNUM(Table1_2[[#This Row],[Date]])</f>
        <v>14</v>
      </c>
      <c r="Z4">
        <f>_xlfn.XLOOKUP(Table1_2[[#This Row],[Platform]],'Engagement Summary'!B:B,'Engagement Summary'!G:G,"Notavailable",0)</f>
        <v>26752</v>
      </c>
    </row>
    <row r="5" spans="1:26" x14ac:dyDescent="0.3">
      <c r="A5" t="s">
        <v>20</v>
      </c>
      <c r="B5" t="s">
        <v>14</v>
      </c>
      <c r="C5" s="4">
        <v>45750</v>
      </c>
      <c r="D5" t="s">
        <v>22</v>
      </c>
      <c r="E5" t="s">
        <v>23</v>
      </c>
      <c r="F5">
        <v>4054</v>
      </c>
      <c r="G5">
        <v>389</v>
      </c>
      <c r="H5">
        <v>493</v>
      </c>
      <c r="I5">
        <v>64864</v>
      </c>
      <c r="J5">
        <v>64383</v>
      </c>
      <c r="K5">
        <v>117</v>
      </c>
      <c r="L5" t="s">
        <v>616</v>
      </c>
      <c r="M5" t="s">
        <v>25</v>
      </c>
      <c r="N5" s="4">
        <v>45566</v>
      </c>
      <c r="O5" s="4">
        <v>45596</v>
      </c>
      <c r="P5" t="s">
        <v>637</v>
      </c>
      <c r="Q5">
        <f>Table1_2[[#This Row],[Likes]]+Table1_2[[#This Row],[Shares]]+Table1_2[[#This Row],[Comments]]</f>
        <v>4936</v>
      </c>
      <c r="R5" s="12">
        <f>(Table1_2[[#This Row],[Likes]]+Table1_2[[#This Row],[Shares]]+Table1_2[[#This Row],[Comments]])/Table1_2[[#This Row],[Impressions]]</f>
        <v>7.6097681302417369E-2</v>
      </c>
      <c r="S5" s="4">
        <f>_xlfn.XLOOKUP(Table1_2[[#This Row],[Campaign_Name]],'Campaign Metadata'!A:A,'Campaign Metadata'!B:B,"not found",0)</f>
        <v>45566</v>
      </c>
      <c r="T5" s="4">
        <f>_xlfn.XLOOKUP(Table1_2[[#This Row],[Campaign_Name]],'Campaign Metadata'!A:A,'Campaign Metadata'!C:C,"not found",0)</f>
        <v>45596</v>
      </c>
      <c r="U5" t="str">
        <f>IF(AND(Table1_2[[#This Row],[Date]]&gt;=Table1_2[[#This Row],[Campaign Start Date2]],Table1_2[[#This Row],[Date]]&lt;=Table1_2[[#This Row],[Campaign End Date3]]),"During Campaign","Before Campaign")</f>
        <v>Before Campaign</v>
      </c>
      <c r="V5" s="30">
        <f>_xlfn.XLOOKUP(Table1_2[[#This Row],[Campaign_Name]],'Campaign Metadata'!A:A,'Campaign Metadata'!E:E,"Not Available",0)</f>
        <v>200000</v>
      </c>
      <c r="W5">
        <f>Table1_2[[#This Row],[Engagement]]/Table1_2[[#This Row],[Campaign Budget]]</f>
        <v>2.4680000000000001E-2</v>
      </c>
      <c r="X5">
        <f>_xlfn.XLOOKUP(Table1_2[[#This Row],[Platform]],'Engagement Summary'!B:B,'Engagement Summary'!H:H,"Not Available",0)</f>
        <v>415</v>
      </c>
      <c r="Y5">
        <f>WEEKNUM(Table1_2[[#This Row],[Date]])</f>
        <v>14</v>
      </c>
      <c r="Z5">
        <f>_xlfn.XLOOKUP(Table1_2[[#This Row],[Platform]],'Engagement Summary'!B:B,'Engagement Summary'!G:G,"Notavailable",0)</f>
        <v>26752</v>
      </c>
    </row>
    <row r="6" spans="1:26" x14ac:dyDescent="0.3">
      <c r="A6" t="s">
        <v>26</v>
      </c>
      <c r="B6" t="s">
        <v>27</v>
      </c>
      <c r="C6" s="4">
        <v>45789</v>
      </c>
      <c r="D6" t="s">
        <v>16</v>
      </c>
      <c r="E6" t="s">
        <v>29</v>
      </c>
      <c r="F6">
        <v>2795</v>
      </c>
      <c r="G6">
        <v>105</v>
      </c>
      <c r="H6">
        <v>49</v>
      </c>
      <c r="I6">
        <v>53105</v>
      </c>
      <c r="J6">
        <v>52307</v>
      </c>
      <c r="K6">
        <v>204</v>
      </c>
      <c r="L6" t="s">
        <v>30</v>
      </c>
      <c r="M6" t="s">
        <v>31</v>
      </c>
      <c r="N6" s="4">
        <v>45651</v>
      </c>
      <c r="O6" s="4">
        <v>45667</v>
      </c>
      <c r="P6" t="s">
        <v>637</v>
      </c>
      <c r="Q6">
        <f>Table1_2[[#This Row],[Likes]]+Table1_2[[#This Row],[Shares]]+Table1_2[[#This Row],[Comments]]</f>
        <v>2949</v>
      </c>
      <c r="R6" s="12">
        <f>(Table1_2[[#This Row],[Likes]]+Table1_2[[#This Row],[Shares]]+Table1_2[[#This Row],[Comments]])/Table1_2[[#This Row],[Impressions]]</f>
        <v>5.5531494209584788E-2</v>
      </c>
      <c r="S6" s="4">
        <f>_xlfn.XLOOKUP(Table1_2[[#This Row],[Campaign_Name]],'Campaign Metadata'!A:A,'Campaign Metadata'!B:B,"not found",0)</f>
        <v>45651</v>
      </c>
      <c r="T6" s="4">
        <f>_xlfn.XLOOKUP(Table1_2[[#This Row],[Campaign_Name]],'Campaign Metadata'!A:A,'Campaign Metadata'!C:C,"not found",0)</f>
        <v>45667</v>
      </c>
      <c r="U6" t="str">
        <f>IF(AND(Table1_2[[#This Row],[Date]]&gt;=Table1_2[[#This Row],[Campaign Start Date2]],Table1_2[[#This Row],[Date]]&lt;=Table1_2[[#This Row],[Campaign End Date3]]),"During Campaign","Before Campaign")</f>
        <v>Before Campaign</v>
      </c>
      <c r="V6" s="30">
        <f>_xlfn.XLOOKUP(Table1_2[[#This Row],[Campaign_Name]],'Campaign Metadata'!A:A,'Campaign Metadata'!E:E,"Not Available",0)</f>
        <v>250000</v>
      </c>
      <c r="W6">
        <f>Table1_2[[#This Row],[Engagement]]/Table1_2[[#This Row],[Campaign Budget]]</f>
        <v>1.1795999999999999E-2</v>
      </c>
      <c r="X6">
        <f>_xlfn.XLOOKUP(Table1_2[[#This Row],[Platform]],'Engagement Summary'!B:B,'Engagement Summary'!H:H,"Not Available",0)</f>
        <v>1090</v>
      </c>
      <c r="Y6">
        <f>WEEKNUM(Table1_2[[#This Row],[Date]])</f>
        <v>20</v>
      </c>
      <c r="Z6">
        <f>_xlfn.XLOOKUP(Table1_2[[#This Row],[Platform]],'Engagement Summary'!B:B,'Engagement Summary'!G:G,"Notavailable",0)</f>
        <v>30671</v>
      </c>
    </row>
    <row r="7" spans="1:26" x14ac:dyDescent="0.3">
      <c r="A7" t="s">
        <v>32</v>
      </c>
      <c r="B7" t="s">
        <v>33</v>
      </c>
      <c r="C7" s="4">
        <v>45516</v>
      </c>
      <c r="D7" t="s">
        <v>35</v>
      </c>
      <c r="E7" t="s">
        <v>36</v>
      </c>
      <c r="F7">
        <v>2404</v>
      </c>
      <c r="G7">
        <v>363</v>
      </c>
      <c r="H7">
        <v>138</v>
      </c>
      <c r="I7">
        <v>19232</v>
      </c>
      <c r="J7">
        <v>18636</v>
      </c>
      <c r="K7">
        <v>128</v>
      </c>
      <c r="L7" t="s">
        <v>37</v>
      </c>
      <c r="M7" t="s">
        <v>38</v>
      </c>
      <c r="N7" s="4">
        <v>45717</v>
      </c>
      <c r="O7" s="4">
        <v>45747</v>
      </c>
      <c r="P7" t="s">
        <v>637</v>
      </c>
      <c r="Q7">
        <f>Table1_2[[#This Row],[Likes]]+Table1_2[[#This Row],[Shares]]+Table1_2[[#This Row],[Comments]]</f>
        <v>2905</v>
      </c>
      <c r="R7" s="12">
        <f>(Table1_2[[#This Row],[Likes]]+Table1_2[[#This Row],[Shares]]+Table1_2[[#This Row],[Comments]])/Table1_2[[#This Row],[Impressions]]</f>
        <v>0.15105033277870217</v>
      </c>
      <c r="S7" s="4">
        <f>_xlfn.XLOOKUP(Table1_2[[#This Row],[Campaign_Name]],'Campaign Metadata'!A:A,'Campaign Metadata'!B:B,"not found",0)</f>
        <v>45717</v>
      </c>
      <c r="T7" s="4">
        <f>_xlfn.XLOOKUP(Table1_2[[#This Row],[Campaign_Name]],'Campaign Metadata'!A:A,'Campaign Metadata'!C:C,"not found",0)</f>
        <v>45747</v>
      </c>
      <c r="U7" t="str">
        <f>IF(AND(Table1_2[[#This Row],[Date]]&gt;=Table1_2[[#This Row],[Campaign Start Date2]],Table1_2[[#This Row],[Date]]&lt;=Table1_2[[#This Row],[Campaign End Date3]]),"During Campaign","Before Campaign")</f>
        <v>Before Campaign</v>
      </c>
      <c r="V7" s="30">
        <f>_xlfn.XLOOKUP(Table1_2[[#This Row],[Campaign_Name]],'Campaign Metadata'!A:A,'Campaign Metadata'!E:E,"Not Available",0)</f>
        <v>180000</v>
      </c>
      <c r="W7">
        <f>Table1_2[[#This Row],[Engagement]]/Table1_2[[#This Row],[Campaign Budget]]</f>
        <v>1.613888888888889E-2</v>
      </c>
      <c r="X7">
        <f>_xlfn.XLOOKUP(Table1_2[[#This Row],[Platform]],'Engagement Summary'!B:B,'Engagement Summary'!H:H,"Not Available",0)</f>
        <v>1047</v>
      </c>
      <c r="Y7">
        <f>WEEKNUM(Table1_2[[#This Row],[Date]])</f>
        <v>33</v>
      </c>
      <c r="Z7">
        <f>_xlfn.XLOOKUP(Table1_2[[#This Row],[Platform]],'Engagement Summary'!B:B,'Engagement Summary'!G:G,"Notavailable",0)</f>
        <v>5904</v>
      </c>
    </row>
    <row r="8" spans="1:26" x14ac:dyDescent="0.3">
      <c r="A8" t="s">
        <v>39</v>
      </c>
      <c r="B8" t="s">
        <v>27</v>
      </c>
      <c r="C8" s="4">
        <v>45469</v>
      </c>
      <c r="D8" t="s">
        <v>16</v>
      </c>
      <c r="E8" t="s">
        <v>29</v>
      </c>
      <c r="F8">
        <v>3557</v>
      </c>
      <c r="G8">
        <v>687</v>
      </c>
      <c r="H8">
        <v>424</v>
      </c>
      <c r="I8">
        <v>71140</v>
      </c>
      <c r="J8">
        <v>70701</v>
      </c>
      <c r="K8">
        <v>224</v>
      </c>
      <c r="L8" t="s">
        <v>37</v>
      </c>
      <c r="M8" t="s">
        <v>19</v>
      </c>
      <c r="N8" s="4">
        <v>45458</v>
      </c>
      <c r="O8" s="4">
        <v>45488</v>
      </c>
      <c r="P8" t="s">
        <v>637</v>
      </c>
      <c r="Q8">
        <f>Table1_2[[#This Row],[Likes]]+Table1_2[[#This Row],[Shares]]+Table1_2[[#This Row],[Comments]]</f>
        <v>4668</v>
      </c>
      <c r="R8" s="12">
        <f>(Table1_2[[#This Row],[Likes]]+Table1_2[[#This Row],[Shares]]+Table1_2[[#This Row],[Comments]])/Table1_2[[#This Row],[Impressions]]</f>
        <v>6.5617093055946027E-2</v>
      </c>
      <c r="S8" s="4">
        <f>_xlfn.XLOOKUP(Table1_2[[#This Row],[Campaign_Name]],'Campaign Metadata'!A:A,'Campaign Metadata'!B:B,"not found",0)</f>
        <v>45458</v>
      </c>
      <c r="T8" s="4">
        <f>_xlfn.XLOOKUP(Table1_2[[#This Row],[Campaign_Name]],'Campaign Metadata'!A:A,'Campaign Metadata'!C:C,"not found",0)</f>
        <v>45488</v>
      </c>
      <c r="U8" t="str">
        <f>IF(AND(Table1_2[[#This Row],[Date]]&gt;=Table1_2[[#This Row],[Campaign Start Date2]],Table1_2[[#This Row],[Date]]&lt;=Table1_2[[#This Row],[Campaign End Date3]]),"During Campaign","Before Campaign")</f>
        <v>During Campaign</v>
      </c>
      <c r="V8" s="30">
        <f>_xlfn.XLOOKUP(Table1_2[[#This Row],[Campaign_Name]],'Campaign Metadata'!A:A,'Campaign Metadata'!E:E,"Not Available",0)</f>
        <v>150000</v>
      </c>
      <c r="W8">
        <f>Table1_2[[#This Row],[Engagement]]/Table1_2[[#This Row],[Campaign Budget]]</f>
        <v>3.1119999999999998E-2</v>
      </c>
      <c r="X8">
        <f>_xlfn.XLOOKUP(Table1_2[[#This Row],[Platform]],'Engagement Summary'!B:B,'Engagement Summary'!H:H,"Not Available",0)</f>
        <v>1090</v>
      </c>
      <c r="Y8">
        <f>WEEKNUM(Table1_2[[#This Row],[Date]])</f>
        <v>26</v>
      </c>
      <c r="Z8">
        <f>_xlfn.XLOOKUP(Table1_2[[#This Row],[Platform]],'Engagement Summary'!B:B,'Engagement Summary'!G:G,"Notavailable",0)</f>
        <v>30671</v>
      </c>
    </row>
    <row r="9" spans="1:26" x14ac:dyDescent="0.3">
      <c r="A9" t="s">
        <v>39</v>
      </c>
      <c r="B9" t="s">
        <v>27</v>
      </c>
      <c r="C9" s="4">
        <v>45469</v>
      </c>
      <c r="D9" t="s">
        <v>16</v>
      </c>
      <c r="E9" t="s">
        <v>29</v>
      </c>
      <c r="F9">
        <v>3557</v>
      </c>
      <c r="G9">
        <v>687</v>
      </c>
      <c r="H9">
        <v>424</v>
      </c>
      <c r="I9">
        <v>71140</v>
      </c>
      <c r="J9">
        <v>70701</v>
      </c>
      <c r="K9">
        <v>224</v>
      </c>
      <c r="L9" t="s">
        <v>30</v>
      </c>
      <c r="M9" t="s">
        <v>19</v>
      </c>
      <c r="N9" s="4">
        <v>45458</v>
      </c>
      <c r="O9" s="4">
        <v>45488</v>
      </c>
      <c r="P9" t="s">
        <v>637</v>
      </c>
      <c r="Q9">
        <f>Table1_2[[#This Row],[Likes]]+Table1_2[[#This Row],[Shares]]+Table1_2[[#This Row],[Comments]]</f>
        <v>4668</v>
      </c>
      <c r="R9" s="12">
        <f>(Table1_2[[#This Row],[Likes]]+Table1_2[[#This Row],[Shares]]+Table1_2[[#This Row],[Comments]])/Table1_2[[#This Row],[Impressions]]</f>
        <v>6.5617093055946027E-2</v>
      </c>
      <c r="S9" s="4">
        <f>_xlfn.XLOOKUP(Table1_2[[#This Row],[Campaign_Name]],'Campaign Metadata'!A:A,'Campaign Metadata'!B:B,"not found",0)</f>
        <v>45458</v>
      </c>
      <c r="T9" s="4">
        <f>_xlfn.XLOOKUP(Table1_2[[#This Row],[Campaign_Name]],'Campaign Metadata'!A:A,'Campaign Metadata'!C:C,"not found",0)</f>
        <v>45488</v>
      </c>
      <c r="U9" t="str">
        <f>IF(AND(Table1_2[[#This Row],[Date]]&gt;=Table1_2[[#This Row],[Campaign Start Date2]],Table1_2[[#This Row],[Date]]&lt;=Table1_2[[#This Row],[Campaign End Date3]]),"During Campaign","Before Campaign")</f>
        <v>During Campaign</v>
      </c>
      <c r="V9" s="30">
        <f>_xlfn.XLOOKUP(Table1_2[[#This Row],[Campaign_Name]],'Campaign Metadata'!A:A,'Campaign Metadata'!E:E,"Not Available",0)</f>
        <v>150000</v>
      </c>
      <c r="W9">
        <f>Table1_2[[#This Row],[Engagement]]/Table1_2[[#This Row],[Campaign Budget]]</f>
        <v>3.1119999999999998E-2</v>
      </c>
      <c r="X9">
        <f>_xlfn.XLOOKUP(Table1_2[[#This Row],[Platform]],'Engagement Summary'!B:B,'Engagement Summary'!H:H,"Not Available",0)</f>
        <v>1090</v>
      </c>
      <c r="Y9">
        <f>WEEKNUM(Table1_2[[#This Row],[Date]])</f>
        <v>26</v>
      </c>
      <c r="Z9">
        <f>_xlfn.XLOOKUP(Table1_2[[#This Row],[Platform]],'Engagement Summary'!B:B,'Engagement Summary'!G:G,"Notavailable",0)</f>
        <v>30671</v>
      </c>
    </row>
    <row r="10" spans="1:26" x14ac:dyDescent="0.3">
      <c r="A10" t="s">
        <v>42</v>
      </c>
      <c r="B10" t="s">
        <v>43</v>
      </c>
      <c r="C10" s="4">
        <v>45596</v>
      </c>
      <c r="D10" t="s">
        <v>45</v>
      </c>
      <c r="E10" t="s">
        <v>46</v>
      </c>
      <c r="F10">
        <v>2945</v>
      </c>
      <c r="G10">
        <v>930</v>
      </c>
      <c r="H10">
        <v>355</v>
      </c>
      <c r="I10">
        <v>23560</v>
      </c>
      <c r="J10">
        <v>23275</v>
      </c>
      <c r="K10">
        <v>256</v>
      </c>
      <c r="L10" t="s">
        <v>30</v>
      </c>
      <c r="M10" t="s">
        <v>25</v>
      </c>
      <c r="N10" s="4">
        <v>45566</v>
      </c>
      <c r="O10" s="4">
        <v>45596</v>
      </c>
      <c r="P10" t="s">
        <v>637</v>
      </c>
      <c r="Q10">
        <f>Table1_2[[#This Row],[Likes]]+Table1_2[[#This Row],[Shares]]+Table1_2[[#This Row],[Comments]]</f>
        <v>4230</v>
      </c>
      <c r="R10" s="12">
        <f>(Table1_2[[#This Row],[Likes]]+Table1_2[[#This Row],[Shares]]+Table1_2[[#This Row],[Comments]])/Table1_2[[#This Row],[Impressions]]</f>
        <v>0.17954159592529711</v>
      </c>
      <c r="S10" s="4">
        <f>_xlfn.XLOOKUP(Table1_2[[#This Row],[Campaign_Name]],'Campaign Metadata'!A:A,'Campaign Metadata'!B:B,"not found",0)</f>
        <v>45566</v>
      </c>
      <c r="T10" s="4">
        <f>_xlfn.XLOOKUP(Table1_2[[#This Row],[Campaign_Name]],'Campaign Metadata'!A:A,'Campaign Metadata'!C:C,"not found",0)</f>
        <v>45596</v>
      </c>
      <c r="U10" t="str">
        <f>IF(AND(Table1_2[[#This Row],[Date]]&gt;=Table1_2[[#This Row],[Campaign Start Date2]],Table1_2[[#This Row],[Date]]&lt;=Table1_2[[#This Row],[Campaign End Date3]]),"During Campaign","Before Campaign")</f>
        <v>During Campaign</v>
      </c>
      <c r="V10" s="30">
        <f>_xlfn.XLOOKUP(Table1_2[[#This Row],[Campaign_Name]],'Campaign Metadata'!A:A,'Campaign Metadata'!E:E,"Not Available",0)</f>
        <v>200000</v>
      </c>
      <c r="W10">
        <f>Table1_2[[#This Row],[Engagement]]/Table1_2[[#This Row],[Campaign Budget]]</f>
        <v>2.1149999999999999E-2</v>
      </c>
      <c r="X10">
        <f>_xlfn.XLOOKUP(Table1_2[[#This Row],[Platform]],'Engagement Summary'!B:B,'Engagement Summary'!H:H,"Not Available",0)</f>
        <v>1002</v>
      </c>
      <c r="Y10">
        <f>WEEKNUM(Table1_2[[#This Row],[Date]])</f>
        <v>44</v>
      </c>
      <c r="Z10">
        <f>_xlfn.XLOOKUP(Table1_2[[#This Row],[Platform]],'Engagement Summary'!B:B,'Engagement Summary'!G:G,"Notavailable",0)</f>
        <v>9566</v>
      </c>
    </row>
    <row r="11" spans="1:26" x14ac:dyDescent="0.3">
      <c r="A11" t="s">
        <v>47</v>
      </c>
      <c r="B11" t="s">
        <v>14</v>
      </c>
      <c r="C11" s="4">
        <v>45467</v>
      </c>
      <c r="D11" t="s">
        <v>45</v>
      </c>
      <c r="E11" t="s">
        <v>49</v>
      </c>
      <c r="F11">
        <v>3860</v>
      </c>
      <c r="G11">
        <v>201</v>
      </c>
      <c r="H11">
        <v>279</v>
      </c>
      <c r="I11">
        <v>61760</v>
      </c>
      <c r="J11">
        <v>61660</v>
      </c>
      <c r="K11">
        <v>235</v>
      </c>
      <c r="L11" t="s">
        <v>30</v>
      </c>
      <c r="M11" t="s">
        <v>25</v>
      </c>
      <c r="N11" s="4">
        <v>45566</v>
      </c>
      <c r="O11" s="4">
        <v>45596</v>
      </c>
      <c r="P11" t="s">
        <v>637</v>
      </c>
      <c r="Q11">
        <f>Table1_2[[#This Row],[Likes]]+Table1_2[[#This Row],[Shares]]+Table1_2[[#This Row],[Comments]]</f>
        <v>4340</v>
      </c>
      <c r="R11" s="12">
        <f>(Table1_2[[#This Row],[Likes]]+Table1_2[[#This Row],[Shares]]+Table1_2[[#This Row],[Comments]])/Table1_2[[#This Row],[Impressions]]</f>
        <v>7.0272020725388601E-2</v>
      </c>
      <c r="S11" s="4">
        <f>_xlfn.XLOOKUP(Table1_2[[#This Row],[Campaign_Name]],'Campaign Metadata'!A:A,'Campaign Metadata'!B:B,"not found",0)</f>
        <v>45566</v>
      </c>
      <c r="T11" s="4">
        <f>_xlfn.XLOOKUP(Table1_2[[#This Row],[Campaign_Name]],'Campaign Metadata'!A:A,'Campaign Metadata'!C:C,"not found",0)</f>
        <v>45596</v>
      </c>
      <c r="U11" t="str">
        <f>IF(AND(Table1_2[[#This Row],[Date]]&gt;=Table1_2[[#This Row],[Campaign Start Date2]],Table1_2[[#This Row],[Date]]&lt;=Table1_2[[#This Row],[Campaign End Date3]]),"During Campaign","Before Campaign")</f>
        <v>Before Campaign</v>
      </c>
      <c r="V11" s="30">
        <f>_xlfn.XLOOKUP(Table1_2[[#This Row],[Campaign_Name]],'Campaign Metadata'!A:A,'Campaign Metadata'!E:E,"Not Available",0)</f>
        <v>200000</v>
      </c>
      <c r="W11">
        <f>Table1_2[[#This Row],[Engagement]]/Table1_2[[#This Row],[Campaign Budget]]</f>
        <v>2.1700000000000001E-2</v>
      </c>
      <c r="X11">
        <f>_xlfn.XLOOKUP(Table1_2[[#This Row],[Platform]],'Engagement Summary'!B:B,'Engagement Summary'!H:H,"Not Available",0)</f>
        <v>415</v>
      </c>
      <c r="Y11">
        <f>WEEKNUM(Table1_2[[#This Row],[Date]])</f>
        <v>26</v>
      </c>
      <c r="Z11">
        <f>_xlfn.XLOOKUP(Table1_2[[#This Row],[Platform]],'Engagement Summary'!B:B,'Engagement Summary'!G:G,"Notavailable",0)</f>
        <v>26752</v>
      </c>
    </row>
    <row r="12" spans="1:26" x14ac:dyDescent="0.3">
      <c r="A12" t="s">
        <v>50</v>
      </c>
      <c r="B12" t="s">
        <v>27</v>
      </c>
      <c r="C12" s="4">
        <v>45486</v>
      </c>
      <c r="D12" t="s">
        <v>52</v>
      </c>
      <c r="E12" t="s">
        <v>53</v>
      </c>
      <c r="F12">
        <v>3929</v>
      </c>
      <c r="G12">
        <v>262</v>
      </c>
      <c r="H12">
        <v>278</v>
      </c>
      <c r="I12">
        <v>43219</v>
      </c>
      <c r="J12">
        <v>42841</v>
      </c>
      <c r="K12">
        <v>39</v>
      </c>
      <c r="L12" t="s">
        <v>37</v>
      </c>
      <c r="M12" t="s">
        <v>38</v>
      </c>
      <c r="N12" s="4">
        <v>45717</v>
      </c>
      <c r="O12" s="4">
        <v>45747</v>
      </c>
      <c r="P12" t="s">
        <v>637</v>
      </c>
      <c r="Q12">
        <f>Table1_2[[#This Row],[Likes]]+Table1_2[[#This Row],[Shares]]+Table1_2[[#This Row],[Comments]]</f>
        <v>4469</v>
      </c>
      <c r="R12" s="12">
        <f>(Table1_2[[#This Row],[Likes]]+Table1_2[[#This Row],[Shares]]+Table1_2[[#This Row],[Comments]])/Table1_2[[#This Row],[Impressions]]</f>
        <v>0.10340359564080613</v>
      </c>
      <c r="S12" s="4">
        <f>_xlfn.XLOOKUP(Table1_2[[#This Row],[Campaign_Name]],'Campaign Metadata'!A:A,'Campaign Metadata'!B:B,"not found",0)</f>
        <v>45717</v>
      </c>
      <c r="T12" s="4">
        <f>_xlfn.XLOOKUP(Table1_2[[#This Row],[Campaign_Name]],'Campaign Metadata'!A:A,'Campaign Metadata'!C:C,"not found",0)</f>
        <v>45747</v>
      </c>
      <c r="U12" t="str">
        <f>IF(AND(Table1_2[[#This Row],[Date]]&gt;=Table1_2[[#This Row],[Campaign Start Date2]],Table1_2[[#This Row],[Date]]&lt;=Table1_2[[#This Row],[Campaign End Date3]]),"During Campaign","Before Campaign")</f>
        <v>Before Campaign</v>
      </c>
      <c r="V12" s="30">
        <f>_xlfn.XLOOKUP(Table1_2[[#This Row],[Campaign_Name]],'Campaign Metadata'!A:A,'Campaign Metadata'!E:E,"Not Available",0)</f>
        <v>180000</v>
      </c>
      <c r="W12">
        <f>Table1_2[[#This Row],[Engagement]]/Table1_2[[#This Row],[Campaign Budget]]</f>
        <v>2.4827777777777778E-2</v>
      </c>
      <c r="X12">
        <f>_xlfn.XLOOKUP(Table1_2[[#This Row],[Platform]],'Engagement Summary'!B:B,'Engagement Summary'!H:H,"Not Available",0)</f>
        <v>1090</v>
      </c>
      <c r="Y12">
        <f>WEEKNUM(Table1_2[[#This Row],[Date]])</f>
        <v>28</v>
      </c>
      <c r="Z12">
        <f>_xlfn.XLOOKUP(Table1_2[[#This Row],[Platform]],'Engagement Summary'!B:B,'Engagement Summary'!G:G,"Notavailable",0)</f>
        <v>30671</v>
      </c>
    </row>
    <row r="13" spans="1:26" x14ac:dyDescent="0.3">
      <c r="A13" t="s">
        <v>54</v>
      </c>
      <c r="B13" t="s">
        <v>43</v>
      </c>
      <c r="C13" s="4">
        <v>45534</v>
      </c>
      <c r="D13" t="s">
        <v>22</v>
      </c>
      <c r="E13" t="s">
        <v>56</v>
      </c>
      <c r="F13">
        <v>3784</v>
      </c>
      <c r="G13">
        <v>808</v>
      </c>
      <c r="H13">
        <v>404</v>
      </c>
      <c r="I13">
        <v>56760</v>
      </c>
      <c r="J13">
        <v>56343</v>
      </c>
      <c r="K13">
        <v>131</v>
      </c>
      <c r="L13" t="s">
        <v>30</v>
      </c>
      <c r="M13" t="s">
        <v>25</v>
      </c>
      <c r="N13" s="4">
        <v>45566</v>
      </c>
      <c r="O13" s="4">
        <v>45596</v>
      </c>
      <c r="P13" t="s">
        <v>637</v>
      </c>
      <c r="Q13">
        <f>Table1_2[[#This Row],[Likes]]+Table1_2[[#This Row],[Shares]]+Table1_2[[#This Row],[Comments]]</f>
        <v>4996</v>
      </c>
      <c r="R13" s="12">
        <f>(Table1_2[[#This Row],[Likes]]+Table1_2[[#This Row],[Shares]]+Table1_2[[#This Row],[Comments]])/Table1_2[[#This Row],[Impressions]]</f>
        <v>8.8019732205778717E-2</v>
      </c>
      <c r="S13" s="4">
        <f>_xlfn.XLOOKUP(Table1_2[[#This Row],[Campaign_Name]],'Campaign Metadata'!A:A,'Campaign Metadata'!B:B,"not found",0)</f>
        <v>45566</v>
      </c>
      <c r="T13" s="4">
        <f>_xlfn.XLOOKUP(Table1_2[[#This Row],[Campaign_Name]],'Campaign Metadata'!A:A,'Campaign Metadata'!C:C,"not found",0)</f>
        <v>45596</v>
      </c>
      <c r="U13" t="str">
        <f>IF(AND(Table1_2[[#This Row],[Date]]&gt;=Table1_2[[#This Row],[Campaign Start Date2]],Table1_2[[#This Row],[Date]]&lt;=Table1_2[[#This Row],[Campaign End Date3]]),"During Campaign","Before Campaign")</f>
        <v>Before Campaign</v>
      </c>
      <c r="V13" s="30">
        <f>_xlfn.XLOOKUP(Table1_2[[#This Row],[Campaign_Name]],'Campaign Metadata'!A:A,'Campaign Metadata'!E:E,"Not Available",0)</f>
        <v>200000</v>
      </c>
      <c r="W13">
        <f>Table1_2[[#This Row],[Engagement]]/Table1_2[[#This Row],[Campaign Budget]]</f>
        <v>2.4979999999999999E-2</v>
      </c>
      <c r="X13">
        <f>_xlfn.XLOOKUP(Table1_2[[#This Row],[Platform]],'Engagement Summary'!B:B,'Engagement Summary'!H:H,"Not Available",0)</f>
        <v>1002</v>
      </c>
      <c r="Y13">
        <f>WEEKNUM(Table1_2[[#This Row],[Date]])</f>
        <v>35</v>
      </c>
      <c r="Z13">
        <f>_xlfn.XLOOKUP(Table1_2[[#This Row],[Platform]],'Engagement Summary'!B:B,'Engagement Summary'!G:G,"Notavailable",0)</f>
        <v>9566</v>
      </c>
    </row>
    <row r="14" spans="1:26" x14ac:dyDescent="0.3">
      <c r="A14" t="s">
        <v>57</v>
      </c>
      <c r="B14" t="s">
        <v>43</v>
      </c>
      <c r="C14" s="4">
        <v>45727</v>
      </c>
      <c r="D14" t="s">
        <v>52</v>
      </c>
      <c r="E14" t="s">
        <v>59</v>
      </c>
      <c r="F14">
        <v>4241</v>
      </c>
      <c r="G14">
        <v>902</v>
      </c>
      <c r="H14">
        <v>47</v>
      </c>
      <c r="I14">
        <v>72097</v>
      </c>
      <c r="J14">
        <v>71598</v>
      </c>
      <c r="K14">
        <v>167</v>
      </c>
      <c r="L14" t="s">
        <v>30</v>
      </c>
      <c r="M14" t="s">
        <v>25</v>
      </c>
      <c r="N14" s="4">
        <v>45566</v>
      </c>
      <c r="O14" s="4">
        <v>45596</v>
      </c>
      <c r="P14" t="s">
        <v>637</v>
      </c>
      <c r="Q14">
        <f>Table1_2[[#This Row],[Likes]]+Table1_2[[#This Row],[Shares]]+Table1_2[[#This Row],[Comments]]</f>
        <v>5190</v>
      </c>
      <c r="R14" s="12">
        <f>(Table1_2[[#This Row],[Likes]]+Table1_2[[#This Row],[Shares]]+Table1_2[[#This Row],[Comments]])/Table1_2[[#This Row],[Impressions]]</f>
        <v>7.198635172059864E-2</v>
      </c>
      <c r="S14" s="4">
        <f>_xlfn.XLOOKUP(Table1_2[[#This Row],[Campaign_Name]],'Campaign Metadata'!A:A,'Campaign Metadata'!B:B,"not found",0)</f>
        <v>45566</v>
      </c>
      <c r="T14" s="4">
        <f>_xlfn.XLOOKUP(Table1_2[[#This Row],[Campaign_Name]],'Campaign Metadata'!A:A,'Campaign Metadata'!C:C,"not found",0)</f>
        <v>45596</v>
      </c>
      <c r="U14" t="str">
        <f>IF(AND(Table1_2[[#This Row],[Date]]&gt;=Table1_2[[#This Row],[Campaign Start Date2]],Table1_2[[#This Row],[Date]]&lt;=Table1_2[[#This Row],[Campaign End Date3]]),"During Campaign","Before Campaign")</f>
        <v>Before Campaign</v>
      </c>
      <c r="V14" s="30">
        <f>_xlfn.XLOOKUP(Table1_2[[#This Row],[Campaign_Name]],'Campaign Metadata'!A:A,'Campaign Metadata'!E:E,"Not Available",0)</f>
        <v>200000</v>
      </c>
      <c r="W14">
        <f>Table1_2[[#This Row],[Engagement]]/Table1_2[[#This Row],[Campaign Budget]]</f>
        <v>2.5950000000000001E-2</v>
      </c>
      <c r="X14">
        <f>_xlfn.XLOOKUP(Table1_2[[#This Row],[Platform]],'Engagement Summary'!B:B,'Engagement Summary'!H:H,"Not Available",0)</f>
        <v>1002</v>
      </c>
      <c r="Y14">
        <f>WEEKNUM(Table1_2[[#This Row],[Date]])</f>
        <v>11</v>
      </c>
      <c r="Z14">
        <f>_xlfn.XLOOKUP(Table1_2[[#This Row],[Platform]],'Engagement Summary'!B:B,'Engagement Summary'!G:G,"Notavailable",0)</f>
        <v>9566</v>
      </c>
    </row>
    <row r="15" spans="1:26" x14ac:dyDescent="0.3">
      <c r="A15" t="s">
        <v>60</v>
      </c>
      <c r="B15" t="s">
        <v>33</v>
      </c>
      <c r="C15" s="4">
        <v>45690</v>
      </c>
      <c r="D15" t="s">
        <v>35</v>
      </c>
      <c r="E15" t="s">
        <v>36</v>
      </c>
      <c r="F15">
        <v>1792</v>
      </c>
      <c r="G15">
        <v>614</v>
      </c>
      <c r="H15">
        <v>497</v>
      </c>
      <c r="I15">
        <v>25088</v>
      </c>
      <c r="J15">
        <v>24675</v>
      </c>
      <c r="K15">
        <v>65</v>
      </c>
      <c r="L15" t="s">
        <v>62</v>
      </c>
      <c r="M15" t="s">
        <v>38</v>
      </c>
      <c r="N15" s="4">
        <v>45717</v>
      </c>
      <c r="O15" s="4">
        <v>45747</v>
      </c>
      <c r="P15" t="s">
        <v>637</v>
      </c>
      <c r="Q15">
        <f>Table1_2[[#This Row],[Likes]]+Table1_2[[#This Row],[Shares]]+Table1_2[[#This Row],[Comments]]</f>
        <v>2903</v>
      </c>
      <c r="R15" s="12">
        <f>(Table1_2[[#This Row],[Likes]]+Table1_2[[#This Row],[Shares]]+Table1_2[[#This Row],[Comments]])/Table1_2[[#This Row],[Impressions]]</f>
        <v>0.11571269132653061</v>
      </c>
      <c r="S15" s="4">
        <f>_xlfn.XLOOKUP(Table1_2[[#This Row],[Campaign_Name]],'Campaign Metadata'!A:A,'Campaign Metadata'!B:B,"not found",0)</f>
        <v>45717</v>
      </c>
      <c r="T15" s="4">
        <f>_xlfn.XLOOKUP(Table1_2[[#This Row],[Campaign_Name]],'Campaign Metadata'!A:A,'Campaign Metadata'!C:C,"not found",0)</f>
        <v>45747</v>
      </c>
      <c r="U15" t="str">
        <f>IF(AND(Table1_2[[#This Row],[Date]]&gt;=Table1_2[[#This Row],[Campaign Start Date2]],Table1_2[[#This Row],[Date]]&lt;=Table1_2[[#This Row],[Campaign End Date3]]),"During Campaign","Before Campaign")</f>
        <v>Before Campaign</v>
      </c>
      <c r="V15" s="30">
        <f>_xlfn.XLOOKUP(Table1_2[[#This Row],[Campaign_Name]],'Campaign Metadata'!A:A,'Campaign Metadata'!E:E,"Not Available",0)</f>
        <v>180000</v>
      </c>
      <c r="W15">
        <f>Table1_2[[#This Row],[Engagement]]/Table1_2[[#This Row],[Campaign Budget]]</f>
        <v>1.6127777777777779E-2</v>
      </c>
      <c r="X15">
        <f>_xlfn.XLOOKUP(Table1_2[[#This Row],[Platform]],'Engagement Summary'!B:B,'Engagement Summary'!H:H,"Not Available",0)</f>
        <v>1047</v>
      </c>
      <c r="Y15">
        <f>WEEKNUM(Table1_2[[#This Row],[Date]])</f>
        <v>6</v>
      </c>
      <c r="Z15">
        <f>_xlfn.XLOOKUP(Table1_2[[#This Row],[Platform]],'Engagement Summary'!B:B,'Engagement Summary'!G:G,"Notavailable",0)</f>
        <v>5904</v>
      </c>
    </row>
    <row r="16" spans="1:26" x14ac:dyDescent="0.3">
      <c r="A16" t="s">
        <v>63</v>
      </c>
      <c r="B16" t="s">
        <v>43</v>
      </c>
      <c r="C16" s="4">
        <v>45494</v>
      </c>
      <c r="D16" t="s">
        <v>16</v>
      </c>
      <c r="E16" t="s">
        <v>65</v>
      </c>
      <c r="F16">
        <v>1946</v>
      </c>
      <c r="G16">
        <v>686</v>
      </c>
      <c r="H16">
        <v>377</v>
      </c>
      <c r="I16">
        <v>23352</v>
      </c>
      <c r="J16">
        <v>22982</v>
      </c>
      <c r="K16">
        <v>213</v>
      </c>
      <c r="L16" t="s">
        <v>62</v>
      </c>
      <c r="M16" t="s">
        <v>31</v>
      </c>
      <c r="N16" s="4">
        <v>45651</v>
      </c>
      <c r="O16" s="4">
        <v>45667</v>
      </c>
      <c r="P16" t="s">
        <v>637</v>
      </c>
      <c r="Q16">
        <f>Table1_2[[#This Row],[Likes]]+Table1_2[[#This Row],[Shares]]+Table1_2[[#This Row],[Comments]]</f>
        <v>3009</v>
      </c>
      <c r="R16" s="12">
        <f>(Table1_2[[#This Row],[Likes]]+Table1_2[[#This Row],[Shares]]+Table1_2[[#This Row],[Comments]])/Table1_2[[#This Row],[Impressions]]</f>
        <v>0.12885405960945528</v>
      </c>
      <c r="S16" s="4">
        <f>_xlfn.XLOOKUP(Table1_2[[#This Row],[Campaign_Name]],'Campaign Metadata'!A:A,'Campaign Metadata'!B:B,"not found",0)</f>
        <v>45651</v>
      </c>
      <c r="T16" s="4">
        <f>_xlfn.XLOOKUP(Table1_2[[#This Row],[Campaign_Name]],'Campaign Metadata'!A:A,'Campaign Metadata'!C:C,"not found",0)</f>
        <v>45667</v>
      </c>
      <c r="U16" t="str">
        <f>IF(AND(Table1_2[[#This Row],[Date]]&gt;=Table1_2[[#This Row],[Campaign Start Date2]],Table1_2[[#This Row],[Date]]&lt;=Table1_2[[#This Row],[Campaign End Date3]]),"During Campaign","Before Campaign")</f>
        <v>Before Campaign</v>
      </c>
      <c r="V16" s="30">
        <f>_xlfn.XLOOKUP(Table1_2[[#This Row],[Campaign_Name]],'Campaign Metadata'!A:A,'Campaign Metadata'!E:E,"Not Available",0)</f>
        <v>250000</v>
      </c>
      <c r="W16">
        <f>Table1_2[[#This Row],[Engagement]]/Table1_2[[#This Row],[Campaign Budget]]</f>
        <v>1.2036E-2</v>
      </c>
      <c r="X16">
        <f>_xlfn.XLOOKUP(Table1_2[[#This Row],[Platform]],'Engagement Summary'!B:B,'Engagement Summary'!H:H,"Not Available",0)</f>
        <v>1002</v>
      </c>
      <c r="Y16">
        <f>WEEKNUM(Table1_2[[#This Row],[Date]])</f>
        <v>30</v>
      </c>
      <c r="Z16">
        <f>_xlfn.XLOOKUP(Table1_2[[#This Row],[Platform]],'Engagement Summary'!B:B,'Engagement Summary'!G:G,"Notavailable",0)</f>
        <v>9566</v>
      </c>
    </row>
    <row r="17" spans="1:26" x14ac:dyDescent="0.3">
      <c r="A17" t="s">
        <v>66</v>
      </c>
      <c r="B17" t="s">
        <v>27</v>
      </c>
      <c r="C17" s="4">
        <v>45614</v>
      </c>
      <c r="D17" t="s">
        <v>45</v>
      </c>
      <c r="E17" t="s">
        <v>68</v>
      </c>
      <c r="F17">
        <v>1171</v>
      </c>
      <c r="G17">
        <v>286</v>
      </c>
      <c r="H17">
        <v>231</v>
      </c>
      <c r="I17">
        <v>22249</v>
      </c>
      <c r="J17">
        <v>21282</v>
      </c>
      <c r="K17">
        <v>114</v>
      </c>
      <c r="L17" t="s">
        <v>37</v>
      </c>
      <c r="M17" t="s">
        <v>19</v>
      </c>
      <c r="N17" s="4">
        <v>45458</v>
      </c>
      <c r="O17" s="4">
        <v>45488</v>
      </c>
      <c r="P17" t="s">
        <v>637</v>
      </c>
      <c r="Q17">
        <f>Table1_2[[#This Row],[Likes]]+Table1_2[[#This Row],[Shares]]+Table1_2[[#This Row],[Comments]]</f>
        <v>1688</v>
      </c>
      <c r="R17" s="12">
        <f>(Table1_2[[#This Row],[Likes]]+Table1_2[[#This Row],[Shares]]+Table1_2[[#This Row],[Comments]])/Table1_2[[#This Row],[Impressions]]</f>
        <v>7.5868578363072495E-2</v>
      </c>
      <c r="S17" s="4">
        <f>_xlfn.XLOOKUP(Table1_2[[#This Row],[Campaign_Name]],'Campaign Metadata'!A:A,'Campaign Metadata'!B:B,"not found",0)</f>
        <v>45458</v>
      </c>
      <c r="T17" s="4">
        <f>_xlfn.XLOOKUP(Table1_2[[#This Row],[Campaign_Name]],'Campaign Metadata'!A:A,'Campaign Metadata'!C:C,"not found",0)</f>
        <v>45488</v>
      </c>
      <c r="U17" t="str">
        <f>IF(AND(Table1_2[[#This Row],[Date]]&gt;=Table1_2[[#This Row],[Campaign Start Date2]],Table1_2[[#This Row],[Date]]&lt;=Table1_2[[#This Row],[Campaign End Date3]]),"During Campaign","Before Campaign")</f>
        <v>Before Campaign</v>
      </c>
      <c r="V17" s="30">
        <f>_xlfn.XLOOKUP(Table1_2[[#This Row],[Campaign_Name]],'Campaign Metadata'!A:A,'Campaign Metadata'!E:E,"Not Available",0)</f>
        <v>150000</v>
      </c>
      <c r="W17">
        <f>Table1_2[[#This Row],[Engagement]]/Table1_2[[#This Row],[Campaign Budget]]</f>
        <v>1.1253333333333334E-2</v>
      </c>
      <c r="X17">
        <f>_xlfn.XLOOKUP(Table1_2[[#This Row],[Platform]],'Engagement Summary'!B:B,'Engagement Summary'!H:H,"Not Available",0)</f>
        <v>1090</v>
      </c>
      <c r="Y17">
        <f>WEEKNUM(Table1_2[[#This Row],[Date]])</f>
        <v>47</v>
      </c>
      <c r="Z17">
        <f>_xlfn.XLOOKUP(Table1_2[[#This Row],[Platform]],'Engagement Summary'!B:B,'Engagement Summary'!G:G,"Notavailable",0)</f>
        <v>30671</v>
      </c>
    </row>
    <row r="18" spans="1:26" x14ac:dyDescent="0.3">
      <c r="A18" t="s">
        <v>69</v>
      </c>
      <c r="B18" t="s">
        <v>43</v>
      </c>
      <c r="C18" s="4">
        <v>45704</v>
      </c>
      <c r="D18" t="s">
        <v>35</v>
      </c>
      <c r="E18" t="s">
        <v>71</v>
      </c>
      <c r="F18">
        <v>4242</v>
      </c>
      <c r="G18">
        <v>555</v>
      </c>
      <c r="H18">
        <v>131</v>
      </c>
      <c r="I18">
        <v>33936</v>
      </c>
      <c r="J18">
        <v>33802</v>
      </c>
      <c r="K18">
        <v>265</v>
      </c>
      <c r="L18" t="s">
        <v>62</v>
      </c>
      <c r="M18" t="s">
        <v>617</v>
      </c>
      <c r="N18" s="4">
        <v>0</v>
      </c>
      <c r="O18" s="4">
        <v>0</v>
      </c>
      <c r="P18" t="s">
        <v>637</v>
      </c>
      <c r="Q18">
        <f>Table1_2[[#This Row],[Likes]]+Table1_2[[#This Row],[Shares]]+Table1_2[[#This Row],[Comments]]</f>
        <v>4928</v>
      </c>
      <c r="R18" s="12">
        <f>(Table1_2[[#This Row],[Likes]]+Table1_2[[#This Row],[Shares]]+Table1_2[[#This Row],[Comments]])/Table1_2[[#This Row],[Impressions]]</f>
        <v>0.14521452145214522</v>
      </c>
      <c r="S18" s="4" t="str">
        <f>_xlfn.XLOOKUP(Table1_2[[#This Row],[Campaign_Name]],'Campaign Metadata'!A:A,'Campaign Metadata'!B:B,"not found",0)</f>
        <v>not found</v>
      </c>
      <c r="T18" s="4" t="str">
        <f>_xlfn.XLOOKUP(Table1_2[[#This Row],[Campaign_Name]],'Campaign Metadata'!A:A,'Campaign Metadata'!C:C,"not found",0)</f>
        <v>not found</v>
      </c>
      <c r="U18" t="str">
        <f>IF(AND(Table1_2[[#This Row],[Date]]&gt;=Table1_2[[#This Row],[Campaign Start Date2]],Table1_2[[#This Row],[Date]]&lt;=Table1_2[[#This Row],[Campaign End Date3]]),"During Campaign","Before Campaign")</f>
        <v>Before Campaign</v>
      </c>
      <c r="V18" s="30" t="str">
        <f>_xlfn.XLOOKUP(Table1_2[[#This Row],[Campaign_Name]],'Campaign Metadata'!A:A,'Campaign Metadata'!E:E,"Not Available",0)</f>
        <v>Not Available</v>
      </c>
      <c r="W18" t="e">
        <f>Table1_2[[#This Row],[Engagement]]/Table1_2[[#This Row],[Campaign Budget]]</f>
        <v>#VALUE!</v>
      </c>
      <c r="X18">
        <f>_xlfn.XLOOKUP(Table1_2[[#This Row],[Platform]],'Engagement Summary'!B:B,'Engagement Summary'!H:H,"Not Available",0)</f>
        <v>1002</v>
      </c>
      <c r="Y18">
        <f>WEEKNUM(Table1_2[[#This Row],[Date]])</f>
        <v>8</v>
      </c>
      <c r="Z18">
        <f>_xlfn.XLOOKUP(Table1_2[[#This Row],[Platform]],'Engagement Summary'!B:B,'Engagement Summary'!G:G,"Notavailable",0)</f>
        <v>9566</v>
      </c>
    </row>
    <row r="19" spans="1:26" x14ac:dyDescent="0.3">
      <c r="A19" t="s">
        <v>72</v>
      </c>
      <c r="B19" t="s">
        <v>43</v>
      </c>
      <c r="C19" s="4">
        <v>45589</v>
      </c>
      <c r="D19" t="s">
        <v>74</v>
      </c>
      <c r="E19" t="s">
        <v>75</v>
      </c>
      <c r="F19">
        <v>3888</v>
      </c>
      <c r="G19">
        <v>604</v>
      </c>
      <c r="H19">
        <v>128</v>
      </c>
      <c r="I19">
        <v>77760</v>
      </c>
      <c r="J19">
        <v>77167</v>
      </c>
      <c r="K19">
        <v>20</v>
      </c>
      <c r="L19" t="s">
        <v>62</v>
      </c>
      <c r="M19" t="s">
        <v>19</v>
      </c>
      <c r="N19" s="4">
        <v>45458</v>
      </c>
      <c r="O19" s="4">
        <v>45488</v>
      </c>
      <c r="P19" t="s">
        <v>637</v>
      </c>
      <c r="Q19">
        <f>Table1_2[[#This Row],[Likes]]+Table1_2[[#This Row],[Shares]]+Table1_2[[#This Row],[Comments]]</f>
        <v>4620</v>
      </c>
      <c r="R19" s="12">
        <f>(Table1_2[[#This Row],[Likes]]+Table1_2[[#This Row],[Shares]]+Table1_2[[#This Row],[Comments]])/Table1_2[[#This Row],[Impressions]]</f>
        <v>5.941358024691358E-2</v>
      </c>
      <c r="S19" s="4">
        <f>_xlfn.XLOOKUP(Table1_2[[#This Row],[Campaign_Name]],'Campaign Metadata'!A:A,'Campaign Metadata'!B:B,"not found",0)</f>
        <v>45458</v>
      </c>
      <c r="T19" s="4">
        <f>_xlfn.XLOOKUP(Table1_2[[#This Row],[Campaign_Name]],'Campaign Metadata'!A:A,'Campaign Metadata'!C:C,"not found",0)</f>
        <v>45488</v>
      </c>
      <c r="U19" t="str">
        <f>IF(AND(Table1_2[[#This Row],[Date]]&gt;=Table1_2[[#This Row],[Campaign Start Date2]],Table1_2[[#This Row],[Date]]&lt;=Table1_2[[#This Row],[Campaign End Date3]]),"During Campaign","Before Campaign")</f>
        <v>Before Campaign</v>
      </c>
      <c r="V19" s="30">
        <f>_xlfn.XLOOKUP(Table1_2[[#This Row],[Campaign_Name]],'Campaign Metadata'!A:A,'Campaign Metadata'!E:E,"Not Available",0)</f>
        <v>150000</v>
      </c>
      <c r="W19">
        <f>Table1_2[[#This Row],[Engagement]]/Table1_2[[#This Row],[Campaign Budget]]</f>
        <v>3.0800000000000001E-2</v>
      </c>
      <c r="X19">
        <f>_xlfn.XLOOKUP(Table1_2[[#This Row],[Platform]],'Engagement Summary'!B:B,'Engagement Summary'!H:H,"Not Available",0)</f>
        <v>1002</v>
      </c>
      <c r="Y19">
        <f>WEEKNUM(Table1_2[[#This Row],[Date]])</f>
        <v>43</v>
      </c>
      <c r="Z19">
        <f>_xlfn.XLOOKUP(Table1_2[[#This Row],[Platform]],'Engagement Summary'!B:B,'Engagement Summary'!G:G,"Notavailable",0)</f>
        <v>9566</v>
      </c>
    </row>
    <row r="20" spans="1:26" x14ac:dyDescent="0.3">
      <c r="A20" t="s">
        <v>76</v>
      </c>
      <c r="B20" t="s">
        <v>43</v>
      </c>
      <c r="C20" s="4">
        <v>45530</v>
      </c>
      <c r="D20" t="s">
        <v>22</v>
      </c>
      <c r="E20" t="s">
        <v>56</v>
      </c>
      <c r="F20">
        <v>3452</v>
      </c>
      <c r="G20">
        <v>377</v>
      </c>
      <c r="H20">
        <v>360</v>
      </c>
      <c r="I20">
        <v>55232</v>
      </c>
      <c r="J20">
        <v>55075</v>
      </c>
      <c r="K20">
        <v>87</v>
      </c>
      <c r="L20" t="s">
        <v>62</v>
      </c>
      <c r="M20" t="s">
        <v>31</v>
      </c>
      <c r="N20" s="4">
        <v>45651</v>
      </c>
      <c r="O20" s="4">
        <v>45667</v>
      </c>
      <c r="P20" t="s">
        <v>637</v>
      </c>
      <c r="Q20">
        <f>Table1_2[[#This Row],[Likes]]+Table1_2[[#This Row],[Shares]]+Table1_2[[#This Row],[Comments]]</f>
        <v>4189</v>
      </c>
      <c r="R20" s="12">
        <f>(Table1_2[[#This Row],[Likes]]+Table1_2[[#This Row],[Shares]]+Table1_2[[#This Row],[Comments]])/Table1_2[[#This Row],[Impressions]]</f>
        <v>7.5843713789107758E-2</v>
      </c>
      <c r="S20" s="4">
        <f>_xlfn.XLOOKUP(Table1_2[[#This Row],[Campaign_Name]],'Campaign Metadata'!A:A,'Campaign Metadata'!B:B,"not found",0)</f>
        <v>45651</v>
      </c>
      <c r="T20" s="4">
        <f>_xlfn.XLOOKUP(Table1_2[[#This Row],[Campaign_Name]],'Campaign Metadata'!A:A,'Campaign Metadata'!C:C,"not found",0)</f>
        <v>45667</v>
      </c>
      <c r="U20" t="str">
        <f>IF(AND(Table1_2[[#This Row],[Date]]&gt;=Table1_2[[#This Row],[Campaign Start Date2]],Table1_2[[#This Row],[Date]]&lt;=Table1_2[[#This Row],[Campaign End Date3]]),"During Campaign","Before Campaign")</f>
        <v>Before Campaign</v>
      </c>
      <c r="V20" s="30">
        <f>_xlfn.XLOOKUP(Table1_2[[#This Row],[Campaign_Name]],'Campaign Metadata'!A:A,'Campaign Metadata'!E:E,"Not Available",0)</f>
        <v>250000</v>
      </c>
      <c r="W20">
        <f>Table1_2[[#This Row],[Engagement]]/Table1_2[[#This Row],[Campaign Budget]]</f>
        <v>1.6756E-2</v>
      </c>
      <c r="X20">
        <f>_xlfn.XLOOKUP(Table1_2[[#This Row],[Platform]],'Engagement Summary'!B:B,'Engagement Summary'!H:H,"Not Available",0)</f>
        <v>1002</v>
      </c>
      <c r="Y20">
        <f>WEEKNUM(Table1_2[[#This Row],[Date]])</f>
        <v>35</v>
      </c>
      <c r="Z20">
        <f>_xlfn.XLOOKUP(Table1_2[[#This Row],[Platform]],'Engagement Summary'!B:B,'Engagement Summary'!G:G,"Notavailable",0)</f>
        <v>9566</v>
      </c>
    </row>
    <row r="21" spans="1:26" x14ac:dyDescent="0.3">
      <c r="A21" t="s">
        <v>78</v>
      </c>
      <c r="B21" t="s">
        <v>43</v>
      </c>
      <c r="C21" s="4">
        <v>45782</v>
      </c>
      <c r="D21" t="s">
        <v>22</v>
      </c>
      <c r="E21" t="s">
        <v>56</v>
      </c>
      <c r="F21">
        <v>4441</v>
      </c>
      <c r="G21">
        <v>511</v>
      </c>
      <c r="H21">
        <v>70</v>
      </c>
      <c r="I21">
        <v>53292</v>
      </c>
      <c r="J21">
        <v>53082</v>
      </c>
      <c r="K21">
        <v>159</v>
      </c>
      <c r="L21" t="s">
        <v>37</v>
      </c>
      <c r="M21" t="s">
        <v>38</v>
      </c>
      <c r="N21" s="4">
        <v>45717</v>
      </c>
      <c r="O21" s="4">
        <v>45747</v>
      </c>
      <c r="P21" t="s">
        <v>637</v>
      </c>
      <c r="Q21">
        <f>Table1_2[[#This Row],[Likes]]+Table1_2[[#This Row],[Shares]]+Table1_2[[#This Row],[Comments]]</f>
        <v>5022</v>
      </c>
      <c r="R21" s="12">
        <f>(Table1_2[[#This Row],[Likes]]+Table1_2[[#This Row],[Shares]]+Table1_2[[#This Row],[Comments]])/Table1_2[[#This Row],[Impressions]]</f>
        <v>9.4235532537716729E-2</v>
      </c>
      <c r="S21" s="4">
        <f>_xlfn.XLOOKUP(Table1_2[[#This Row],[Campaign_Name]],'Campaign Metadata'!A:A,'Campaign Metadata'!B:B,"not found",0)</f>
        <v>45717</v>
      </c>
      <c r="T21" s="4">
        <f>_xlfn.XLOOKUP(Table1_2[[#This Row],[Campaign_Name]],'Campaign Metadata'!A:A,'Campaign Metadata'!C:C,"not found",0)</f>
        <v>45747</v>
      </c>
      <c r="U21" t="str">
        <f>IF(AND(Table1_2[[#This Row],[Date]]&gt;=Table1_2[[#This Row],[Campaign Start Date2]],Table1_2[[#This Row],[Date]]&lt;=Table1_2[[#This Row],[Campaign End Date3]]),"During Campaign","Before Campaign")</f>
        <v>Before Campaign</v>
      </c>
      <c r="V21" s="30">
        <f>_xlfn.XLOOKUP(Table1_2[[#This Row],[Campaign_Name]],'Campaign Metadata'!A:A,'Campaign Metadata'!E:E,"Not Available",0)</f>
        <v>180000</v>
      </c>
      <c r="W21">
        <f>Table1_2[[#This Row],[Engagement]]/Table1_2[[#This Row],[Campaign Budget]]</f>
        <v>2.7900000000000001E-2</v>
      </c>
      <c r="X21">
        <f>_xlfn.XLOOKUP(Table1_2[[#This Row],[Platform]],'Engagement Summary'!B:B,'Engagement Summary'!H:H,"Not Available",0)</f>
        <v>1002</v>
      </c>
      <c r="Y21">
        <f>WEEKNUM(Table1_2[[#This Row],[Date]])</f>
        <v>19</v>
      </c>
      <c r="Z21">
        <f>_xlfn.XLOOKUP(Table1_2[[#This Row],[Platform]],'Engagement Summary'!B:B,'Engagement Summary'!G:G,"Notavailable",0)</f>
        <v>9566</v>
      </c>
    </row>
    <row r="22" spans="1:26" x14ac:dyDescent="0.3">
      <c r="A22" t="s">
        <v>80</v>
      </c>
      <c r="B22" t="s">
        <v>33</v>
      </c>
      <c r="C22" s="4">
        <v>45523</v>
      </c>
      <c r="D22" t="s">
        <v>16</v>
      </c>
      <c r="E22" t="s">
        <v>82</v>
      </c>
      <c r="F22">
        <v>3000</v>
      </c>
      <c r="G22">
        <v>382</v>
      </c>
      <c r="H22">
        <v>325</v>
      </c>
      <c r="I22">
        <v>36000</v>
      </c>
      <c r="J22">
        <v>35819</v>
      </c>
      <c r="K22">
        <v>19</v>
      </c>
      <c r="L22" t="s">
        <v>62</v>
      </c>
      <c r="M22" t="s">
        <v>19</v>
      </c>
      <c r="N22" s="4">
        <v>45458</v>
      </c>
      <c r="O22" s="4">
        <v>45488</v>
      </c>
      <c r="P22" t="s">
        <v>637</v>
      </c>
      <c r="Q22">
        <f>Table1_2[[#This Row],[Likes]]+Table1_2[[#This Row],[Shares]]+Table1_2[[#This Row],[Comments]]</f>
        <v>3707</v>
      </c>
      <c r="R22" s="12">
        <f>(Table1_2[[#This Row],[Likes]]+Table1_2[[#This Row],[Shares]]+Table1_2[[#This Row],[Comments]])/Table1_2[[#This Row],[Impressions]]</f>
        <v>0.10297222222222223</v>
      </c>
      <c r="S22" s="4">
        <f>_xlfn.XLOOKUP(Table1_2[[#This Row],[Campaign_Name]],'Campaign Metadata'!A:A,'Campaign Metadata'!B:B,"not found",0)</f>
        <v>45458</v>
      </c>
      <c r="T22" s="4">
        <f>_xlfn.XLOOKUP(Table1_2[[#This Row],[Campaign_Name]],'Campaign Metadata'!A:A,'Campaign Metadata'!C:C,"not found",0)</f>
        <v>45488</v>
      </c>
      <c r="U22" t="str">
        <f>IF(AND(Table1_2[[#This Row],[Date]]&gt;=Table1_2[[#This Row],[Campaign Start Date2]],Table1_2[[#This Row],[Date]]&lt;=Table1_2[[#This Row],[Campaign End Date3]]),"During Campaign","Before Campaign")</f>
        <v>Before Campaign</v>
      </c>
      <c r="V22" s="30">
        <f>_xlfn.XLOOKUP(Table1_2[[#This Row],[Campaign_Name]],'Campaign Metadata'!A:A,'Campaign Metadata'!E:E,"Not Available",0)</f>
        <v>150000</v>
      </c>
      <c r="W22">
        <f>Table1_2[[#This Row],[Engagement]]/Table1_2[[#This Row],[Campaign Budget]]</f>
        <v>2.4713333333333334E-2</v>
      </c>
      <c r="X22">
        <f>_xlfn.XLOOKUP(Table1_2[[#This Row],[Platform]],'Engagement Summary'!B:B,'Engagement Summary'!H:H,"Not Available",0)</f>
        <v>1047</v>
      </c>
      <c r="Y22">
        <f>WEEKNUM(Table1_2[[#This Row],[Date]])</f>
        <v>34</v>
      </c>
      <c r="Z22">
        <f>_xlfn.XLOOKUP(Table1_2[[#This Row],[Platform]],'Engagement Summary'!B:B,'Engagement Summary'!G:G,"Notavailable",0)</f>
        <v>5904</v>
      </c>
    </row>
    <row r="23" spans="1:26" x14ac:dyDescent="0.3">
      <c r="A23" t="s">
        <v>83</v>
      </c>
      <c r="B23" t="s">
        <v>33</v>
      </c>
      <c r="C23" s="4">
        <v>45466</v>
      </c>
      <c r="D23" t="s">
        <v>74</v>
      </c>
      <c r="E23" t="s">
        <v>85</v>
      </c>
      <c r="F23">
        <v>1071</v>
      </c>
      <c r="G23">
        <v>519</v>
      </c>
      <c r="H23">
        <v>22</v>
      </c>
      <c r="I23">
        <v>16065</v>
      </c>
      <c r="J23">
        <v>15865</v>
      </c>
      <c r="K23">
        <v>103</v>
      </c>
      <c r="L23" t="s">
        <v>30</v>
      </c>
      <c r="M23" t="s">
        <v>38</v>
      </c>
      <c r="N23" s="4">
        <v>45717</v>
      </c>
      <c r="O23" s="4">
        <v>45747</v>
      </c>
      <c r="P23" t="s">
        <v>637</v>
      </c>
      <c r="Q23">
        <f>Table1_2[[#This Row],[Likes]]+Table1_2[[#This Row],[Shares]]+Table1_2[[#This Row],[Comments]]</f>
        <v>1612</v>
      </c>
      <c r="R23" s="12">
        <f>(Table1_2[[#This Row],[Likes]]+Table1_2[[#This Row],[Shares]]+Table1_2[[#This Row],[Comments]])/Table1_2[[#This Row],[Impressions]]</f>
        <v>0.10034235916588857</v>
      </c>
      <c r="S23" s="4">
        <f>_xlfn.XLOOKUP(Table1_2[[#This Row],[Campaign_Name]],'Campaign Metadata'!A:A,'Campaign Metadata'!B:B,"not found",0)</f>
        <v>45717</v>
      </c>
      <c r="T23" s="4">
        <f>_xlfn.XLOOKUP(Table1_2[[#This Row],[Campaign_Name]],'Campaign Metadata'!A:A,'Campaign Metadata'!C:C,"not found",0)</f>
        <v>45747</v>
      </c>
      <c r="U23" t="str">
        <f>IF(AND(Table1_2[[#This Row],[Date]]&gt;=Table1_2[[#This Row],[Campaign Start Date2]],Table1_2[[#This Row],[Date]]&lt;=Table1_2[[#This Row],[Campaign End Date3]]),"During Campaign","Before Campaign")</f>
        <v>Before Campaign</v>
      </c>
      <c r="V23" s="30">
        <f>_xlfn.XLOOKUP(Table1_2[[#This Row],[Campaign_Name]],'Campaign Metadata'!A:A,'Campaign Metadata'!E:E,"Not Available",0)</f>
        <v>180000</v>
      </c>
      <c r="W23">
        <f>Table1_2[[#This Row],[Engagement]]/Table1_2[[#This Row],[Campaign Budget]]</f>
        <v>8.9555555555555551E-3</v>
      </c>
      <c r="X23">
        <f>_xlfn.XLOOKUP(Table1_2[[#This Row],[Platform]],'Engagement Summary'!B:B,'Engagement Summary'!H:H,"Not Available",0)</f>
        <v>1047</v>
      </c>
      <c r="Y23">
        <f>WEEKNUM(Table1_2[[#This Row],[Date]])</f>
        <v>26</v>
      </c>
      <c r="Z23">
        <f>_xlfn.XLOOKUP(Table1_2[[#This Row],[Platform]],'Engagement Summary'!B:B,'Engagement Summary'!G:G,"Notavailable",0)</f>
        <v>5904</v>
      </c>
    </row>
    <row r="24" spans="1:26" x14ac:dyDescent="0.3">
      <c r="A24" t="s">
        <v>86</v>
      </c>
      <c r="B24" t="s">
        <v>33</v>
      </c>
      <c r="C24" s="4">
        <v>45544</v>
      </c>
      <c r="D24" t="s">
        <v>45</v>
      </c>
      <c r="E24" t="s">
        <v>88</v>
      </c>
      <c r="F24">
        <v>4054</v>
      </c>
      <c r="G24">
        <v>488</v>
      </c>
      <c r="H24">
        <v>373</v>
      </c>
      <c r="I24">
        <v>77026</v>
      </c>
      <c r="J24">
        <v>76881</v>
      </c>
      <c r="K24">
        <v>25</v>
      </c>
      <c r="L24" t="s">
        <v>30</v>
      </c>
      <c r="M24" t="s">
        <v>19</v>
      </c>
      <c r="N24" s="4">
        <v>45458</v>
      </c>
      <c r="O24" s="4">
        <v>45488</v>
      </c>
      <c r="P24" t="s">
        <v>637</v>
      </c>
      <c r="Q24">
        <f>Table1_2[[#This Row],[Likes]]+Table1_2[[#This Row],[Shares]]+Table1_2[[#This Row],[Comments]]</f>
        <v>4915</v>
      </c>
      <c r="R24" s="12">
        <f>(Table1_2[[#This Row],[Likes]]+Table1_2[[#This Row],[Shares]]+Table1_2[[#This Row],[Comments]])/Table1_2[[#This Row],[Impressions]]</f>
        <v>6.3809622724794221E-2</v>
      </c>
      <c r="S24" s="4">
        <f>_xlfn.XLOOKUP(Table1_2[[#This Row],[Campaign_Name]],'Campaign Metadata'!A:A,'Campaign Metadata'!B:B,"not found",0)</f>
        <v>45458</v>
      </c>
      <c r="T24" s="4">
        <f>_xlfn.XLOOKUP(Table1_2[[#This Row],[Campaign_Name]],'Campaign Metadata'!A:A,'Campaign Metadata'!C:C,"not found",0)</f>
        <v>45488</v>
      </c>
      <c r="U24" t="str">
        <f>IF(AND(Table1_2[[#This Row],[Date]]&gt;=Table1_2[[#This Row],[Campaign Start Date2]],Table1_2[[#This Row],[Date]]&lt;=Table1_2[[#This Row],[Campaign End Date3]]),"During Campaign","Before Campaign")</f>
        <v>Before Campaign</v>
      </c>
      <c r="V24" s="30">
        <f>_xlfn.XLOOKUP(Table1_2[[#This Row],[Campaign_Name]],'Campaign Metadata'!A:A,'Campaign Metadata'!E:E,"Not Available",0)</f>
        <v>150000</v>
      </c>
      <c r="W24">
        <f>Table1_2[[#This Row],[Engagement]]/Table1_2[[#This Row],[Campaign Budget]]</f>
        <v>3.2766666666666666E-2</v>
      </c>
      <c r="X24">
        <f>_xlfn.XLOOKUP(Table1_2[[#This Row],[Platform]],'Engagement Summary'!B:B,'Engagement Summary'!H:H,"Not Available",0)</f>
        <v>1047</v>
      </c>
      <c r="Y24">
        <f>WEEKNUM(Table1_2[[#This Row],[Date]])</f>
        <v>37</v>
      </c>
      <c r="Z24">
        <f>_xlfn.XLOOKUP(Table1_2[[#This Row],[Platform]],'Engagement Summary'!B:B,'Engagement Summary'!G:G,"Notavailable",0)</f>
        <v>5904</v>
      </c>
    </row>
    <row r="25" spans="1:26" x14ac:dyDescent="0.3">
      <c r="A25" t="s">
        <v>89</v>
      </c>
      <c r="B25" t="s">
        <v>33</v>
      </c>
      <c r="C25" s="4">
        <v>45661</v>
      </c>
      <c r="D25" t="s">
        <v>16</v>
      </c>
      <c r="E25" t="s">
        <v>82</v>
      </c>
      <c r="F25">
        <v>4838</v>
      </c>
      <c r="G25">
        <v>640</v>
      </c>
      <c r="H25">
        <v>128</v>
      </c>
      <c r="I25">
        <v>72570</v>
      </c>
      <c r="J25">
        <v>72396</v>
      </c>
      <c r="K25">
        <v>83</v>
      </c>
      <c r="L25" t="s">
        <v>62</v>
      </c>
      <c r="M25" t="s">
        <v>38</v>
      </c>
      <c r="N25" s="4">
        <v>45717</v>
      </c>
      <c r="O25" s="4">
        <v>45747</v>
      </c>
      <c r="P25" t="s">
        <v>637</v>
      </c>
      <c r="Q25">
        <f>Table1_2[[#This Row],[Likes]]+Table1_2[[#This Row],[Shares]]+Table1_2[[#This Row],[Comments]]</f>
        <v>5606</v>
      </c>
      <c r="R25" s="12">
        <f>(Table1_2[[#This Row],[Likes]]+Table1_2[[#This Row],[Shares]]+Table1_2[[#This Row],[Comments]])/Table1_2[[#This Row],[Impressions]]</f>
        <v>7.7249552156538517E-2</v>
      </c>
      <c r="S25" s="4">
        <f>_xlfn.XLOOKUP(Table1_2[[#This Row],[Campaign_Name]],'Campaign Metadata'!A:A,'Campaign Metadata'!B:B,"not found",0)</f>
        <v>45717</v>
      </c>
      <c r="T25" s="4">
        <f>_xlfn.XLOOKUP(Table1_2[[#This Row],[Campaign_Name]],'Campaign Metadata'!A:A,'Campaign Metadata'!C:C,"not found",0)</f>
        <v>45747</v>
      </c>
      <c r="U25" t="str">
        <f>IF(AND(Table1_2[[#This Row],[Date]]&gt;=Table1_2[[#This Row],[Campaign Start Date2]],Table1_2[[#This Row],[Date]]&lt;=Table1_2[[#This Row],[Campaign End Date3]]),"During Campaign","Before Campaign")</f>
        <v>Before Campaign</v>
      </c>
      <c r="V25" s="30">
        <f>_xlfn.XLOOKUP(Table1_2[[#This Row],[Campaign_Name]],'Campaign Metadata'!A:A,'Campaign Metadata'!E:E,"Not Available",0)</f>
        <v>180000</v>
      </c>
      <c r="W25">
        <f>Table1_2[[#This Row],[Engagement]]/Table1_2[[#This Row],[Campaign Budget]]</f>
        <v>3.1144444444444443E-2</v>
      </c>
      <c r="X25">
        <f>_xlfn.XLOOKUP(Table1_2[[#This Row],[Platform]],'Engagement Summary'!B:B,'Engagement Summary'!H:H,"Not Available",0)</f>
        <v>1047</v>
      </c>
      <c r="Y25">
        <f>WEEKNUM(Table1_2[[#This Row],[Date]])</f>
        <v>1</v>
      </c>
      <c r="Z25">
        <f>_xlfn.XLOOKUP(Table1_2[[#This Row],[Platform]],'Engagement Summary'!B:B,'Engagement Summary'!G:G,"Notavailable",0)</f>
        <v>5904</v>
      </c>
    </row>
    <row r="26" spans="1:26" x14ac:dyDescent="0.3">
      <c r="A26" t="s">
        <v>91</v>
      </c>
      <c r="B26" t="s">
        <v>43</v>
      </c>
      <c r="C26" s="4">
        <v>45715</v>
      </c>
      <c r="D26" t="s">
        <v>22</v>
      </c>
      <c r="E26" t="s">
        <v>56</v>
      </c>
      <c r="F26">
        <v>1570</v>
      </c>
      <c r="G26">
        <v>187</v>
      </c>
      <c r="H26">
        <v>260</v>
      </c>
      <c r="I26">
        <v>25120</v>
      </c>
      <c r="J26">
        <v>24613</v>
      </c>
      <c r="K26">
        <v>133</v>
      </c>
      <c r="L26" t="s">
        <v>30</v>
      </c>
      <c r="M26" t="s">
        <v>38</v>
      </c>
      <c r="N26" s="4">
        <v>45717</v>
      </c>
      <c r="O26" s="4">
        <v>45747</v>
      </c>
      <c r="P26" t="s">
        <v>637</v>
      </c>
      <c r="Q26">
        <f>Table1_2[[#This Row],[Likes]]+Table1_2[[#This Row],[Shares]]+Table1_2[[#This Row],[Comments]]</f>
        <v>2017</v>
      </c>
      <c r="R26" s="12">
        <f>(Table1_2[[#This Row],[Likes]]+Table1_2[[#This Row],[Shares]]+Table1_2[[#This Row],[Comments]])/Table1_2[[#This Row],[Impressions]]</f>
        <v>8.0294585987261149E-2</v>
      </c>
      <c r="S26" s="4">
        <f>_xlfn.XLOOKUP(Table1_2[[#This Row],[Campaign_Name]],'Campaign Metadata'!A:A,'Campaign Metadata'!B:B,"not found",0)</f>
        <v>45717</v>
      </c>
      <c r="T26" s="4">
        <f>_xlfn.XLOOKUP(Table1_2[[#This Row],[Campaign_Name]],'Campaign Metadata'!A:A,'Campaign Metadata'!C:C,"not found",0)</f>
        <v>45747</v>
      </c>
      <c r="U26" t="str">
        <f>IF(AND(Table1_2[[#This Row],[Date]]&gt;=Table1_2[[#This Row],[Campaign Start Date2]],Table1_2[[#This Row],[Date]]&lt;=Table1_2[[#This Row],[Campaign End Date3]]),"During Campaign","Before Campaign")</f>
        <v>Before Campaign</v>
      </c>
      <c r="V26" s="30">
        <f>_xlfn.XLOOKUP(Table1_2[[#This Row],[Campaign_Name]],'Campaign Metadata'!A:A,'Campaign Metadata'!E:E,"Not Available",0)</f>
        <v>180000</v>
      </c>
      <c r="W26">
        <f>Table1_2[[#This Row],[Engagement]]/Table1_2[[#This Row],[Campaign Budget]]</f>
        <v>1.1205555555555555E-2</v>
      </c>
      <c r="X26">
        <f>_xlfn.XLOOKUP(Table1_2[[#This Row],[Platform]],'Engagement Summary'!B:B,'Engagement Summary'!H:H,"Not Available",0)</f>
        <v>1002</v>
      </c>
      <c r="Y26">
        <f>WEEKNUM(Table1_2[[#This Row],[Date]])</f>
        <v>9</v>
      </c>
      <c r="Z26">
        <f>_xlfn.XLOOKUP(Table1_2[[#This Row],[Platform]],'Engagement Summary'!B:B,'Engagement Summary'!G:G,"Notavailable",0)</f>
        <v>9566</v>
      </c>
    </row>
    <row r="27" spans="1:26" x14ac:dyDescent="0.3">
      <c r="A27" t="s">
        <v>93</v>
      </c>
      <c r="B27" t="s">
        <v>43</v>
      </c>
      <c r="C27" s="4">
        <v>45602</v>
      </c>
      <c r="D27" t="s">
        <v>74</v>
      </c>
      <c r="E27" t="s">
        <v>75</v>
      </c>
      <c r="F27">
        <v>1606</v>
      </c>
      <c r="G27">
        <v>547</v>
      </c>
      <c r="H27">
        <v>316</v>
      </c>
      <c r="I27">
        <v>32120</v>
      </c>
      <c r="J27">
        <v>31736</v>
      </c>
      <c r="K27">
        <v>225</v>
      </c>
      <c r="L27" t="s">
        <v>30</v>
      </c>
      <c r="M27" t="s">
        <v>25</v>
      </c>
      <c r="N27" s="4">
        <v>45566</v>
      </c>
      <c r="O27" s="4">
        <v>45596</v>
      </c>
      <c r="P27" t="s">
        <v>637</v>
      </c>
      <c r="Q27">
        <f>Table1_2[[#This Row],[Likes]]+Table1_2[[#This Row],[Shares]]+Table1_2[[#This Row],[Comments]]</f>
        <v>2469</v>
      </c>
      <c r="R27" s="12">
        <f>(Table1_2[[#This Row],[Likes]]+Table1_2[[#This Row],[Shares]]+Table1_2[[#This Row],[Comments]])/Table1_2[[#This Row],[Impressions]]</f>
        <v>7.6867995018679955E-2</v>
      </c>
      <c r="S27" s="4">
        <f>_xlfn.XLOOKUP(Table1_2[[#This Row],[Campaign_Name]],'Campaign Metadata'!A:A,'Campaign Metadata'!B:B,"not found",0)</f>
        <v>45566</v>
      </c>
      <c r="T27" s="4">
        <f>_xlfn.XLOOKUP(Table1_2[[#This Row],[Campaign_Name]],'Campaign Metadata'!A:A,'Campaign Metadata'!C:C,"not found",0)</f>
        <v>45596</v>
      </c>
      <c r="U27" t="str">
        <f>IF(AND(Table1_2[[#This Row],[Date]]&gt;=Table1_2[[#This Row],[Campaign Start Date2]],Table1_2[[#This Row],[Date]]&lt;=Table1_2[[#This Row],[Campaign End Date3]]),"During Campaign","Before Campaign")</f>
        <v>Before Campaign</v>
      </c>
      <c r="V27" s="30">
        <f>_xlfn.XLOOKUP(Table1_2[[#This Row],[Campaign_Name]],'Campaign Metadata'!A:A,'Campaign Metadata'!E:E,"Not Available",0)</f>
        <v>200000</v>
      </c>
      <c r="W27">
        <f>Table1_2[[#This Row],[Engagement]]/Table1_2[[#This Row],[Campaign Budget]]</f>
        <v>1.2345E-2</v>
      </c>
      <c r="X27">
        <f>_xlfn.XLOOKUP(Table1_2[[#This Row],[Platform]],'Engagement Summary'!B:B,'Engagement Summary'!H:H,"Not Available",0)</f>
        <v>1002</v>
      </c>
      <c r="Y27">
        <f>WEEKNUM(Table1_2[[#This Row],[Date]])</f>
        <v>45</v>
      </c>
      <c r="Z27">
        <f>_xlfn.XLOOKUP(Table1_2[[#This Row],[Platform]],'Engagement Summary'!B:B,'Engagement Summary'!G:G,"Notavailable",0)</f>
        <v>9566</v>
      </c>
    </row>
    <row r="28" spans="1:26" x14ac:dyDescent="0.3">
      <c r="A28" t="s">
        <v>93</v>
      </c>
      <c r="B28" t="s">
        <v>43</v>
      </c>
      <c r="C28" s="4">
        <v>45602</v>
      </c>
      <c r="D28" t="s">
        <v>74</v>
      </c>
      <c r="E28" t="s">
        <v>75</v>
      </c>
      <c r="F28">
        <v>1606</v>
      </c>
      <c r="G28">
        <v>547</v>
      </c>
      <c r="H28">
        <v>316</v>
      </c>
      <c r="I28">
        <v>32120</v>
      </c>
      <c r="J28">
        <v>31736</v>
      </c>
      <c r="K28">
        <v>225</v>
      </c>
      <c r="L28" t="s">
        <v>615</v>
      </c>
      <c r="M28" t="s">
        <v>25</v>
      </c>
      <c r="N28" s="4">
        <v>45566</v>
      </c>
      <c r="O28" s="4">
        <v>45596</v>
      </c>
      <c r="P28" t="s">
        <v>637</v>
      </c>
      <c r="Q28">
        <f>Table1_2[[#This Row],[Likes]]+Table1_2[[#This Row],[Shares]]+Table1_2[[#This Row],[Comments]]</f>
        <v>2469</v>
      </c>
      <c r="R28" s="12">
        <f>(Table1_2[[#This Row],[Likes]]+Table1_2[[#This Row],[Shares]]+Table1_2[[#This Row],[Comments]])/Table1_2[[#This Row],[Impressions]]</f>
        <v>7.6867995018679955E-2</v>
      </c>
      <c r="S28" s="4">
        <f>_xlfn.XLOOKUP(Table1_2[[#This Row],[Campaign_Name]],'Campaign Metadata'!A:A,'Campaign Metadata'!B:B,"not found",0)</f>
        <v>45566</v>
      </c>
      <c r="T28" s="4">
        <f>_xlfn.XLOOKUP(Table1_2[[#This Row],[Campaign_Name]],'Campaign Metadata'!A:A,'Campaign Metadata'!C:C,"not found",0)</f>
        <v>45596</v>
      </c>
      <c r="U28" t="str">
        <f>IF(AND(Table1_2[[#This Row],[Date]]&gt;=Table1_2[[#This Row],[Campaign Start Date2]],Table1_2[[#This Row],[Date]]&lt;=Table1_2[[#This Row],[Campaign End Date3]]),"During Campaign","Before Campaign")</f>
        <v>Before Campaign</v>
      </c>
      <c r="V28" s="30">
        <f>_xlfn.XLOOKUP(Table1_2[[#This Row],[Campaign_Name]],'Campaign Metadata'!A:A,'Campaign Metadata'!E:E,"Not Available",0)</f>
        <v>200000</v>
      </c>
      <c r="W28">
        <f>Table1_2[[#This Row],[Engagement]]/Table1_2[[#This Row],[Campaign Budget]]</f>
        <v>1.2345E-2</v>
      </c>
      <c r="X28">
        <f>_xlfn.XLOOKUP(Table1_2[[#This Row],[Platform]],'Engagement Summary'!B:B,'Engagement Summary'!H:H,"Not Available",0)</f>
        <v>1002</v>
      </c>
      <c r="Y28">
        <f>WEEKNUM(Table1_2[[#This Row],[Date]])</f>
        <v>45</v>
      </c>
      <c r="Z28">
        <f>_xlfn.XLOOKUP(Table1_2[[#This Row],[Platform]],'Engagement Summary'!B:B,'Engagement Summary'!G:G,"Notavailable",0)</f>
        <v>9566</v>
      </c>
    </row>
    <row r="29" spans="1:26" x14ac:dyDescent="0.3">
      <c r="A29" t="s">
        <v>96</v>
      </c>
      <c r="B29" t="s">
        <v>43</v>
      </c>
      <c r="C29" s="4">
        <v>45680</v>
      </c>
      <c r="D29" t="s">
        <v>74</v>
      </c>
      <c r="E29" t="s">
        <v>75</v>
      </c>
      <c r="F29">
        <v>3961</v>
      </c>
      <c r="G29">
        <v>761</v>
      </c>
      <c r="H29">
        <v>131</v>
      </c>
      <c r="I29">
        <v>67337</v>
      </c>
      <c r="J29">
        <v>66615</v>
      </c>
      <c r="K29">
        <v>161</v>
      </c>
      <c r="L29" t="s">
        <v>62</v>
      </c>
      <c r="M29" t="s">
        <v>31</v>
      </c>
      <c r="N29" s="4">
        <v>45651</v>
      </c>
      <c r="O29" s="4">
        <v>45667</v>
      </c>
      <c r="P29" t="s">
        <v>637</v>
      </c>
      <c r="Q29">
        <f>Table1_2[[#This Row],[Likes]]+Table1_2[[#This Row],[Shares]]+Table1_2[[#This Row],[Comments]]</f>
        <v>4853</v>
      </c>
      <c r="R29" s="12">
        <f>(Table1_2[[#This Row],[Likes]]+Table1_2[[#This Row],[Shares]]+Table1_2[[#This Row],[Comments]])/Table1_2[[#This Row],[Impressions]]</f>
        <v>7.2070332803659209E-2</v>
      </c>
      <c r="S29" s="4">
        <f>_xlfn.XLOOKUP(Table1_2[[#This Row],[Campaign_Name]],'Campaign Metadata'!A:A,'Campaign Metadata'!B:B,"not found",0)</f>
        <v>45651</v>
      </c>
      <c r="T29" s="4">
        <f>_xlfn.XLOOKUP(Table1_2[[#This Row],[Campaign_Name]],'Campaign Metadata'!A:A,'Campaign Metadata'!C:C,"not found",0)</f>
        <v>45667</v>
      </c>
      <c r="U29" t="str">
        <f>IF(AND(Table1_2[[#This Row],[Date]]&gt;=Table1_2[[#This Row],[Campaign Start Date2]],Table1_2[[#This Row],[Date]]&lt;=Table1_2[[#This Row],[Campaign End Date3]]),"During Campaign","Before Campaign")</f>
        <v>Before Campaign</v>
      </c>
      <c r="V29" s="30">
        <f>_xlfn.XLOOKUP(Table1_2[[#This Row],[Campaign_Name]],'Campaign Metadata'!A:A,'Campaign Metadata'!E:E,"Not Available",0)</f>
        <v>250000</v>
      </c>
      <c r="W29">
        <f>Table1_2[[#This Row],[Engagement]]/Table1_2[[#This Row],[Campaign Budget]]</f>
        <v>1.9411999999999999E-2</v>
      </c>
      <c r="X29">
        <f>_xlfn.XLOOKUP(Table1_2[[#This Row],[Platform]],'Engagement Summary'!B:B,'Engagement Summary'!H:H,"Not Available",0)</f>
        <v>1002</v>
      </c>
      <c r="Y29">
        <f>WEEKNUM(Table1_2[[#This Row],[Date]])</f>
        <v>4</v>
      </c>
      <c r="Z29">
        <f>_xlfn.XLOOKUP(Table1_2[[#This Row],[Platform]],'Engagement Summary'!B:B,'Engagement Summary'!G:G,"Notavailable",0)</f>
        <v>9566</v>
      </c>
    </row>
    <row r="30" spans="1:26" x14ac:dyDescent="0.3">
      <c r="A30" t="s">
        <v>98</v>
      </c>
      <c r="B30" t="s">
        <v>14</v>
      </c>
      <c r="C30" s="4">
        <v>45757</v>
      </c>
      <c r="D30" t="s">
        <v>45</v>
      </c>
      <c r="E30" t="s">
        <v>49</v>
      </c>
      <c r="F30">
        <v>3128</v>
      </c>
      <c r="G30">
        <v>211</v>
      </c>
      <c r="H30">
        <v>197</v>
      </c>
      <c r="I30">
        <v>59432</v>
      </c>
      <c r="J30">
        <v>59182</v>
      </c>
      <c r="K30">
        <v>238</v>
      </c>
      <c r="L30" t="s">
        <v>37</v>
      </c>
      <c r="M30" t="s">
        <v>617</v>
      </c>
      <c r="N30" s="4">
        <v>0</v>
      </c>
      <c r="O30" s="4">
        <v>0</v>
      </c>
      <c r="P30" t="s">
        <v>637</v>
      </c>
      <c r="Q30">
        <f>Table1_2[[#This Row],[Likes]]+Table1_2[[#This Row],[Shares]]+Table1_2[[#This Row],[Comments]]</f>
        <v>3536</v>
      </c>
      <c r="R30" s="12">
        <f>(Table1_2[[#This Row],[Likes]]+Table1_2[[#This Row],[Shares]]+Table1_2[[#This Row],[Comments]])/Table1_2[[#This Row],[Impressions]]</f>
        <v>5.9496567505720827E-2</v>
      </c>
      <c r="S30" s="4" t="str">
        <f>_xlfn.XLOOKUP(Table1_2[[#This Row],[Campaign_Name]],'Campaign Metadata'!A:A,'Campaign Metadata'!B:B,"not found",0)</f>
        <v>not found</v>
      </c>
      <c r="T30" s="4" t="str">
        <f>_xlfn.XLOOKUP(Table1_2[[#This Row],[Campaign_Name]],'Campaign Metadata'!A:A,'Campaign Metadata'!C:C,"not found",0)</f>
        <v>not found</v>
      </c>
      <c r="U30" t="str">
        <f>IF(AND(Table1_2[[#This Row],[Date]]&gt;=Table1_2[[#This Row],[Campaign Start Date2]],Table1_2[[#This Row],[Date]]&lt;=Table1_2[[#This Row],[Campaign End Date3]]),"During Campaign","Before Campaign")</f>
        <v>Before Campaign</v>
      </c>
      <c r="V30" s="30" t="str">
        <f>_xlfn.XLOOKUP(Table1_2[[#This Row],[Campaign_Name]],'Campaign Metadata'!A:A,'Campaign Metadata'!E:E,"Not Available",0)</f>
        <v>Not Available</v>
      </c>
      <c r="W30" t="e">
        <f>Table1_2[[#This Row],[Engagement]]/Table1_2[[#This Row],[Campaign Budget]]</f>
        <v>#VALUE!</v>
      </c>
      <c r="X30">
        <f>_xlfn.XLOOKUP(Table1_2[[#This Row],[Platform]],'Engagement Summary'!B:B,'Engagement Summary'!H:H,"Not Available",0)</f>
        <v>415</v>
      </c>
      <c r="Y30">
        <f>WEEKNUM(Table1_2[[#This Row],[Date]])</f>
        <v>15</v>
      </c>
      <c r="Z30">
        <f>_xlfn.XLOOKUP(Table1_2[[#This Row],[Platform]],'Engagement Summary'!B:B,'Engagement Summary'!G:G,"Notavailable",0)</f>
        <v>26752</v>
      </c>
    </row>
    <row r="31" spans="1:26" x14ac:dyDescent="0.3">
      <c r="A31" t="s">
        <v>100</v>
      </c>
      <c r="B31" t="s">
        <v>27</v>
      </c>
      <c r="C31" s="4">
        <v>45752</v>
      </c>
      <c r="D31" t="s">
        <v>16</v>
      </c>
      <c r="E31" t="s">
        <v>29</v>
      </c>
      <c r="F31">
        <v>3009</v>
      </c>
      <c r="G31">
        <v>413</v>
      </c>
      <c r="H31">
        <v>358</v>
      </c>
      <c r="I31">
        <v>42126</v>
      </c>
      <c r="J31">
        <v>41309</v>
      </c>
      <c r="K31">
        <v>211</v>
      </c>
      <c r="L31" t="s">
        <v>62</v>
      </c>
      <c r="M31" t="s">
        <v>25</v>
      </c>
      <c r="N31" s="4">
        <v>45566</v>
      </c>
      <c r="O31" s="4">
        <v>45596</v>
      </c>
      <c r="P31" t="s">
        <v>637</v>
      </c>
      <c r="Q31">
        <f>Table1_2[[#This Row],[Likes]]+Table1_2[[#This Row],[Shares]]+Table1_2[[#This Row],[Comments]]</f>
        <v>3780</v>
      </c>
      <c r="R31" s="12">
        <f>(Table1_2[[#This Row],[Likes]]+Table1_2[[#This Row],[Shares]]+Table1_2[[#This Row],[Comments]])/Table1_2[[#This Row],[Impressions]]</f>
        <v>8.9730807577268201E-2</v>
      </c>
      <c r="S31" s="4">
        <f>_xlfn.XLOOKUP(Table1_2[[#This Row],[Campaign_Name]],'Campaign Metadata'!A:A,'Campaign Metadata'!B:B,"not found",0)</f>
        <v>45566</v>
      </c>
      <c r="T31" s="4">
        <f>_xlfn.XLOOKUP(Table1_2[[#This Row],[Campaign_Name]],'Campaign Metadata'!A:A,'Campaign Metadata'!C:C,"not found",0)</f>
        <v>45596</v>
      </c>
      <c r="U31" t="str">
        <f>IF(AND(Table1_2[[#This Row],[Date]]&gt;=Table1_2[[#This Row],[Campaign Start Date2]],Table1_2[[#This Row],[Date]]&lt;=Table1_2[[#This Row],[Campaign End Date3]]),"During Campaign","Before Campaign")</f>
        <v>Before Campaign</v>
      </c>
      <c r="V31" s="30">
        <f>_xlfn.XLOOKUP(Table1_2[[#This Row],[Campaign_Name]],'Campaign Metadata'!A:A,'Campaign Metadata'!E:E,"Not Available",0)</f>
        <v>200000</v>
      </c>
      <c r="W31">
        <f>Table1_2[[#This Row],[Engagement]]/Table1_2[[#This Row],[Campaign Budget]]</f>
        <v>1.89E-2</v>
      </c>
      <c r="X31">
        <f>_xlfn.XLOOKUP(Table1_2[[#This Row],[Platform]],'Engagement Summary'!B:B,'Engagement Summary'!H:H,"Not Available",0)</f>
        <v>1090</v>
      </c>
      <c r="Y31">
        <f>WEEKNUM(Table1_2[[#This Row],[Date]])</f>
        <v>14</v>
      </c>
      <c r="Z31">
        <f>_xlfn.XLOOKUP(Table1_2[[#This Row],[Platform]],'Engagement Summary'!B:B,'Engagement Summary'!G:G,"Notavailable",0)</f>
        <v>30671</v>
      </c>
    </row>
    <row r="32" spans="1:26" x14ac:dyDescent="0.3">
      <c r="A32" t="s">
        <v>102</v>
      </c>
      <c r="B32" t="s">
        <v>27</v>
      </c>
      <c r="C32" s="4">
        <v>45552</v>
      </c>
      <c r="D32" t="s">
        <v>22</v>
      </c>
      <c r="E32" t="s">
        <v>104</v>
      </c>
      <c r="F32">
        <v>2076</v>
      </c>
      <c r="G32">
        <v>195</v>
      </c>
      <c r="H32">
        <v>104</v>
      </c>
      <c r="I32">
        <v>33216</v>
      </c>
      <c r="J32">
        <v>32244</v>
      </c>
      <c r="K32">
        <v>51</v>
      </c>
      <c r="L32" t="s">
        <v>62</v>
      </c>
      <c r="M32" t="s">
        <v>38</v>
      </c>
      <c r="N32" s="4">
        <v>45717</v>
      </c>
      <c r="O32" s="4">
        <v>45747</v>
      </c>
      <c r="P32" t="s">
        <v>637</v>
      </c>
      <c r="Q32">
        <f>Table1_2[[#This Row],[Likes]]+Table1_2[[#This Row],[Shares]]+Table1_2[[#This Row],[Comments]]</f>
        <v>2375</v>
      </c>
      <c r="R32" s="12">
        <f>(Table1_2[[#This Row],[Likes]]+Table1_2[[#This Row],[Shares]]+Table1_2[[#This Row],[Comments]])/Table1_2[[#This Row],[Impressions]]</f>
        <v>7.1501685934489398E-2</v>
      </c>
      <c r="S32" s="4">
        <f>_xlfn.XLOOKUP(Table1_2[[#This Row],[Campaign_Name]],'Campaign Metadata'!A:A,'Campaign Metadata'!B:B,"not found",0)</f>
        <v>45717</v>
      </c>
      <c r="T32" s="4">
        <f>_xlfn.XLOOKUP(Table1_2[[#This Row],[Campaign_Name]],'Campaign Metadata'!A:A,'Campaign Metadata'!C:C,"not found",0)</f>
        <v>45747</v>
      </c>
      <c r="U32" t="str">
        <f>IF(AND(Table1_2[[#This Row],[Date]]&gt;=Table1_2[[#This Row],[Campaign Start Date2]],Table1_2[[#This Row],[Date]]&lt;=Table1_2[[#This Row],[Campaign End Date3]]),"During Campaign","Before Campaign")</f>
        <v>Before Campaign</v>
      </c>
      <c r="V32" s="30">
        <f>_xlfn.XLOOKUP(Table1_2[[#This Row],[Campaign_Name]],'Campaign Metadata'!A:A,'Campaign Metadata'!E:E,"Not Available",0)</f>
        <v>180000</v>
      </c>
      <c r="W32">
        <f>Table1_2[[#This Row],[Engagement]]/Table1_2[[#This Row],[Campaign Budget]]</f>
        <v>1.3194444444444444E-2</v>
      </c>
      <c r="X32">
        <f>_xlfn.XLOOKUP(Table1_2[[#This Row],[Platform]],'Engagement Summary'!B:B,'Engagement Summary'!H:H,"Not Available",0)</f>
        <v>1090</v>
      </c>
      <c r="Y32">
        <f>WEEKNUM(Table1_2[[#This Row],[Date]])</f>
        <v>38</v>
      </c>
      <c r="Z32">
        <f>_xlfn.XLOOKUP(Table1_2[[#This Row],[Platform]],'Engagement Summary'!B:B,'Engagement Summary'!G:G,"Notavailable",0)</f>
        <v>30671</v>
      </c>
    </row>
    <row r="33" spans="1:26" x14ac:dyDescent="0.3">
      <c r="A33" t="s">
        <v>105</v>
      </c>
      <c r="B33" t="s">
        <v>33</v>
      </c>
      <c r="C33" s="4">
        <v>45720</v>
      </c>
      <c r="D33" t="s">
        <v>74</v>
      </c>
      <c r="E33" t="s">
        <v>85</v>
      </c>
      <c r="F33">
        <v>432</v>
      </c>
      <c r="G33">
        <v>624</v>
      </c>
      <c r="H33">
        <v>123</v>
      </c>
      <c r="I33">
        <v>6912</v>
      </c>
      <c r="J33">
        <v>6259</v>
      </c>
      <c r="K33">
        <v>79</v>
      </c>
      <c r="L33" t="s">
        <v>62</v>
      </c>
      <c r="M33" t="s">
        <v>38</v>
      </c>
      <c r="N33" s="4">
        <v>45717</v>
      </c>
      <c r="O33" s="4">
        <v>45747</v>
      </c>
      <c r="P33" t="s">
        <v>637</v>
      </c>
      <c r="Q33">
        <f>Table1_2[[#This Row],[Likes]]+Table1_2[[#This Row],[Shares]]+Table1_2[[#This Row],[Comments]]</f>
        <v>1179</v>
      </c>
      <c r="R33" s="12">
        <f>(Table1_2[[#This Row],[Likes]]+Table1_2[[#This Row],[Shares]]+Table1_2[[#This Row],[Comments]])/Table1_2[[#This Row],[Impressions]]</f>
        <v>0.17057291666666666</v>
      </c>
      <c r="S33" s="4">
        <f>_xlfn.XLOOKUP(Table1_2[[#This Row],[Campaign_Name]],'Campaign Metadata'!A:A,'Campaign Metadata'!B:B,"not found",0)</f>
        <v>45717</v>
      </c>
      <c r="T33" s="4">
        <f>_xlfn.XLOOKUP(Table1_2[[#This Row],[Campaign_Name]],'Campaign Metadata'!A:A,'Campaign Metadata'!C:C,"not found",0)</f>
        <v>45747</v>
      </c>
      <c r="U33" t="str">
        <f>IF(AND(Table1_2[[#This Row],[Date]]&gt;=Table1_2[[#This Row],[Campaign Start Date2]],Table1_2[[#This Row],[Date]]&lt;=Table1_2[[#This Row],[Campaign End Date3]]),"During Campaign","Before Campaign")</f>
        <v>During Campaign</v>
      </c>
      <c r="V33" s="30">
        <f>_xlfn.XLOOKUP(Table1_2[[#This Row],[Campaign_Name]],'Campaign Metadata'!A:A,'Campaign Metadata'!E:E,"Not Available",0)</f>
        <v>180000</v>
      </c>
      <c r="W33">
        <f>Table1_2[[#This Row],[Engagement]]/Table1_2[[#This Row],[Campaign Budget]]</f>
        <v>6.5500000000000003E-3</v>
      </c>
      <c r="X33">
        <f>_xlfn.XLOOKUP(Table1_2[[#This Row],[Platform]],'Engagement Summary'!B:B,'Engagement Summary'!H:H,"Not Available",0)</f>
        <v>1047</v>
      </c>
      <c r="Y33">
        <f>WEEKNUM(Table1_2[[#This Row],[Date]])</f>
        <v>10</v>
      </c>
      <c r="Z33">
        <f>_xlfn.XLOOKUP(Table1_2[[#This Row],[Platform]],'Engagement Summary'!B:B,'Engagement Summary'!G:G,"Notavailable",0)</f>
        <v>5904</v>
      </c>
    </row>
    <row r="34" spans="1:26" x14ac:dyDescent="0.3">
      <c r="A34" t="s">
        <v>107</v>
      </c>
      <c r="B34" t="s">
        <v>33</v>
      </c>
      <c r="C34" s="4">
        <v>45688</v>
      </c>
      <c r="D34" t="s">
        <v>45</v>
      </c>
      <c r="E34" t="s">
        <v>88</v>
      </c>
      <c r="F34">
        <v>2566</v>
      </c>
      <c r="G34">
        <v>118</v>
      </c>
      <c r="H34">
        <v>37</v>
      </c>
      <c r="I34">
        <v>12830</v>
      </c>
      <c r="J34">
        <v>12264</v>
      </c>
      <c r="K34">
        <v>221</v>
      </c>
      <c r="L34" t="s">
        <v>62</v>
      </c>
      <c r="M34" t="s">
        <v>31</v>
      </c>
      <c r="N34" s="4">
        <v>45651</v>
      </c>
      <c r="O34" s="4">
        <v>45667</v>
      </c>
      <c r="P34" t="s">
        <v>637</v>
      </c>
      <c r="Q34">
        <f>Table1_2[[#This Row],[Likes]]+Table1_2[[#This Row],[Shares]]+Table1_2[[#This Row],[Comments]]</f>
        <v>2721</v>
      </c>
      <c r="R34" s="12">
        <f>(Table1_2[[#This Row],[Likes]]+Table1_2[[#This Row],[Shares]]+Table1_2[[#This Row],[Comments]])/Table1_2[[#This Row],[Impressions]]</f>
        <v>0.21208106001558846</v>
      </c>
      <c r="S34" s="4">
        <f>_xlfn.XLOOKUP(Table1_2[[#This Row],[Campaign_Name]],'Campaign Metadata'!A:A,'Campaign Metadata'!B:B,"not found",0)</f>
        <v>45651</v>
      </c>
      <c r="T34" s="4">
        <f>_xlfn.XLOOKUP(Table1_2[[#This Row],[Campaign_Name]],'Campaign Metadata'!A:A,'Campaign Metadata'!C:C,"not found",0)</f>
        <v>45667</v>
      </c>
      <c r="U34" t="str">
        <f>IF(AND(Table1_2[[#This Row],[Date]]&gt;=Table1_2[[#This Row],[Campaign Start Date2]],Table1_2[[#This Row],[Date]]&lt;=Table1_2[[#This Row],[Campaign End Date3]]),"During Campaign","Before Campaign")</f>
        <v>Before Campaign</v>
      </c>
      <c r="V34" s="30">
        <f>_xlfn.XLOOKUP(Table1_2[[#This Row],[Campaign_Name]],'Campaign Metadata'!A:A,'Campaign Metadata'!E:E,"Not Available",0)</f>
        <v>250000</v>
      </c>
      <c r="W34">
        <f>Table1_2[[#This Row],[Engagement]]/Table1_2[[#This Row],[Campaign Budget]]</f>
        <v>1.0884E-2</v>
      </c>
      <c r="X34">
        <f>_xlfn.XLOOKUP(Table1_2[[#This Row],[Platform]],'Engagement Summary'!B:B,'Engagement Summary'!H:H,"Not Available",0)</f>
        <v>1047</v>
      </c>
      <c r="Y34">
        <f>WEEKNUM(Table1_2[[#This Row],[Date]])</f>
        <v>5</v>
      </c>
      <c r="Z34">
        <f>_xlfn.XLOOKUP(Table1_2[[#This Row],[Platform]],'Engagement Summary'!B:B,'Engagement Summary'!G:G,"Notavailable",0)</f>
        <v>5904</v>
      </c>
    </row>
    <row r="35" spans="1:26" x14ac:dyDescent="0.3">
      <c r="A35" t="s">
        <v>109</v>
      </c>
      <c r="B35" t="s">
        <v>33</v>
      </c>
      <c r="C35" s="4">
        <v>45713</v>
      </c>
      <c r="D35" t="s">
        <v>74</v>
      </c>
      <c r="E35" t="s">
        <v>85</v>
      </c>
      <c r="F35">
        <v>3095</v>
      </c>
      <c r="G35">
        <v>39</v>
      </c>
      <c r="H35">
        <v>78</v>
      </c>
      <c r="I35">
        <v>55710</v>
      </c>
      <c r="J35">
        <v>54808</v>
      </c>
      <c r="K35">
        <v>93</v>
      </c>
      <c r="L35" t="s">
        <v>37</v>
      </c>
      <c r="M35" t="s">
        <v>617</v>
      </c>
      <c r="N35" s="4">
        <v>0</v>
      </c>
      <c r="O35" s="4">
        <v>0</v>
      </c>
      <c r="P35" t="s">
        <v>637</v>
      </c>
      <c r="Q35">
        <f>Table1_2[[#This Row],[Likes]]+Table1_2[[#This Row],[Shares]]+Table1_2[[#This Row],[Comments]]</f>
        <v>3212</v>
      </c>
      <c r="R35" s="12">
        <f>(Table1_2[[#This Row],[Likes]]+Table1_2[[#This Row],[Shares]]+Table1_2[[#This Row],[Comments]])/Table1_2[[#This Row],[Impressions]]</f>
        <v>5.7655717106444085E-2</v>
      </c>
      <c r="S35" s="4" t="str">
        <f>_xlfn.XLOOKUP(Table1_2[[#This Row],[Campaign_Name]],'Campaign Metadata'!A:A,'Campaign Metadata'!B:B,"not found",0)</f>
        <v>not found</v>
      </c>
      <c r="T35" s="4" t="str">
        <f>_xlfn.XLOOKUP(Table1_2[[#This Row],[Campaign_Name]],'Campaign Metadata'!A:A,'Campaign Metadata'!C:C,"not found",0)</f>
        <v>not found</v>
      </c>
      <c r="U35" t="str">
        <f>IF(AND(Table1_2[[#This Row],[Date]]&gt;=Table1_2[[#This Row],[Campaign Start Date2]],Table1_2[[#This Row],[Date]]&lt;=Table1_2[[#This Row],[Campaign End Date3]]),"During Campaign","Before Campaign")</f>
        <v>Before Campaign</v>
      </c>
      <c r="V35" s="30" t="str">
        <f>_xlfn.XLOOKUP(Table1_2[[#This Row],[Campaign_Name]],'Campaign Metadata'!A:A,'Campaign Metadata'!E:E,"Not Available",0)</f>
        <v>Not Available</v>
      </c>
      <c r="W35" t="e">
        <f>Table1_2[[#This Row],[Engagement]]/Table1_2[[#This Row],[Campaign Budget]]</f>
        <v>#VALUE!</v>
      </c>
      <c r="X35">
        <f>_xlfn.XLOOKUP(Table1_2[[#This Row],[Platform]],'Engagement Summary'!B:B,'Engagement Summary'!H:H,"Not Available",0)</f>
        <v>1047</v>
      </c>
      <c r="Y35">
        <f>WEEKNUM(Table1_2[[#This Row],[Date]])</f>
        <v>9</v>
      </c>
      <c r="Z35">
        <f>_xlfn.XLOOKUP(Table1_2[[#This Row],[Platform]],'Engagement Summary'!B:B,'Engagement Summary'!G:G,"Notavailable",0)</f>
        <v>5904</v>
      </c>
    </row>
    <row r="36" spans="1:26" x14ac:dyDescent="0.3">
      <c r="A36" t="s">
        <v>111</v>
      </c>
      <c r="B36" t="s">
        <v>33</v>
      </c>
      <c r="C36" s="4">
        <v>45642</v>
      </c>
      <c r="D36" t="s">
        <v>22</v>
      </c>
      <c r="E36" t="s">
        <v>113</v>
      </c>
      <c r="F36">
        <v>438</v>
      </c>
      <c r="G36">
        <v>153</v>
      </c>
      <c r="H36">
        <v>275</v>
      </c>
      <c r="I36">
        <v>3066</v>
      </c>
      <c r="J36">
        <v>2701</v>
      </c>
      <c r="K36">
        <v>282</v>
      </c>
      <c r="L36" t="s">
        <v>30</v>
      </c>
      <c r="M36" t="s">
        <v>25</v>
      </c>
      <c r="N36" s="4">
        <v>45566</v>
      </c>
      <c r="O36" s="4">
        <v>45596</v>
      </c>
      <c r="P36" t="s">
        <v>637</v>
      </c>
      <c r="Q36">
        <f>Table1_2[[#This Row],[Likes]]+Table1_2[[#This Row],[Shares]]+Table1_2[[#This Row],[Comments]]</f>
        <v>866</v>
      </c>
      <c r="R36" s="12">
        <f>(Table1_2[[#This Row],[Likes]]+Table1_2[[#This Row],[Shares]]+Table1_2[[#This Row],[Comments]])/Table1_2[[#This Row],[Impressions]]</f>
        <v>0.28245270711024134</v>
      </c>
      <c r="S36" s="4">
        <f>_xlfn.XLOOKUP(Table1_2[[#This Row],[Campaign_Name]],'Campaign Metadata'!A:A,'Campaign Metadata'!B:B,"not found",0)</f>
        <v>45566</v>
      </c>
      <c r="T36" s="4">
        <f>_xlfn.XLOOKUP(Table1_2[[#This Row],[Campaign_Name]],'Campaign Metadata'!A:A,'Campaign Metadata'!C:C,"not found",0)</f>
        <v>45596</v>
      </c>
      <c r="U36" t="str">
        <f>IF(AND(Table1_2[[#This Row],[Date]]&gt;=Table1_2[[#This Row],[Campaign Start Date2]],Table1_2[[#This Row],[Date]]&lt;=Table1_2[[#This Row],[Campaign End Date3]]),"During Campaign","Before Campaign")</f>
        <v>Before Campaign</v>
      </c>
      <c r="V36" s="30">
        <f>_xlfn.XLOOKUP(Table1_2[[#This Row],[Campaign_Name]],'Campaign Metadata'!A:A,'Campaign Metadata'!E:E,"Not Available",0)</f>
        <v>200000</v>
      </c>
      <c r="W36">
        <f>Table1_2[[#This Row],[Engagement]]/Table1_2[[#This Row],[Campaign Budget]]</f>
        <v>4.3299999999999996E-3</v>
      </c>
      <c r="X36">
        <f>_xlfn.XLOOKUP(Table1_2[[#This Row],[Platform]],'Engagement Summary'!B:B,'Engagement Summary'!H:H,"Not Available",0)</f>
        <v>1047</v>
      </c>
      <c r="Y36">
        <f>WEEKNUM(Table1_2[[#This Row],[Date]])</f>
        <v>51</v>
      </c>
      <c r="Z36">
        <f>_xlfn.XLOOKUP(Table1_2[[#This Row],[Platform]],'Engagement Summary'!B:B,'Engagement Summary'!G:G,"Notavailable",0)</f>
        <v>5904</v>
      </c>
    </row>
    <row r="37" spans="1:26" x14ac:dyDescent="0.3">
      <c r="A37" t="s">
        <v>114</v>
      </c>
      <c r="B37" t="s">
        <v>14</v>
      </c>
      <c r="C37" s="4">
        <v>45504</v>
      </c>
      <c r="D37" t="s">
        <v>45</v>
      </c>
      <c r="E37" t="s">
        <v>49</v>
      </c>
      <c r="F37">
        <v>2278</v>
      </c>
      <c r="G37">
        <v>10</v>
      </c>
      <c r="H37">
        <v>321</v>
      </c>
      <c r="I37">
        <v>13668</v>
      </c>
      <c r="J37">
        <v>12676</v>
      </c>
      <c r="K37">
        <v>275</v>
      </c>
      <c r="L37" t="s">
        <v>37</v>
      </c>
      <c r="M37" t="s">
        <v>19</v>
      </c>
      <c r="N37" s="4">
        <v>45458</v>
      </c>
      <c r="O37" s="4">
        <v>45488</v>
      </c>
      <c r="P37" t="s">
        <v>637</v>
      </c>
      <c r="Q37">
        <f>Table1_2[[#This Row],[Likes]]+Table1_2[[#This Row],[Shares]]+Table1_2[[#This Row],[Comments]]</f>
        <v>2609</v>
      </c>
      <c r="R37" s="12">
        <f>(Table1_2[[#This Row],[Likes]]+Table1_2[[#This Row],[Shares]]+Table1_2[[#This Row],[Comments]])/Table1_2[[#This Row],[Impressions]]</f>
        <v>0.19088381621305239</v>
      </c>
      <c r="S37" s="4">
        <f>_xlfn.XLOOKUP(Table1_2[[#This Row],[Campaign_Name]],'Campaign Metadata'!A:A,'Campaign Metadata'!B:B,"not found",0)</f>
        <v>45458</v>
      </c>
      <c r="T37" s="4">
        <f>_xlfn.XLOOKUP(Table1_2[[#This Row],[Campaign_Name]],'Campaign Metadata'!A:A,'Campaign Metadata'!C:C,"not found",0)</f>
        <v>45488</v>
      </c>
      <c r="U37" t="str">
        <f>IF(AND(Table1_2[[#This Row],[Date]]&gt;=Table1_2[[#This Row],[Campaign Start Date2]],Table1_2[[#This Row],[Date]]&lt;=Table1_2[[#This Row],[Campaign End Date3]]),"During Campaign","Before Campaign")</f>
        <v>Before Campaign</v>
      </c>
      <c r="V37" s="30">
        <f>_xlfn.XLOOKUP(Table1_2[[#This Row],[Campaign_Name]],'Campaign Metadata'!A:A,'Campaign Metadata'!E:E,"Not Available",0)</f>
        <v>150000</v>
      </c>
      <c r="W37">
        <f>Table1_2[[#This Row],[Engagement]]/Table1_2[[#This Row],[Campaign Budget]]</f>
        <v>1.7393333333333334E-2</v>
      </c>
      <c r="X37">
        <f>_xlfn.XLOOKUP(Table1_2[[#This Row],[Platform]],'Engagement Summary'!B:B,'Engagement Summary'!H:H,"Not Available",0)</f>
        <v>415</v>
      </c>
      <c r="Y37">
        <f>WEEKNUM(Table1_2[[#This Row],[Date]])</f>
        <v>31</v>
      </c>
      <c r="Z37">
        <f>_xlfn.XLOOKUP(Table1_2[[#This Row],[Platform]],'Engagement Summary'!B:B,'Engagement Summary'!G:G,"Notavailable",0)</f>
        <v>26752</v>
      </c>
    </row>
    <row r="38" spans="1:26" x14ac:dyDescent="0.3">
      <c r="A38" t="s">
        <v>116</v>
      </c>
      <c r="B38" t="s">
        <v>43</v>
      </c>
      <c r="C38" s="4">
        <v>45525</v>
      </c>
      <c r="D38" t="s">
        <v>52</v>
      </c>
      <c r="E38" t="s">
        <v>59</v>
      </c>
      <c r="F38">
        <v>1407</v>
      </c>
      <c r="G38">
        <v>400</v>
      </c>
      <c r="H38">
        <v>351</v>
      </c>
      <c r="I38">
        <v>16884</v>
      </c>
      <c r="J38">
        <v>15954</v>
      </c>
      <c r="K38">
        <v>113</v>
      </c>
      <c r="L38" t="s">
        <v>30</v>
      </c>
      <c r="M38" t="s">
        <v>19</v>
      </c>
      <c r="N38" s="4">
        <v>45458</v>
      </c>
      <c r="O38" s="4">
        <v>45488</v>
      </c>
      <c r="P38" t="s">
        <v>637</v>
      </c>
      <c r="Q38">
        <f>Table1_2[[#This Row],[Likes]]+Table1_2[[#This Row],[Shares]]+Table1_2[[#This Row],[Comments]]</f>
        <v>2158</v>
      </c>
      <c r="R38" s="12">
        <f>(Table1_2[[#This Row],[Likes]]+Table1_2[[#This Row],[Shares]]+Table1_2[[#This Row],[Comments]])/Table1_2[[#This Row],[Impressions]]</f>
        <v>0.12781331438047855</v>
      </c>
      <c r="S38" s="4">
        <f>_xlfn.XLOOKUP(Table1_2[[#This Row],[Campaign_Name]],'Campaign Metadata'!A:A,'Campaign Metadata'!B:B,"not found",0)</f>
        <v>45458</v>
      </c>
      <c r="T38" s="4">
        <f>_xlfn.XLOOKUP(Table1_2[[#This Row],[Campaign_Name]],'Campaign Metadata'!A:A,'Campaign Metadata'!C:C,"not found",0)</f>
        <v>45488</v>
      </c>
      <c r="U38" t="str">
        <f>IF(AND(Table1_2[[#This Row],[Date]]&gt;=Table1_2[[#This Row],[Campaign Start Date2]],Table1_2[[#This Row],[Date]]&lt;=Table1_2[[#This Row],[Campaign End Date3]]),"During Campaign","Before Campaign")</f>
        <v>Before Campaign</v>
      </c>
      <c r="V38" s="30">
        <f>_xlfn.XLOOKUP(Table1_2[[#This Row],[Campaign_Name]],'Campaign Metadata'!A:A,'Campaign Metadata'!E:E,"Not Available",0)</f>
        <v>150000</v>
      </c>
      <c r="W38">
        <f>Table1_2[[#This Row],[Engagement]]/Table1_2[[#This Row],[Campaign Budget]]</f>
        <v>1.4386666666666667E-2</v>
      </c>
      <c r="X38">
        <f>_xlfn.XLOOKUP(Table1_2[[#This Row],[Platform]],'Engagement Summary'!B:B,'Engagement Summary'!H:H,"Not Available",0)</f>
        <v>1002</v>
      </c>
      <c r="Y38">
        <f>WEEKNUM(Table1_2[[#This Row],[Date]])</f>
        <v>34</v>
      </c>
      <c r="Z38">
        <f>_xlfn.XLOOKUP(Table1_2[[#This Row],[Platform]],'Engagement Summary'!B:B,'Engagement Summary'!G:G,"Notavailable",0)</f>
        <v>9566</v>
      </c>
    </row>
    <row r="39" spans="1:26" x14ac:dyDescent="0.3">
      <c r="A39" t="s">
        <v>118</v>
      </c>
      <c r="B39" t="s">
        <v>43</v>
      </c>
      <c r="C39" s="4">
        <v>45742</v>
      </c>
      <c r="D39" t="s">
        <v>22</v>
      </c>
      <c r="E39" t="s">
        <v>56</v>
      </c>
      <c r="F39">
        <v>1652</v>
      </c>
      <c r="G39">
        <v>89</v>
      </c>
      <c r="H39">
        <v>357</v>
      </c>
      <c r="I39">
        <v>29736</v>
      </c>
      <c r="J39">
        <v>28771</v>
      </c>
      <c r="K39">
        <v>215</v>
      </c>
      <c r="L39" t="s">
        <v>30</v>
      </c>
      <c r="M39" t="s">
        <v>31</v>
      </c>
      <c r="N39" s="4">
        <v>45651</v>
      </c>
      <c r="O39" s="4">
        <v>45667</v>
      </c>
      <c r="P39" t="s">
        <v>637</v>
      </c>
      <c r="Q39">
        <f>Table1_2[[#This Row],[Likes]]+Table1_2[[#This Row],[Shares]]+Table1_2[[#This Row],[Comments]]</f>
        <v>2098</v>
      </c>
      <c r="R39" s="12">
        <f>(Table1_2[[#This Row],[Likes]]+Table1_2[[#This Row],[Shares]]+Table1_2[[#This Row],[Comments]])/Table1_2[[#This Row],[Impressions]]</f>
        <v>7.055421038471886E-2</v>
      </c>
      <c r="S39" s="4">
        <f>_xlfn.XLOOKUP(Table1_2[[#This Row],[Campaign_Name]],'Campaign Metadata'!A:A,'Campaign Metadata'!B:B,"not found",0)</f>
        <v>45651</v>
      </c>
      <c r="T39" s="4">
        <f>_xlfn.XLOOKUP(Table1_2[[#This Row],[Campaign_Name]],'Campaign Metadata'!A:A,'Campaign Metadata'!C:C,"not found",0)</f>
        <v>45667</v>
      </c>
      <c r="U39" t="str">
        <f>IF(AND(Table1_2[[#This Row],[Date]]&gt;=Table1_2[[#This Row],[Campaign Start Date2]],Table1_2[[#This Row],[Date]]&lt;=Table1_2[[#This Row],[Campaign End Date3]]),"During Campaign","Before Campaign")</f>
        <v>Before Campaign</v>
      </c>
      <c r="V39" s="30">
        <f>_xlfn.XLOOKUP(Table1_2[[#This Row],[Campaign_Name]],'Campaign Metadata'!A:A,'Campaign Metadata'!E:E,"Not Available",0)</f>
        <v>250000</v>
      </c>
      <c r="W39">
        <f>Table1_2[[#This Row],[Engagement]]/Table1_2[[#This Row],[Campaign Budget]]</f>
        <v>8.3920000000000002E-3</v>
      </c>
      <c r="X39">
        <f>_xlfn.XLOOKUP(Table1_2[[#This Row],[Platform]],'Engagement Summary'!B:B,'Engagement Summary'!H:H,"Not Available",0)</f>
        <v>1002</v>
      </c>
      <c r="Y39">
        <f>WEEKNUM(Table1_2[[#This Row],[Date]])</f>
        <v>13</v>
      </c>
      <c r="Z39">
        <f>_xlfn.XLOOKUP(Table1_2[[#This Row],[Platform]],'Engagement Summary'!B:B,'Engagement Summary'!G:G,"Notavailable",0)</f>
        <v>9566</v>
      </c>
    </row>
    <row r="40" spans="1:26" x14ac:dyDescent="0.3">
      <c r="A40" t="s">
        <v>120</v>
      </c>
      <c r="B40" t="s">
        <v>33</v>
      </c>
      <c r="C40" s="4">
        <v>45626</v>
      </c>
      <c r="D40" t="s">
        <v>74</v>
      </c>
      <c r="E40" t="s">
        <v>85</v>
      </c>
      <c r="F40">
        <v>3775</v>
      </c>
      <c r="G40">
        <v>16</v>
      </c>
      <c r="H40">
        <v>239</v>
      </c>
      <c r="I40">
        <v>33975</v>
      </c>
      <c r="J40">
        <v>33310</v>
      </c>
      <c r="K40">
        <v>271</v>
      </c>
      <c r="L40" t="s">
        <v>62</v>
      </c>
      <c r="M40" t="s">
        <v>25</v>
      </c>
      <c r="N40" s="4">
        <v>45566</v>
      </c>
      <c r="O40" s="4">
        <v>45596</v>
      </c>
      <c r="P40" t="s">
        <v>637</v>
      </c>
      <c r="Q40">
        <f>Table1_2[[#This Row],[Likes]]+Table1_2[[#This Row],[Shares]]+Table1_2[[#This Row],[Comments]]</f>
        <v>4030</v>
      </c>
      <c r="R40" s="12">
        <f>(Table1_2[[#This Row],[Likes]]+Table1_2[[#This Row],[Shares]]+Table1_2[[#This Row],[Comments]])/Table1_2[[#This Row],[Impressions]]</f>
        <v>0.11861662987490802</v>
      </c>
      <c r="S40" s="4">
        <f>_xlfn.XLOOKUP(Table1_2[[#This Row],[Campaign_Name]],'Campaign Metadata'!A:A,'Campaign Metadata'!B:B,"not found",0)</f>
        <v>45566</v>
      </c>
      <c r="T40" s="4">
        <f>_xlfn.XLOOKUP(Table1_2[[#This Row],[Campaign_Name]],'Campaign Metadata'!A:A,'Campaign Metadata'!C:C,"not found",0)</f>
        <v>45596</v>
      </c>
      <c r="U40" t="str">
        <f>IF(AND(Table1_2[[#This Row],[Date]]&gt;=Table1_2[[#This Row],[Campaign Start Date2]],Table1_2[[#This Row],[Date]]&lt;=Table1_2[[#This Row],[Campaign End Date3]]),"During Campaign","Before Campaign")</f>
        <v>Before Campaign</v>
      </c>
      <c r="V40" s="30">
        <f>_xlfn.XLOOKUP(Table1_2[[#This Row],[Campaign_Name]],'Campaign Metadata'!A:A,'Campaign Metadata'!E:E,"Not Available",0)</f>
        <v>200000</v>
      </c>
      <c r="W40">
        <f>Table1_2[[#This Row],[Engagement]]/Table1_2[[#This Row],[Campaign Budget]]</f>
        <v>2.0150000000000001E-2</v>
      </c>
      <c r="X40">
        <f>_xlfn.XLOOKUP(Table1_2[[#This Row],[Platform]],'Engagement Summary'!B:B,'Engagement Summary'!H:H,"Not Available",0)</f>
        <v>1047</v>
      </c>
      <c r="Y40">
        <f>WEEKNUM(Table1_2[[#This Row],[Date]])</f>
        <v>48</v>
      </c>
      <c r="Z40">
        <f>_xlfn.XLOOKUP(Table1_2[[#This Row],[Platform]],'Engagement Summary'!B:B,'Engagement Summary'!G:G,"Notavailable",0)</f>
        <v>5904</v>
      </c>
    </row>
    <row r="41" spans="1:26" x14ac:dyDescent="0.3">
      <c r="A41" t="s">
        <v>122</v>
      </c>
      <c r="B41" t="s">
        <v>33</v>
      </c>
      <c r="C41" s="4">
        <v>45766</v>
      </c>
      <c r="D41" t="s">
        <v>35</v>
      </c>
      <c r="E41" t="s">
        <v>36</v>
      </c>
      <c r="F41">
        <v>4518</v>
      </c>
      <c r="G41">
        <v>285</v>
      </c>
      <c r="H41">
        <v>383</v>
      </c>
      <c r="I41">
        <v>67770</v>
      </c>
      <c r="J41">
        <v>67621</v>
      </c>
      <c r="K41">
        <v>31</v>
      </c>
      <c r="L41" t="s">
        <v>37</v>
      </c>
      <c r="M41" t="s">
        <v>25</v>
      </c>
      <c r="N41" s="4">
        <v>45566</v>
      </c>
      <c r="O41" s="4">
        <v>45596</v>
      </c>
      <c r="P41" t="s">
        <v>637</v>
      </c>
      <c r="Q41">
        <f>Table1_2[[#This Row],[Likes]]+Table1_2[[#This Row],[Shares]]+Table1_2[[#This Row],[Comments]]</f>
        <v>5186</v>
      </c>
      <c r="R41" s="12">
        <f>(Table1_2[[#This Row],[Likes]]+Table1_2[[#This Row],[Shares]]+Table1_2[[#This Row],[Comments]])/Table1_2[[#This Row],[Impressions]]</f>
        <v>7.6523535487678915E-2</v>
      </c>
      <c r="S41" s="4">
        <f>_xlfn.XLOOKUP(Table1_2[[#This Row],[Campaign_Name]],'Campaign Metadata'!A:A,'Campaign Metadata'!B:B,"not found",0)</f>
        <v>45566</v>
      </c>
      <c r="T41" s="4">
        <f>_xlfn.XLOOKUP(Table1_2[[#This Row],[Campaign_Name]],'Campaign Metadata'!A:A,'Campaign Metadata'!C:C,"not found",0)</f>
        <v>45596</v>
      </c>
      <c r="U41" t="str">
        <f>IF(AND(Table1_2[[#This Row],[Date]]&gt;=Table1_2[[#This Row],[Campaign Start Date2]],Table1_2[[#This Row],[Date]]&lt;=Table1_2[[#This Row],[Campaign End Date3]]),"During Campaign","Before Campaign")</f>
        <v>Before Campaign</v>
      </c>
      <c r="V41" s="30">
        <f>_xlfn.XLOOKUP(Table1_2[[#This Row],[Campaign_Name]],'Campaign Metadata'!A:A,'Campaign Metadata'!E:E,"Not Available",0)</f>
        <v>200000</v>
      </c>
      <c r="W41">
        <f>Table1_2[[#This Row],[Engagement]]/Table1_2[[#This Row],[Campaign Budget]]</f>
        <v>2.5930000000000002E-2</v>
      </c>
      <c r="X41">
        <f>_xlfn.XLOOKUP(Table1_2[[#This Row],[Platform]],'Engagement Summary'!B:B,'Engagement Summary'!H:H,"Not Available",0)</f>
        <v>1047</v>
      </c>
      <c r="Y41">
        <f>WEEKNUM(Table1_2[[#This Row],[Date]])</f>
        <v>16</v>
      </c>
      <c r="Z41">
        <f>_xlfn.XLOOKUP(Table1_2[[#This Row],[Platform]],'Engagement Summary'!B:B,'Engagement Summary'!G:G,"Notavailable",0)</f>
        <v>5904</v>
      </c>
    </row>
    <row r="42" spans="1:26" x14ac:dyDescent="0.3">
      <c r="A42" t="s">
        <v>124</v>
      </c>
      <c r="B42" t="s">
        <v>43</v>
      </c>
      <c r="C42" s="4">
        <v>45663</v>
      </c>
      <c r="D42" t="s">
        <v>45</v>
      </c>
      <c r="E42" t="s">
        <v>46</v>
      </c>
      <c r="F42">
        <v>3024</v>
      </c>
      <c r="G42">
        <v>925</v>
      </c>
      <c r="H42">
        <v>350</v>
      </c>
      <c r="I42">
        <v>24192</v>
      </c>
      <c r="J42">
        <v>23518</v>
      </c>
      <c r="K42">
        <v>36</v>
      </c>
      <c r="L42" t="s">
        <v>37</v>
      </c>
      <c r="M42" t="s">
        <v>25</v>
      </c>
      <c r="N42" s="4">
        <v>45566</v>
      </c>
      <c r="O42" s="4">
        <v>45596</v>
      </c>
      <c r="P42" t="s">
        <v>637</v>
      </c>
      <c r="Q42">
        <f>Table1_2[[#This Row],[Likes]]+Table1_2[[#This Row],[Shares]]+Table1_2[[#This Row],[Comments]]</f>
        <v>4299</v>
      </c>
      <c r="R42" s="12">
        <f>(Table1_2[[#This Row],[Likes]]+Table1_2[[#This Row],[Shares]]+Table1_2[[#This Row],[Comments]])/Table1_2[[#This Row],[Impressions]]</f>
        <v>0.17770337301587302</v>
      </c>
      <c r="S42" s="4">
        <f>_xlfn.XLOOKUP(Table1_2[[#This Row],[Campaign_Name]],'Campaign Metadata'!A:A,'Campaign Metadata'!B:B,"not found",0)</f>
        <v>45566</v>
      </c>
      <c r="T42" s="4">
        <f>_xlfn.XLOOKUP(Table1_2[[#This Row],[Campaign_Name]],'Campaign Metadata'!A:A,'Campaign Metadata'!C:C,"not found",0)</f>
        <v>45596</v>
      </c>
      <c r="U42" t="str">
        <f>IF(AND(Table1_2[[#This Row],[Date]]&gt;=Table1_2[[#This Row],[Campaign Start Date2]],Table1_2[[#This Row],[Date]]&lt;=Table1_2[[#This Row],[Campaign End Date3]]),"During Campaign","Before Campaign")</f>
        <v>Before Campaign</v>
      </c>
      <c r="V42" s="30">
        <f>_xlfn.XLOOKUP(Table1_2[[#This Row],[Campaign_Name]],'Campaign Metadata'!A:A,'Campaign Metadata'!E:E,"Not Available",0)</f>
        <v>200000</v>
      </c>
      <c r="W42">
        <f>Table1_2[[#This Row],[Engagement]]/Table1_2[[#This Row],[Campaign Budget]]</f>
        <v>2.1495E-2</v>
      </c>
      <c r="X42">
        <f>_xlfn.XLOOKUP(Table1_2[[#This Row],[Platform]],'Engagement Summary'!B:B,'Engagement Summary'!H:H,"Not Available",0)</f>
        <v>1002</v>
      </c>
      <c r="Y42">
        <f>WEEKNUM(Table1_2[[#This Row],[Date]])</f>
        <v>2</v>
      </c>
      <c r="Z42">
        <f>_xlfn.XLOOKUP(Table1_2[[#This Row],[Platform]],'Engagement Summary'!B:B,'Engagement Summary'!G:G,"Notavailable",0)</f>
        <v>9566</v>
      </c>
    </row>
    <row r="43" spans="1:26" x14ac:dyDescent="0.3">
      <c r="A43" t="s">
        <v>126</v>
      </c>
      <c r="B43" t="s">
        <v>27</v>
      </c>
      <c r="C43" s="4">
        <v>45705</v>
      </c>
      <c r="D43" t="s">
        <v>16</v>
      </c>
      <c r="E43" t="s">
        <v>29</v>
      </c>
      <c r="F43">
        <v>3138</v>
      </c>
      <c r="G43">
        <v>123</v>
      </c>
      <c r="H43">
        <v>291</v>
      </c>
      <c r="I43">
        <v>28242</v>
      </c>
      <c r="J43">
        <v>27550</v>
      </c>
      <c r="K43">
        <v>87</v>
      </c>
      <c r="L43" t="s">
        <v>30</v>
      </c>
      <c r="M43" t="s">
        <v>38</v>
      </c>
      <c r="N43" s="4">
        <v>45717</v>
      </c>
      <c r="O43" s="4">
        <v>45747</v>
      </c>
      <c r="P43" t="s">
        <v>637</v>
      </c>
      <c r="Q43">
        <f>Table1_2[[#This Row],[Likes]]+Table1_2[[#This Row],[Shares]]+Table1_2[[#This Row],[Comments]]</f>
        <v>3552</v>
      </c>
      <c r="R43" s="12">
        <f>(Table1_2[[#This Row],[Likes]]+Table1_2[[#This Row],[Shares]]+Table1_2[[#This Row],[Comments]])/Table1_2[[#This Row],[Impressions]]</f>
        <v>0.12577012959422137</v>
      </c>
      <c r="S43" s="4">
        <f>_xlfn.XLOOKUP(Table1_2[[#This Row],[Campaign_Name]],'Campaign Metadata'!A:A,'Campaign Metadata'!B:B,"not found",0)</f>
        <v>45717</v>
      </c>
      <c r="T43" s="4">
        <f>_xlfn.XLOOKUP(Table1_2[[#This Row],[Campaign_Name]],'Campaign Metadata'!A:A,'Campaign Metadata'!C:C,"not found",0)</f>
        <v>45747</v>
      </c>
      <c r="U43" t="str">
        <f>IF(AND(Table1_2[[#This Row],[Date]]&gt;=Table1_2[[#This Row],[Campaign Start Date2]],Table1_2[[#This Row],[Date]]&lt;=Table1_2[[#This Row],[Campaign End Date3]]),"During Campaign","Before Campaign")</f>
        <v>Before Campaign</v>
      </c>
      <c r="V43" s="30">
        <f>_xlfn.XLOOKUP(Table1_2[[#This Row],[Campaign_Name]],'Campaign Metadata'!A:A,'Campaign Metadata'!E:E,"Not Available",0)</f>
        <v>180000</v>
      </c>
      <c r="W43">
        <f>Table1_2[[#This Row],[Engagement]]/Table1_2[[#This Row],[Campaign Budget]]</f>
        <v>1.9733333333333332E-2</v>
      </c>
      <c r="X43">
        <f>_xlfn.XLOOKUP(Table1_2[[#This Row],[Platform]],'Engagement Summary'!B:B,'Engagement Summary'!H:H,"Not Available",0)</f>
        <v>1090</v>
      </c>
      <c r="Y43">
        <f>WEEKNUM(Table1_2[[#This Row],[Date]])</f>
        <v>8</v>
      </c>
      <c r="Z43">
        <f>_xlfn.XLOOKUP(Table1_2[[#This Row],[Platform]],'Engagement Summary'!B:B,'Engagement Summary'!G:G,"Notavailable",0)</f>
        <v>30671</v>
      </c>
    </row>
    <row r="44" spans="1:26" x14ac:dyDescent="0.3">
      <c r="A44" t="s">
        <v>128</v>
      </c>
      <c r="B44" t="s">
        <v>43</v>
      </c>
      <c r="C44" s="4">
        <v>45621</v>
      </c>
      <c r="D44" t="s">
        <v>52</v>
      </c>
      <c r="E44" t="s">
        <v>59</v>
      </c>
      <c r="F44">
        <v>3564</v>
      </c>
      <c r="G44">
        <v>629</v>
      </c>
      <c r="H44">
        <v>177</v>
      </c>
      <c r="I44">
        <v>60588</v>
      </c>
      <c r="J44">
        <v>59627</v>
      </c>
      <c r="K44">
        <v>92</v>
      </c>
      <c r="L44" t="s">
        <v>30</v>
      </c>
      <c r="M44" t="s">
        <v>617</v>
      </c>
      <c r="N44" s="4">
        <v>0</v>
      </c>
      <c r="O44" s="4">
        <v>0</v>
      </c>
      <c r="P44" t="s">
        <v>637</v>
      </c>
      <c r="Q44">
        <f>Table1_2[[#This Row],[Likes]]+Table1_2[[#This Row],[Shares]]+Table1_2[[#This Row],[Comments]]</f>
        <v>4370</v>
      </c>
      <c r="R44" s="12">
        <f>(Table1_2[[#This Row],[Likes]]+Table1_2[[#This Row],[Shares]]+Table1_2[[#This Row],[Comments]])/Table1_2[[#This Row],[Impressions]]</f>
        <v>7.2126493695121141E-2</v>
      </c>
      <c r="S44" s="4" t="str">
        <f>_xlfn.XLOOKUP(Table1_2[[#This Row],[Campaign_Name]],'Campaign Metadata'!A:A,'Campaign Metadata'!B:B,"not found",0)</f>
        <v>not found</v>
      </c>
      <c r="T44" s="4" t="str">
        <f>_xlfn.XLOOKUP(Table1_2[[#This Row],[Campaign_Name]],'Campaign Metadata'!A:A,'Campaign Metadata'!C:C,"not found",0)</f>
        <v>not found</v>
      </c>
      <c r="U44" t="str">
        <f>IF(AND(Table1_2[[#This Row],[Date]]&gt;=Table1_2[[#This Row],[Campaign Start Date2]],Table1_2[[#This Row],[Date]]&lt;=Table1_2[[#This Row],[Campaign End Date3]]),"During Campaign","Before Campaign")</f>
        <v>Before Campaign</v>
      </c>
      <c r="V44" s="30" t="str">
        <f>_xlfn.XLOOKUP(Table1_2[[#This Row],[Campaign_Name]],'Campaign Metadata'!A:A,'Campaign Metadata'!E:E,"Not Available",0)</f>
        <v>Not Available</v>
      </c>
      <c r="W44" t="e">
        <f>Table1_2[[#This Row],[Engagement]]/Table1_2[[#This Row],[Campaign Budget]]</f>
        <v>#VALUE!</v>
      </c>
      <c r="X44">
        <f>_xlfn.XLOOKUP(Table1_2[[#This Row],[Platform]],'Engagement Summary'!B:B,'Engagement Summary'!H:H,"Not Available",0)</f>
        <v>1002</v>
      </c>
      <c r="Y44">
        <f>WEEKNUM(Table1_2[[#This Row],[Date]])</f>
        <v>48</v>
      </c>
      <c r="Z44">
        <f>_xlfn.XLOOKUP(Table1_2[[#This Row],[Platform]],'Engagement Summary'!B:B,'Engagement Summary'!G:G,"Notavailable",0)</f>
        <v>9566</v>
      </c>
    </row>
    <row r="45" spans="1:26" x14ac:dyDescent="0.3">
      <c r="A45" t="s">
        <v>130</v>
      </c>
      <c r="B45" t="s">
        <v>14</v>
      </c>
      <c r="C45" s="4">
        <v>45723</v>
      </c>
      <c r="D45" t="s">
        <v>52</v>
      </c>
      <c r="E45" t="s">
        <v>132</v>
      </c>
      <c r="F45">
        <v>4750</v>
      </c>
      <c r="G45">
        <v>151</v>
      </c>
      <c r="H45">
        <v>415</v>
      </c>
      <c r="I45">
        <v>38000</v>
      </c>
      <c r="J45">
        <v>37792</v>
      </c>
      <c r="K45">
        <v>299</v>
      </c>
      <c r="L45" t="s">
        <v>37</v>
      </c>
      <c r="M45" t="s">
        <v>38</v>
      </c>
      <c r="N45" s="4">
        <v>45717</v>
      </c>
      <c r="O45" s="4">
        <v>45747</v>
      </c>
      <c r="P45" t="s">
        <v>637</v>
      </c>
      <c r="Q45">
        <f>Table1_2[[#This Row],[Likes]]+Table1_2[[#This Row],[Shares]]+Table1_2[[#This Row],[Comments]]</f>
        <v>5316</v>
      </c>
      <c r="R45" s="12">
        <f>(Table1_2[[#This Row],[Likes]]+Table1_2[[#This Row],[Shares]]+Table1_2[[#This Row],[Comments]])/Table1_2[[#This Row],[Impressions]]</f>
        <v>0.13989473684210527</v>
      </c>
      <c r="S45" s="4">
        <f>_xlfn.XLOOKUP(Table1_2[[#This Row],[Campaign_Name]],'Campaign Metadata'!A:A,'Campaign Metadata'!B:B,"not found",0)</f>
        <v>45717</v>
      </c>
      <c r="T45" s="4">
        <f>_xlfn.XLOOKUP(Table1_2[[#This Row],[Campaign_Name]],'Campaign Metadata'!A:A,'Campaign Metadata'!C:C,"not found",0)</f>
        <v>45747</v>
      </c>
      <c r="U45" t="str">
        <f>IF(AND(Table1_2[[#This Row],[Date]]&gt;=Table1_2[[#This Row],[Campaign Start Date2]],Table1_2[[#This Row],[Date]]&lt;=Table1_2[[#This Row],[Campaign End Date3]]),"During Campaign","Before Campaign")</f>
        <v>During Campaign</v>
      </c>
      <c r="V45" s="30">
        <f>_xlfn.XLOOKUP(Table1_2[[#This Row],[Campaign_Name]],'Campaign Metadata'!A:A,'Campaign Metadata'!E:E,"Not Available",0)</f>
        <v>180000</v>
      </c>
      <c r="W45">
        <f>Table1_2[[#This Row],[Engagement]]/Table1_2[[#This Row],[Campaign Budget]]</f>
        <v>2.9533333333333335E-2</v>
      </c>
      <c r="X45">
        <f>_xlfn.XLOOKUP(Table1_2[[#This Row],[Platform]],'Engagement Summary'!B:B,'Engagement Summary'!H:H,"Not Available",0)</f>
        <v>415</v>
      </c>
      <c r="Y45">
        <f>WEEKNUM(Table1_2[[#This Row],[Date]])</f>
        <v>10</v>
      </c>
      <c r="Z45">
        <f>_xlfn.XLOOKUP(Table1_2[[#This Row],[Platform]],'Engagement Summary'!B:B,'Engagement Summary'!G:G,"Notavailable",0)</f>
        <v>26752</v>
      </c>
    </row>
    <row r="46" spans="1:26" x14ac:dyDescent="0.3">
      <c r="A46" t="s">
        <v>133</v>
      </c>
      <c r="B46" t="s">
        <v>33</v>
      </c>
      <c r="C46" s="4">
        <v>45724</v>
      </c>
      <c r="D46" t="s">
        <v>16</v>
      </c>
      <c r="E46" t="s">
        <v>82</v>
      </c>
      <c r="F46">
        <v>456</v>
      </c>
      <c r="G46">
        <v>629</v>
      </c>
      <c r="H46">
        <v>428</v>
      </c>
      <c r="I46">
        <v>8208</v>
      </c>
      <c r="J46">
        <v>7377</v>
      </c>
      <c r="K46">
        <v>205</v>
      </c>
      <c r="L46" t="s">
        <v>62</v>
      </c>
      <c r="M46" t="s">
        <v>38</v>
      </c>
      <c r="N46" s="4">
        <v>45717</v>
      </c>
      <c r="O46" s="4">
        <v>45747</v>
      </c>
      <c r="P46" t="s">
        <v>637</v>
      </c>
      <c r="Q46">
        <f>Table1_2[[#This Row],[Likes]]+Table1_2[[#This Row],[Shares]]+Table1_2[[#This Row],[Comments]]</f>
        <v>1513</v>
      </c>
      <c r="R46" s="12">
        <f>(Table1_2[[#This Row],[Likes]]+Table1_2[[#This Row],[Shares]]+Table1_2[[#This Row],[Comments]])/Table1_2[[#This Row],[Impressions]]</f>
        <v>0.18433235867446393</v>
      </c>
      <c r="S46" s="4">
        <f>_xlfn.XLOOKUP(Table1_2[[#This Row],[Campaign_Name]],'Campaign Metadata'!A:A,'Campaign Metadata'!B:B,"not found",0)</f>
        <v>45717</v>
      </c>
      <c r="T46" s="4">
        <f>_xlfn.XLOOKUP(Table1_2[[#This Row],[Campaign_Name]],'Campaign Metadata'!A:A,'Campaign Metadata'!C:C,"not found",0)</f>
        <v>45747</v>
      </c>
      <c r="U46" t="str">
        <f>IF(AND(Table1_2[[#This Row],[Date]]&gt;=Table1_2[[#This Row],[Campaign Start Date2]],Table1_2[[#This Row],[Date]]&lt;=Table1_2[[#This Row],[Campaign End Date3]]),"During Campaign","Before Campaign")</f>
        <v>During Campaign</v>
      </c>
      <c r="V46" s="30">
        <f>_xlfn.XLOOKUP(Table1_2[[#This Row],[Campaign_Name]],'Campaign Metadata'!A:A,'Campaign Metadata'!E:E,"Not Available",0)</f>
        <v>180000</v>
      </c>
      <c r="W46">
        <f>Table1_2[[#This Row],[Engagement]]/Table1_2[[#This Row],[Campaign Budget]]</f>
        <v>8.405555555555555E-3</v>
      </c>
      <c r="X46">
        <f>_xlfn.XLOOKUP(Table1_2[[#This Row],[Platform]],'Engagement Summary'!B:B,'Engagement Summary'!H:H,"Not Available",0)</f>
        <v>1047</v>
      </c>
      <c r="Y46">
        <f>WEEKNUM(Table1_2[[#This Row],[Date]])</f>
        <v>10</v>
      </c>
      <c r="Z46">
        <f>_xlfn.XLOOKUP(Table1_2[[#This Row],[Platform]],'Engagement Summary'!B:B,'Engagement Summary'!G:G,"Notavailable",0)</f>
        <v>5904</v>
      </c>
    </row>
    <row r="47" spans="1:26" x14ac:dyDescent="0.3">
      <c r="A47" t="s">
        <v>135</v>
      </c>
      <c r="B47" t="s">
        <v>27</v>
      </c>
      <c r="C47" s="4">
        <v>45721</v>
      </c>
      <c r="D47" t="s">
        <v>16</v>
      </c>
      <c r="E47" t="s">
        <v>29</v>
      </c>
      <c r="F47">
        <v>1543</v>
      </c>
      <c r="G47">
        <v>820</v>
      </c>
      <c r="H47">
        <v>333</v>
      </c>
      <c r="I47">
        <v>12344</v>
      </c>
      <c r="J47">
        <v>11496</v>
      </c>
      <c r="K47">
        <v>241</v>
      </c>
      <c r="L47" t="s">
        <v>37</v>
      </c>
      <c r="M47" t="s">
        <v>617</v>
      </c>
      <c r="N47" s="4">
        <v>0</v>
      </c>
      <c r="O47" s="4">
        <v>0</v>
      </c>
      <c r="P47" t="s">
        <v>637</v>
      </c>
      <c r="Q47">
        <f>Table1_2[[#This Row],[Likes]]+Table1_2[[#This Row],[Shares]]+Table1_2[[#This Row],[Comments]]</f>
        <v>2696</v>
      </c>
      <c r="R47" s="12">
        <f>(Table1_2[[#This Row],[Likes]]+Table1_2[[#This Row],[Shares]]+Table1_2[[#This Row],[Comments]])/Table1_2[[#This Row],[Impressions]]</f>
        <v>0.21840570317563188</v>
      </c>
      <c r="S47" s="4" t="str">
        <f>_xlfn.XLOOKUP(Table1_2[[#This Row],[Campaign_Name]],'Campaign Metadata'!A:A,'Campaign Metadata'!B:B,"not found",0)</f>
        <v>not found</v>
      </c>
      <c r="T47" s="4" t="str">
        <f>_xlfn.XLOOKUP(Table1_2[[#This Row],[Campaign_Name]],'Campaign Metadata'!A:A,'Campaign Metadata'!C:C,"not found",0)</f>
        <v>not found</v>
      </c>
      <c r="U47" t="str">
        <f>IF(AND(Table1_2[[#This Row],[Date]]&gt;=Table1_2[[#This Row],[Campaign Start Date2]],Table1_2[[#This Row],[Date]]&lt;=Table1_2[[#This Row],[Campaign End Date3]]),"During Campaign","Before Campaign")</f>
        <v>Before Campaign</v>
      </c>
      <c r="V47" s="30" t="str">
        <f>_xlfn.XLOOKUP(Table1_2[[#This Row],[Campaign_Name]],'Campaign Metadata'!A:A,'Campaign Metadata'!E:E,"Not Available",0)</f>
        <v>Not Available</v>
      </c>
      <c r="W47" t="e">
        <f>Table1_2[[#This Row],[Engagement]]/Table1_2[[#This Row],[Campaign Budget]]</f>
        <v>#VALUE!</v>
      </c>
      <c r="X47">
        <f>_xlfn.XLOOKUP(Table1_2[[#This Row],[Platform]],'Engagement Summary'!B:B,'Engagement Summary'!H:H,"Not Available",0)</f>
        <v>1090</v>
      </c>
      <c r="Y47">
        <f>WEEKNUM(Table1_2[[#This Row],[Date]])</f>
        <v>10</v>
      </c>
      <c r="Z47">
        <f>_xlfn.XLOOKUP(Table1_2[[#This Row],[Platform]],'Engagement Summary'!B:B,'Engagement Summary'!G:G,"Notavailable",0)</f>
        <v>30671</v>
      </c>
    </row>
    <row r="48" spans="1:26" x14ac:dyDescent="0.3">
      <c r="A48" t="s">
        <v>137</v>
      </c>
      <c r="B48" t="s">
        <v>33</v>
      </c>
      <c r="C48" s="4">
        <v>45640</v>
      </c>
      <c r="D48" t="s">
        <v>45</v>
      </c>
      <c r="E48" t="s">
        <v>88</v>
      </c>
      <c r="F48">
        <v>2174</v>
      </c>
      <c r="G48">
        <v>658</v>
      </c>
      <c r="H48">
        <v>15</v>
      </c>
      <c r="I48">
        <v>13044</v>
      </c>
      <c r="J48">
        <v>12206</v>
      </c>
      <c r="K48">
        <v>137</v>
      </c>
      <c r="L48" t="s">
        <v>30</v>
      </c>
      <c r="M48" t="s">
        <v>31</v>
      </c>
      <c r="N48" s="4">
        <v>45651</v>
      </c>
      <c r="O48" s="4">
        <v>45667</v>
      </c>
      <c r="P48" t="s">
        <v>637</v>
      </c>
      <c r="Q48">
        <f>Table1_2[[#This Row],[Likes]]+Table1_2[[#This Row],[Shares]]+Table1_2[[#This Row],[Comments]]</f>
        <v>2847</v>
      </c>
      <c r="R48" s="12">
        <f>(Table1_2[[#This Row],[Likes]]+Table1_2[[#This Row],[Shares]]+Table1_2[[#This Row],[Comments]])/Table1_2[[#This Row],[Impressions]]</f>
        <v>0.21826126954921804</v>
      </c>
      <c r="S48" s="4">
        <f>_xlfn.XLOOKUP(Table1_2[[#This Row],[Campaign_Name]],'Campaign Metadata'!A:A,'Campaign Metadata'!B:B,"not found",0)</f>
        <v>45651</v>
      </c>
      <c r="T48" s="4">
        <f>_xlfn.XLOOKUP(Table1_2[[#This Row],[Campaign_Name]],'Campaign Metadata'!A:A,'Campaign Metadata'!C:C,"not found",0)</f>
        <v>45667</v>
      </c>
      <c r="U48" t="str">
        <f>IF(AND(Table1_2[[#This Row],[Date]]&gt;=Table1_2[[#This Row],[Campaign Start Date2]],Table1_2[[#This Row],[Date]]&lt;=Table1_2[[#This Row],[Campaign End Date3]]),"During Campaign","Before Campaign")</f>
        <v>Before Campaign</v>
      </c>
      <c r="V48" s="30">
        <f>_xlfn.XLOOKUP(Table1_2[[#This Row],[Campaign_Name]],'Campaign Metadata'!A:A,'Campaign Metadata'!E:E,"Not Available",0)</f>
        <v>250000</v>
      </c>
      <c r="W48">
        <f>Table1_2[[#This Row],[Engagement]]/Table1_2[[#This Row],[Campaign Budget]]</f>
        <v>1.1388000000000001E-2</v>
      </c>
      <c r="X48">
        <f>_xlfn.XLOOKUP(Table1_2[[#This Row],[Platform]],'Engagement Summary'!B:B,'Engagement Summary'!H:H,"Not Available",0)</f>
        <v>1047</v>
      </c>
      <c r="Y48">
        <f>WEEKNUM(Table1_2[[#This Row],[Date]])</f>
        <v>50</v>
      </c>
      <c r="Z48">
        <f>_xlfn.XLOOKUP(Table1_2[[#This Row],[Platform]],'Engagement Summary'!B:B,'Engagement Summary'!G:G,"Notavailable",0)</f>
        <v>5904</v>
      </c>
    </row>
    <row r="49" spans="1:26" x14ac:dyDescent="0.3">
      <c r="A49" t="s">
        <v>139</v>
      </c>
      <c r="B49" t="s">
        <v>14</v>
      </c>
      <c r="C49" s="4">
        <v>45718</v>
      </c>
      <c r="D49" t="s">
        <v>52</v>
      </c>
      <c r="E49" t="s">
        <v>132</v>
      </c>
      <c r="F49">
        <v>2358</v>
      </c>
      <c r="G49">
        <v>784</v>
      </c>
      <c r="H49">
        <v>344</v>
      </c>
      <c r="I49">
        <v>35370</v>
      </c>
      <c r="J49">
        <v>34475</v>
      </c>
      <c r="K49">
        <v>216</v>
      </c>
      <c r="L49" t="s">
        <v>30</v>
      </c>
      <c r="M49" t="s">
        <v>617</v>
      </c>
      <c r="N49" s="4">
        <v>0</v>
      </c>
      <c r="O49" s="4">
        <v>0</v>
      </c>
      <c r="P49" t="s">
        <v>637</v>
      </c>
      <c r="Q49">
        <f>Table1_2[[#This Row],[Likes]]+Table1_2[[#This Row],[Shares]]+Table1_2[[#This Row],[Comments]]</f>
        <v>3486</v>
      </c>
      <c r="R49" s="12">
        <f>(Table1_2[[#This Row],[Likes]]+Table1_2[[#This Row],[Shares]]+Table1_2[[#This Row],[Comments]])/Table1_2[[#This Row],[Impressions]]</f>
        <v>9.8558100084817649E-2</v>
      </c>
      <c r="S49" s="4" t="str">
        <f>_xlfn.XLOOKUP(Table1_2[[#This Row],[Campaign_Name]],'Campaign Metadata'!A:A,'Campaign Metadata'!B:B,"not found",0)</f>
        <v>not found</v>
      </c>
      <c r="T49" s="4" t="str">
        <f>_xlfn.XLOOKUP(Table1_2[[#This Row],[Campaign_Name]],'Campaign Metadata'!A:A,'Campaign Metadata'!C:C,"not found",0)</f>
        <v>not found</v>
      </c>
      <c r="U49" t="str">
        <f>IF(AND(Table1_2[[#This Row],[Date]]&gt;=Table1_2[[#This Row],[Campaign Start Date2]],Table1_2[[#This Row],[Date]]&lt;=Table1_2[[#This Row],[Campaign End Date3]]),"During Campaign","Before Campaign")</f>
        <v>Before Campaign</v>
      </c>
      <c r="V49" s="30" t="str">
        <f>_xlfn.XLOOKUP(Table1_2[[#This Row],[Campaign_Name]],'Campaign Metadata'!A:A,'Campaign Metadata'!E:E,"Not Available",0)</f>
        <v>Not Available</v>
      </c>
      <c r="W49" t="e">
        <f>Table1_2[[#This Row],[Engagement]]/Table1_2[[#This Row],[Campaign Budget]]</f>
        <v>#VALUE!</v>
      </c>
      <c r="X49">
        <f>_xlfn.XLOOKUP(Table1_2[[#This Row],[Platform]],'Engagement Summary'!B:B,'Engagement Summary'!H:H,"Not Available",0)</f>
        <v>415</v>
      </c>
      <c r="Y49">
        <f>WEEKNUM(Table1_2[[#This Row],[Date]])</f>
        <v>10</v>
      </c>
      <c r="Z49">
        <f>_xlfn.XLOOKUP(Table1_2[[#This Row],[Platform]],'Engagement Summary'!B:B,'Engagement Summary'!G:G,"Notavailable",0)</f>
        <v>26752</v>
      </c>
    </row>
    <row r="50" spans="1:26" x14ac:dyDescent="0.3">
      <c r="A50" t="s">
        <v>141</v>
      </c>
      <c r="B50" t="s">
        <v>43</v>
      </c>
      <c r="C50" s="4">
        <v>45597</v>
      </c>
      <c r="D50" t="s">
        <v>74</v>
      </c>
      <c r="E50" t="s">
        <v>75</v>
      </c>
      <c r="F50">
        <v>3371</v>
      </c>
      <c r="G50">
        <v>106</v>
      </c>
      <c r="H50">
        <v>327</v>
      </c>
      <c r="I50">
        <v>50565</v>
      </c>
      <c r="J50">
        <v>49816</v>
      </c>
      <c r="K50">
        <v>176</v>
      </c>
      <c r="L50" t="s">
        <v>62</v>
      </c>
      <c r="M50" t="s">
        <v>19</v>
      </c>
      <c r="N50" s="4">
        <v>45458</v>
      </c>
      <c r="O50" s="4">
        <v>45488</v>
      </c>
      <c r="P50" t="s">
        <v>637</v>
      </c>
      <c r="Q50">
        <f>Table1_2[[#This Row],[Likes]]+Table1_2[[#This Row],[Shares]]+Table1_2[[#This Row],[Comments]]</f>
        <v>3804</v>
      </c>
      <c r="R50" s="12">
        <f>(Table1_2[[#This Row],[Likes]]+Table1_2[[#This Row],[Shares]]+Table1_2[[#This Row],[Comments]])/Table1_2[[#This Row],[Impressions]]</f>
        <v>7.5229902106199939E-2</v>
      </c>
      <c r="S50" s="4">
        <f>_xlfn.XLOOKUP(Table1_2[[#This Row],[Campaign_Name]],'Campaign Metadata'!A:A,'Campaign Metadata'!B:B,"not found",0)</f>
        <v>45458</v>
      </c>
      <c r="T50" s="4">
        <f>_xlfn.XLOOKUP(Table1_2[[#This Row],[Campaign_Name]],'Campaign Metadata'!A:A,'Campaign Metadata'!C:C,"not found",0)</f>
        <v>45488</v>
      </c>
      <c r="U50" t="str">
        <f>IF(AND(Table1_2[[#This Row],[Date]]&gt;=Table1_2[[#This Row],[Campaign Start Date2]],Table1_2[[#This Row],[Date]]&lt;=Table1_2[[#This Row],[Campaign End Date3]]),"During Campaign","Before Campaign")</f>
        <v>Before Campaign</v>
      </c>
      <c r="V50" s="30">
        <f>_xlfn.XLOOKUP(Table1_2[[#This Row],[Campaign_Name]],'Campaign Metadata'!A:A,'Campaign Metadata'!E:E,"Not Available",0)</f>
        <v>150000</v>
      </c>
      <c r="W50">
        <f>Table1_2[[#This Row],[Engagement]]/Table1_2[[#This Row],[Campaign Budget]]</f>
        <v>2.5360000000000001E-2</v>
      </c>
      <c r="X50">
        <f>_xlfn.XLOOKUP(Table1_2[[#This Row],[Platform]],'Engagement Summary'!B:B,'Engagement Summary'!H:H,"Not Available",0)</f>
        <v>1002</v>
      </c>
      <c r="Y50">
        <f>WEEKNUM(Table1_2[[#This Row],[Date]])</f>
        <v>44</v>
      </c>
      <c r="Z50">
        <f>_xlfn.XLOOKUP(Table1_2[[#This Row],[Platform]],'Engagement Summary'!B:B,'Engagement Summary'!G:G,"Notavailable",0)</f>
        <v>9566</v>
      </c>
    </row>
    <row r="51" spans="1:26" x14ac:dyDescent="0.3">
      <c r="A51" t="s">
        <v>143</v>
      </c>
      <c r="B51" t="s">
        <v>14</v>
      </c>
      <c r="C51" s="4">
        <v>45779</v>
      </c>
      <c r="D51" t="s">
        <v>74</v>
      </c>
      <c r="E51" t="s">
        <v>145</v>
      </c>
      <c r="F51">
        <v>1108</v>
      </c>
      <c r="G51">
        <v>177</v>
      </c>
      <c r="H51">
        <v>212</v>
      </c>
      <c r="I51">
        <v>8864</v>
      </c>
      <c r="J51">
        <v>8710</v>
      </c>
      <c r="K51">
        <v>97</v>
      </c>
      <c r="L51" t="s">
        <v>30</v>
      </c>
      <c r="M51" t="s">
        <v>38</v>
      </c>
      <c r="N51" s="4">
        <v>45717</v>
      </c>
      <c r="O51" s="4">
        <v>45747</v>
      </c>
      <c r="P51" t="s">
        <v>637</v>
      </c>
      <c r="Q51">
        <f>Table1_2[[#This Row],[Likes]]+Table1_2[[#This Row],[Shares]]+Table1_2[[#This Row],[Comments]]</f>
        <v>1497</v>
      </c>
      <c r="R51" s="12">
        <f>(Table1_2[[#This Row],[Likes]]+Table1_2[[#This Row],[Shares]]+Table1_2[[#This Row],[Comments]])/Table1_2[[#This Row],[Impressions]]</f>
        <v>0.16888537906137185</v>
      </c>
      <c r="S51" s="4">
        <f>_xlfn.XLOOKUP(Table1_2[[#This Row],[Campaign_Name]],'Campaign Metadata'!A:A,'Campaign Metadata'!B:B,"not found",0)</f>
        <v>45717</v>
      </c>
      <c r="T51" s="4">
        <f>_xlfn.XLOOKUP(Table1_2[[#This Row],[Campaign_Name]],'Campaign Metadata'!A:A,'Campaign Metadata'!C:C,"not found",0)</f>
        <v>45747</v>
      </c>
      <c r="U51" t="str">
        <f>IF(AND(Table1_2[[#This Row],[Date]]&gt;=Table1_2[[#This Row],[Campaign Start Date2]],Table1_2[[#This Row],[Date]]&lt;=Table1_2[[#This Row],[Campaign End Date3]]),"During Campaign","Before Campaign")</f>
        <v>Before Campaign</v>
      </c>
      <c r="V51" s="30">
        <f>_xlfn.XLOOKUP(Table1_2[[#This Row],[Campaign_Name]],'Campaign Metadata'!A:A,'Campaign Metadata'!E:E,"Not Available",0)</f>
        <v>180000</v>
      </c>
      <c r="W51">
        <f>Table1_2[[#This Row],[Engagement]]/Table1_2[[#This Row],[Campaign Budget]]</f>
        <v>8.3166666666666667E-3</v>
      </c>
      <c r="X51">
        <f>_xlfn.XLOOKUP(Table1_2[[#This Row],[Platform]],'Engagement Summary'!B:B,'Engagement Summary'!H:H,"Not Available",0)</f>
        <v>415</v>
      </c>
      <c r="Y51">
        <f>WEEKNUM(Table1_2[[#This Row],[Date]])</f>
        <v>18</v>
      </c>
      <c r="Z51">
        <f>_xlfn.XLOOKUP(Table1_2[[#This Row],[Platform]],'Engagement Summary'!B:B,'Engagement Summary'!G:G,"Notavailable",0)</f>
        <v>26752</v>
      </c>
    </row>
    <row r="52" spans="1:26" x14ac:dyDescent="0.3">
      <c r="A52" t="s">
        <v>146</v>
      </c>
      <c r="B52" t="s">
        <v>14</v>
      </c>
      <c r="C52" s="4">
        <v>45712</v>
      </c>
      <c r="D52" t="s">
        <v>45</v>
      </c>
      <c r="E52" t="s">
        <v>49</v>
      </c>
      <c r="F52">
        <v>2704</v>
      </c>
      <c r="G52">
        <v>752</v>
      </c>
      <c r="H52">
        <v>153</v>
      </c>
      <c r="I52">
        <v>21632</v>
      </c>
      <c r="J52">
        <v>20792</v>
      </c>
      <c r="K52">
        <v>127</v>
      </c>
      <c r="L52" t="s">
        <v>62</v>
      </c>
      <c r="M52" t="s">
        <v>617</v>
      </c>
      <c r="N52" s="4">
        <v>0</v>
      </c>
      <c r="O52" s="4">
        <v>0</v>
      </c>
      <c r="P52" t="s">
        <v>637</v>
      </c>
      <c r="Q52">
        <f>Table1_2[[#This Row],[Likes]]+Table1_2[[#This Row],[Shares]]+Table1_2[[#This Row],[Comments]]</f>
        <v>3609</v>
      </c>
      <c r="R52" s="12">
        <f>(Table1_2[[#This Row],[Likes]]+Table1_2[[#This Row],[Shares]]+Table1_2[[#This Row],[Comments]])/Table1_2[[#This Row],[Impressions]]</f>
        <v>0.16683616863905326</v>
      </c>
      <c r="S52" s="4" t="str">
        <f>_xlfn.XLOOKUP(Table1_2[[#This Row],[Campaign_Name]],'Campaign Metadata'!A:A,'Campaign Metadata'!B:B,"not found",0)</f>
        <v>not found</v>
      </c>
      <c r="T52" s="4" t="str">
        <f>_xlfn.XLOOKUP(Table1_2[[#This Row],[Campaign_Name]],'Campaign Metadata'!A:A,'Campaign Metadata'!C:C,"not found",0)</f>
        <v>not found</v>
      </c>
      <c r="U52" t="str">
        <f>IF(AND(Table1_2[[#This Row],[Date]]&gt;=Table1_2[[#This Row],[Campaign Start Date2]],Table1_2[[#This Row],[Date]]&lt;=Table1_2[[#This Row],[Campaign End Date3]]),"During Campaign","Before Campaign")</f>
        <v>Before Campaign</v>
      </c>
      <c r="V52" s="30" t="str">
        <f>_xlfn.XLOOKUP(Table1_2[[#This Row],[Campaign_Name]],'Campaign Metadata'!A:A,'Campaign Metadata'!E:E,"Not Available",0)</f>
        <v>Not Available</v>
      </c>
      <c r="W52" t="e">
        <f>Table1_2[[#This Row],[Engagement]]/Table1_2[[#This Row],[Campaign Budget]]</f>
        <v>#VALUE!</v>
      </c>
      <c r="X52">
        <f>_xlfn.XLOOKUP(Table1_2[[#This Row],[Platform]],'Engagement Summary'!B:B,'Engagement Summary'!H:H,"Not Available",0)</f>
        <v>415</v>
      </c>
      <c r="Y52">
        <f>WEEKNUM(Table1_2[[#This Row],[Date]])</f>
        <v>9</v>
      </c>
      <c r="Z52">
        <f>_xlfn.XLOOKUP(Table1_2[[#This Row],[Platform]],'Engagement Summary'!B:B,'Engagement Summary'!G:G,"Notavailable",0)</f>
        <v>26752</v>
      </c>
    </row>
    <row r="53" spans="1:26" x14ac:dyDescent="0.3">
      <c r="A53" t="s">
        <v>148</v>
      </c>
      <c r="B53" t="s">
        <v>14</v>
      </c>
      <c r="C53" s="4">
        <v>45727</v>
      </c>
      <c r="D53" t="s">
        <v>35</v>
      </c>
      <c r="E53" t="s">
        <v>149</v>
      </c>
      <c r="F53">
        <v>1950</v>
      </c>
      <c r="G53">
        <v>295</v>
      </c>
      <c r="H53">
        <v>478</v>
      </c>
      <c r="I53">
        <v>37050</v>
      </c>
      <c r="J53">
        <v>36272</v>
      </c>
      <c r="K53">
        <v>119</v>
      </c>
      <c r="L53" t="s">
        <v>30</v>
      </c>
      <c r="M53" t="s">
        <v>617</v>
      </c>
      <c r="N53" s="4">
        <v>0</v>
      </c>
      <c r="O53" s="4">
        <v>0</v>
      </c>
      <c r="P53" t="s">
        <v>637</v>
      </c>
      <c r="Q53">
        <f>Table1_2[[#This Row],[Likes]]+Table1_2[[#This Row],[Shares]]+Table1_2[[#This Row],[Comments]]</f>
        <v>2723</v>
      </c>
      <c r="R53" s="12">
        <f>(Table1_2[[#This Row],[Likes]]+Table1_2[[#This Row],[Shares]]+Table1_2[[#This Row],[Comments]])/Table1_2[[#This Row],[Impressions]]</f>
        <v>7.349527665317139E-2</v>
      </c>
      <c r="S53" s="4" t="str">
        <f>_xlfn.XLOOKUP(Table1_2[[#This Row],[Campaign_Name]],'Campaign Metadata'!A:A,'Campaign Metadata'!B:B,"not found",0)</f>
        <v>not found</v>
      </c>
      <c r="T53" s="4" t="str">
        <f>_xlfn.XLOOKUP(Table1_2[[#This Row],[Campaign_Name]],'Campaign Metadata'!A:A,'Campaign Metadata'!C:C,"not found",0)</f>
        <v>not found</v>
      </c>
      <c r="U53" t="str">
        <f>IF(AND(Table1_2[[#This Row],[Date]]&gt;=Table1_2[[#This Row],[Campaign Start Date2]],Table1_2[[#This Row],[Date]]&lt;=Table1_2[[#This Row],[Campaign End Date3]]),"During Campaign","Before Campaign")</f>
        <v>Before Campaign</v>
      </c>
      <c r="V53" s="30" t="str">
        <f>_xlfn.XLOOKUP(Table1_2[[#This Row],[Campaign_Name]],'Campaign Metadata'!A:A,'Campaign Metadata'!E:E,"Not Available",0)</f>
        <v>Not Available</v>
      </c>
      <c r="W53" t="e">
        <f>Table1_2[[#This Row],[Engagement]]/Table1_2[[#This Row],[Campaign Budget]]</f>
        <v>#VALUE!</v>
      </c>
      <c r="X53">
        <f>_xlfn.XLOOKUP(Table1_2[[#This Row],[Platform]],'Engagement Summary'!B:B,'Engagement Summary'!H:H,"Not Available",0)</f>
        <v>415</v>
      </c>
      <c r="Y53">
        <f>WEEKNUM(Table1_2[[#This Row],[Date]])</f>
        <v>11</v>
      </c>
      <c r="Z53">
        <f>_xlfn.XLOOKUP(Table1_2[[#This Row],[Platform]],'Engagement Summary'!B:B,'Engagement Summary'!G:G,"Notavailable",0)</f>
        <v>26752</v>
      </c>
    </row>
    <row r="54" spans="1:26" x14ac:dyDescent="0.3">
      <c r="A54" t="s">
        <v>150</v>
      </c>
      <c r="B54" t="s">
        <v>14</v>
      </c>
      <c r="C54" s="4">
        <v>45453</v>
      </c>
      <c r="D54" t="s">
        <v>35</v>
      </c>
      <c r="E54" t="s">
        <v>149</v>
      </c>
      <c r="F54">
        <v>2164</v>
      </c>
      <c r="G54">
        <v>549</v>
      </c>
      <c r="H54">
        <v>274</v>
      </c>
      <c r="I54">
        <v>28132</v>
      </c>
      <c r="J54">
        <v>27361</v>
      </c>
      <c r="K54">
        <v>177</v>
      </c>
      <c r="L54" t="s">
        <v>30</v>
      </c>
      <c r="M54" t="s">
        <v>38</v>
      </c>
      <c r="N54" s="4">
        <v>45717</v>
      </c>
      <c r="O54" s="4">
        <v>45747</v>
      </c>
      <c r="P54" t="s">
        <v>637</v>
      </c>
      <c r="Q54">
        <f>Table1_2[[#This Row],[Likes]]+Table1_2[[#This Row],[Shares]]+Table1_2[[#This Row],[Comments]]</f>
        <v>2987</v>
      </c>
      <c r="R54" s="16">
        <f>(Table1_2[[#This Row],[Likes]]+Table1_2[[#This Row],[Shares]]+Table1_2[[#This Row],[Comments]])/Table1_2[[#This Row],[Impressions]]</f>
        <v>0.10617801791554102</v>
      </c>
      <c r="S54" s="4">
        <f>_xlfn.XLOOKUP(Table1_2[[#This Row],[Campaign_Name]],'Campaign Metadata'!A:A,'Campaign Metadata'!B:B,"not found",0)</f>
        <v>45717</v>
      </c>
      <c r="T54" s="4">
        <f>_xlfn.XLOOKUP(Table1_2[[#This Row],[Campaign_Name]],'Campaign Metadata'!A:A,'Campaign Metadata'!C:C,"not found",0)</f>
        <v>45747</v>
      </c>
      <c r="U54" t="str">
        <f>IF(AND(Table1_2[[#This Row],[Date]]&gt;=Table1_2[[#This Row],[Campaign Start Date2]],Table1_2[[#This Row],[Date]]&lt;=Table1_2[[#This Row],[Campaign End Date3]]),"During Campaign","Before Campaign")</f>
        <v>Before Campaign</v>
      </c>
      <c r="V54" s="30">
        <f>_xlfn.XLOOKUP(Table1_2[[#This Row],[Campaign_Name]],'Campaign Metadata'!A:A,'Campaign Metadata'!E:E,"Not Available",0)</f>
        <v>180000</v>
      </c>
      <c r="W54">
        <f>Table1_2[[#This Row],[Engagement]]/Table1_2[[#This Row],[Campaign Budget]]</f>
        <v>1.6594444444444443E-2</v>
      </c>
      <c r="X54">
        <f>_xlfn.XLOOKUP(Table1_2[[#This Row],[Platform]],'Engagement Summary'!B:B,'Engagement Summary'!H:H,"Not Available",0)</f>
        <v>415</v>
      </c>
      <c r="Y54">
        <f>WEEKNUM(Table1_2[[#This Row],[Date]])</f>
        <v>24</v>
      </c>
      <c r="Z54">
        <f>_xlfn.XLOOKUP(Table1_2[[#This Row],[Platform]],'Engagement Summary'!B:B,'Engagement Summary'!G:G,"Notavailable",0)</f>
        <v>26752</v>
      </c>
    </row>
    <row r="55" spans="1:26" x14ac:dyDescent="0.3">
      <c r="A55" t="s">
        <v>152</v>
      </c>
      <c r="B55" t="s">
        <v>27</v>
      </c>
      <c r="C55" s="4">
        <v>45476</v>
      </c>
      <c r="D55" t="s">
        <v>35</v>
      </c>
      <c r="E55" t="s">
        <v>154</v>
      </c>
      <c r="F55">
        <v>2754</v>
      </c>
      <c r="G55">
        <v>130</v>
      </c>
      <c r="H55">
        <v>90</v>
      </c>
      <c r="I55">
        <v>22032</v>
      </c>
      <c r="J55">
        <v>21288</v>
      </c>
      <c r="K55">
        <v>112</v>
      </c>
      <c r="L55" t="s">
        <v>30</v>
      </c>
      <c r="M55" t="s">
        <v>31</v>
      </c>
      <c r="N55" s="4">
        <v>45651</v>
      </c>
      <c r="O55" s="4">
        <v>45667</v>
      </c>
      <c r="P55" t="s">
        <v>637</v>
      </c>
      <c r="Q55">
        <f>Table1_2[[#This Row],[Likes]]+Table1_2[[#This Row],[Shares]]+Table1_2[[#This Row],[Comments]]</f>
        <v>2974</v>
      </c>
      <c r="R55" s="12">
        <f>(Table1_2[[#This Row],[Likes]]+Table1_2[[#This Row],[Shares]]+Table1_2[[#This Row],[Comments]])/Table1_2[[#This Row],[Impressions]]</f>
        <v>0.13498547567175018</v>
      </c>
      <c r="S55" s="4">
        <f>_xlfn.XLOOKUP(Table1_2[[#This Row],[Campaign_Name]],'Campaign Metadata'!A:A,'Campaign Metadata'!B:B,"not found",0)</f>
        <v>45651</v>
      </c>
      <c r="T55" s="4">
        <f>_xlfn.XLOOKUP(Table1_2[[#This Row],[Campaign_Name]],'Campaign Metadata'!A:A,'Campaign Metadata'!C:C,"not found",0)</f>
        <v>45667</v>
      </c>
      <c r="U55" t="str">
        <f>IF(AND(Table1_2[[#This Row],[Date]]&gt;=Table1_2[[#This Row],[Campaign Start Date2]],Table1_2[[#This Row],[Date]]&lt;=Table1_2[[#This Row],[Campaign End Date3]]),"During Campaign","Before Campaign")</f>
        <v>Before Campaign</v>
      </c>
      <c r="V55" s="30">
        <f>_xlfn.XLOOKUP(Table1_2[[#This Row],[Campaign_Name]],'Campaign Metadata'!A:A,'Campaign Metadata'!E:E,"Not Available",0)</f>
        <v>250000</v>
      </c>
      <c r="W55">
        <f>Table1_2[[#This Row],[Engagement]]/Table1_2[[#This Row],[Campaign Budget]]</f>
        <v>1.1896E-2</v>
      </c>
      <c r="X55">
        <f>_xlfn.XLOOKUP(Table1_2[[#This Row],[Platform]],'Engagement Summary'!B:B,'Engagement Summary'!H:H,"Not Available",0)</f>
        <v>1090</v>
      </c>
      <c r="Y55">
        <f>WEEKNUM(Table1_2[[#This Row],[Date]])</f>
        <v>27</v>
      </c>
      <c r="Z55">
        <f>_xlfn.XLOOKUP(Table1_2[[#This Row],[Platform]],'Engagement Summary'!B:B,'Engagement Summary'!G:G,"Notavailable",0)</f>
        <v>30671</v>
      </c>
    </row>
    <row r="56" spans="1:26" x14ac:dyDescent="0.3">
      <c r="A56" t="s">
        <v>155</v>
      </c>
      <c r="B56" t="s">
        <v>43</v>
      </c>
      <c r="C56" s="4">
        <v>45456</v>
      </c>
      <c r="D56" t="s">
        <v>45</v>
      </c>
      <c r="E56" t="s">
        <v>46</v>
      </c>
      <c r="F56">
        <v>2200</v>
      </c>
      <c r="G56">
        <v>504</v>
      </c>
      <c r="H56">
        <v>239</v>
      </c>
      <c r="I56">
        <v>37400</v>
      </c>
      <c r="J56">
        <v>36938</v>
      </c>
      <c r="K56">
        <v>225</v>
      </c>
      <c r="L56" t="s">
        <v>62</v>
      </c>
      <c r="M56" t="s">
        <v>25</v>
      </c>
      <c r="N56" s="4">
        <v>45566</v>
      </c>
      <c r="O56" s="4">
        <v>45596</v>
      </c>
      <c r="P56" t="s">
        <v>637</v>
      </c>
      <c r="Q56">
        <f>Table1_2[[#This Row],[Likes]]+Table1_2[[#This Row],[Shares]]+Table1_2[[#This Row],[Comments]]</f>
        <v>2943</v>
      </c>
      <c r="R56" s="12">
        <f>(Table1_2[[#This Row],[Likes]]+Table1_2[[#This Row],[Shares]]+Table1_2[[#This Row],[Comments]])/Table1_2[[#This Row],[Impressions]]</f>
        <v>7.8689839572192513E-2</v>
      </c>
      <c r="S56" s="4">
        <f>_xlfn.XLOOKUP(Table1_2[[#This Row],[Campaign_Name]],'Campaign Metadata'!A:A,'Campaign Metadata'!B:B,"not found",0)</f>
        <v>45566</v>
      </c>
      <c r="T56" s="4">
        <f>_xlfn.XLOOKUP(Table1_2[[#This Row],[Campaign_Name]],'Campaign Metadata'!A:A,'Campaign Metadata'!C:C,"not found",0)</f>
        <v>45596</v>
      </c>
      <c r="U56" t="str">
        <f>IF(AND(Table1_2[[#This Row],[Date]]&gt;=Table1_2[[#This Row],[Campaign Start Date2]],Table1_2[[#This Row],[Date]]&lt;=Table1_2[[#This Row],[Campaign End Date3]]),"During Campaign","Before Campaign")</f>
        <v>Before Campaign</v>
      </c>
      <c r="V56" s="30">
        <f>_xlfn.XLOOKUP(Table1_2[[#This Row],[Campaign_Name]],'Campaign Metadata'!A:A,'Campaign Metadata'!E:E,"Not Available",0)</f>
        <v>200000</v>
      </c>
      <c r="W56">
        <f>Table1_2[[#This Row],[Engagement]]/Table1_2[[#This Row],[Campaign Budget]]</f>
        <v>1.4715000000000001E-2</v>
      </c>
      <c r="X56">
        <f>_xlfn.XLOOKUP(Table1_2[[#This Row],[Platform]],'Engagement Summary'!B:B,'Engagement Summary'!H:H,"Not Available",0)</f>
        <v>1002</v>
      </c>
      <c r="Y56">
        <f>WEEKNUM(Table1_2[[#This Row],[Date]])</f>
        <v>24</v>
      </c>
      <c r="Z56">
        <f>_xlfn.XLOOKUP(Table1_2[[#This Row],[Platform]],'Engagement Summary'!B:B,'Engagement Summary'!G:G,"Notavailable",0)</f>
        <v>9566</v>
      </c>
    </row>
    <row r="57" spans="1:26" x14ac:dyDescent="0.3">
      <c r="A57" t="s">
        <v>157</v>
      </c>
      <c r="B57" t="s">
        <v>43</v>
      </c>
      <c r="C57" s="4">
        <v>45660</v>
      </c>
      <c r="D57" t="s">
        <v>52</v>
      </c>
      <c r="E57" t="s">
        <v>59</v>
      </c>
      <c r="F57">
        <v>947</v>
      </c>
      <c r="G57">
        <v>338</v>
      </c>
      <c r="H57">
        <v>350</v>
      </c>
      <c r="I57">
        <v>10417</v>
      </c>
      <c r="J57">
        <v>9730</v>
      </c>
      <c r="K57">
        <v>34</v>
      </c>
      <c r="L57" t="s">
        <v>30</v>
      </c>
      <c r="M57" t="s">
        <v>38</v>
      </c>
      <c r="N57" s="4">
        <v>45717</v>
      </c>
      <c r="O57" s="4">
        <v>45747</v>
      </c>
      <c r="P57" t="s">
        <v>637</v>
      </c>
      <c r="Q57">
        <f>Table1_2[[#This Row],[Likes]]+Table1_2[[#This Row],[Shares]]+Table1_2[[#This Row],[Comments]]</f>
        <v>1635</v>
      </c>
      <c r="R57" s="12">
        <f>(Table1_2[[#This Row],[Likes]]+Table1_2[[#This Row],[Shares]]+Table1_2[[#This Row],[Comments]])/Table1_2[[#This Row],[Impressions]]</f>
        <v>0.1569549774407219</v>
      </c>
      <c r="S57" s="4">
        <f>_xlfn.XLOOKUP(Table1_2[[#This Row],[Campaign_Name]],'Campaign Metadata'!A:A,'Campaign Metadata'!B:B,"not found",0)</f>
        <v>45717</v>
      </c>
      <c r="T57" s="4">
        <f>_xlfn.XLOOKUP(Table1_2[[#This Row],[Campaign_Name]],'Campaign Metadata'!A:A,'Campaign Metadata'!C:C,"not found",0)</f>
        <v>45747</v>
      </c>
      <c r="U57" t="str">
        <f>IF(AND(Table1_2[[#This Row],[Date]]&gt;=Table1_2[[#This Row],[Campaign Start Date2]],Table1_2[[#This Row],[Date]]&lt;=Table1_2[[#This Row],[Campaign End Date3]]),"During Campaign","Before Campaign")</f>
        <v>Before Campaign</v>
      </c>
      <c r="V57" s="30">
        <f>_xlfn.XLOOKUP(Table1_2[[#This Row],[Campaign_Name]],'Campaign Metadata'!A:A,'Campaign Metadata'!E:E,"Not Available",0)</f>
        <v>180000</v>
      </c>
      <c r="W57">
        <f>Table1_2[[#This Row],[Engagement]]/Table1_2[[#This Row],[Campaign Budget]]</f>
        <v>9.0833333333333339E-3</v>
      </c>
      <c r="X57">
        <f>_xlfn.XLOOKUP(Table1_2[[#This Row],[Platform]],'Engagement Summary'!B:B,'Engagement Summary'!H:H,"Not Available",0)</f>
        <v>1002</v>
      </c>
      <c r="Y57">
        <f>WEEKNUM(Table1_2[[#This Row],[Date]])</f>
        <v>1</v>
      </c>
      <c r="Z57">
        <f>_xlfn.XLOOKUP(Table1_2[[#This Row],[Platform]],'Engagement Summary'!B:B,'Engagement Summary'!G:G,"Notavailable",0)</f>
        <v>9566</v>
      </c>
    </row>
    <row r="58" spans="1:26" x14ac:dyDescent="0.3">
      <c r="A58" t="s">
        <v>159</v>
      </c>
      <c r="B58" t="s">
        <v>27</v>
      </c>
      <c r="C58" s="4">
        <v>45712</v>
      </c>
      <c r="D58" t="s">
        <v>45</v>
      </c>
      <c r="E58" t="s">
        <v>68</v>
      </c>
      <c r="F58">
        <v>804</v>
      </c>
      <c r="G58">
        <v>639</v>
      </c>
      <c r="H58">
        <v>43</v>
      </c>
      <c r="I58">
        <v>4020</v>
      </c>
      <c r="J58">
        <v>3144</v>
      </c>
      <c r="K58">
        <v>11</v>
      </c>
      <c r="L58" t="s">
        <v>37</v>
      </c>
      <c r="M58" t="s">
        <v>617</v>
      </c>
      <c r="N58" s="4">
        <v>0</v>
      </c>
      <c r="O58" s="4">
        <v>0</v>
      </c>
      <c r="P58" t="s">
        <v>637</v>
      </c>
      <c r="Q58">
        <f>Table1_2[[#This Row],[Likes]]+Table1_2[[#This Row],[Shares]]+Table1_2[[#This Row],[Comments]]</f>
        <v>1486</v>
      </c>
      <c r="R58" s="12">
        <f>(Table1_2[[#This Row],[Likes]]+Table1_2[[#This Row],[Shares]]+Table1_2[[#This Row],[Comments]])/Table1_2[[#This Row],[Impressions]]</f>
        <v>0.36965174129353234</v>
      </c>
      <c r="S58" s="4" t="str">
        <f>_xlfn.XLOOKUP(Table1_2[[#This Row],[Campaign_Name]],'Campaign Metadata'!A:A,'Campaign Metadata'!B:B,"not found",0)</f>
        <v>not found</v>
      </c>
      <c r="T58" s="4" t="str">
        <f>_xlfn.XLOOKUP(Table1_2[[#This Row],[Campaign_Name]],'Campaign Metadata'!A:A,'Campaign Metadata'!C:C,"not found",0)</f>
        <v>not found</v>
      </c>
      <c r="U58" t="str">
        <f>IF(AND(Table1_2[[#This Row],[Date]]&gt;=Table1_2[[#This Row],[Campaign Start Date2]],Table1_2[[#This Row],[Date]]&lt;=Table1_2[[#This Row],[Campaign End Date3]]),"During Campaign","Before Campaign")</f>
        <v>Before Campaign</v>
      </c>
      <c r="V58" s="30" t="str">
        <f>_xlfn.XLOOKUP(Table1_2[[#This Row],[Campaign_Name]],'Campaign Metadata'!A:A,'Campaign Metadata'!E:E,"Not Available",0)</f>
        <v>Not Available</v>
      </c>
      <c r="W58" t="e">
        <f>Table1_2[[#This Row],[Engagement]]/Table1_2[[#This Row],[Campaign Budget]]</f>
        <v>#VALUE!</v>
      </c>
      <c r="X58">
        <f>_xlfn.XLOOKUP(Table1_2[[#This Row],[Platform]],'Engagement Summary'!B:B,'Engagement Summary'!H:H,"Not Available",0)</f>
        <v>1090</v>
      </c>
      <c r="Y58">
        <f>WEEKNUM(Table1_2[[#This Row],[Date]])</f>
        <v>9</v>
      </c>
      <c r="Z58">
        <f>_xlfn.XLOOKUP(Table1_2[[#This Row],[Platform]],'Engagement Summary'!B:B,'Engagement Summary'!G:G,"Notavailable",0)</f>
        <v>30671</v>
      </c>
    </row>
    <row r="59" spans="1:26" x14ac:dyDescent="0.3">
      <c r="A59" t="s">
        <v>159</v>
      </c>
      <c r="B59" t="s">
        <v>27</v>
      </c>
      <c r="C59" s="4">
        <v>45712</v>
      </c>
      <c r="D59" t="s">
        <v>45</v>
      </c>
      <c r="E59" t="s">
        <v>68</v>
      </c>
      <c r="F59">
        <v>804</v>
      </c>
      <c r="G59">
        <v>639</v>
      </c>
      <c r="H59">
        <v>43</v>
      </c>
      <c r="I59">
        <v>4020</v>
      </c>
      <c r="J59">
        <v>3144</v>
      </c>
      <c r="K59">
        <v>11</v>
      </c>
      <c r="L59" t="s">
        <v>616</v>
      </c>
      <c r="M59" t="s">
        <v>617</v>
      </c>
      <c r="N59" s="4">
        <v>0</v>
      </c>
      <c r="O59" s="4">
        <v>0</v>
      </c>
      <c r="P59" t="s">
        <v>637</v>
      </c>
      <c r="Q59">
        <f>Table1_2[[#This Row],[Likes]]+Table1_2[[#This Row],[Shares]]+Table1_2[[#This Row],[Comments]]</f>
        <v>1486</v>
      </c>
      <c r="R59" s="12">
        <f>(Table1_2[[#This Row],[Likes]]+Table1_2[[#This Row],[Shares]]+Table1_2[[#This Row],[Comments]])/Table1_2[[#This Row],[Impressions]]</f>
        <v>0.36965174129353234</v>
      </c>
      <c r="S59" s="4" t="str">
        <f>_xlfn.XLOOKUP(Table1_2[[#This Row],[Campaign_Name]],'Campaign Metadata'!A:A,'Campaign Metadata'!B:B,"not found",0)</f>
        <v>not found</v>
      </c>
      <c r="T59" s="4" t="str">
        <f>_xlfn.XLOOKUP(Table1_2[[#This Row],[Campaign_Name]],'Campaign Metadata'!A:A,'Campaign Metadata'!C:C,"not found",0)</f>
        <v>not found</v>
      </c>
      <c r="U59" t="str">
        <f>IF(AND(Table1_2[[#This Row],[Date]]&gt;=Table1_2[[#This Row],[Campaign Start Date2]],Table1_2[[#This Row],[Date]]&lt;=Table1_2[[#This Row],[Campaign End Date3]]),"During Campaign","Before Campaign")</f>
        <v>Before Campaign</v>
      </c>
      <c r="V59" s="30" t="str">
        <f>_xlfn.XLOOKUP(Table1_2[[#This Row],[Campaign_Name]],'Campaign Metadata'!A:A,'Campaign Metadata'!E:E,"Not Available",0)</f>
        <v>Not Available</v>
      </c>
      <c r="W59" t="e">
        <f>Table1_2[[#This Row],[Engagement]]/Table1_2[[#This Row],[Campaign Budget]]</f>
        <v>#VALUE!</v>
      </c>
      <c r="X59">
        <f>_xlfn.XLOOKUP(Table1_2[[#This Row],[Platform]],'Engagement Summary'!B:B,'Engagement Summary'!H:H,"Not Available",0)</f>
        <v>1090</v>
      </c>
      <c r="Y59">
        <f>WEEKNUM(Table1_2[[#This Row],[Date]])</f>
        <v>9</v>
      </c>
      <c r="Z59">
        <f>_xlfn.XLOOKUP(Table1_2[[#This Row],[Platform]],'Engagement Summary'!B:B,'Engagement Summary'!G:G,"Notavailable",0)</f>
        <v>30671</v>
      </c>
    </row>
    <row r="60" spans="1:26" x14ac:dyDescent="0.3">
      <c r="A60" t="s">
        <v>161</v>
      </c>
      <c r="B60" t="s">
        <v>27</v>
      </c>
      <c r="C60" s="4">
        <v>45729</v>
      </c>
      <c r="D60" t="s">
        <v>45</v>
      </c>
      <c r="E60" t="s">
        <v>68</v>
      </c>
      <c r="F60">
        <v>1686</v>
      </c>
      <c r="G60">
        <v>904</v>
      </c>
      <c r="H60">
        <v>472</v>
      </c>
      <c r="I60">
        <v>18546</v>
      </c>
      <c r="J60">
        <v>18171</v>
      </c>
      <c r="K60">
        <v>52</v>
      </c>
      <c r="L60" t="s">
        <v>62</v>
      </c>
      <c r="M60" t="s">
        <v>25</v>
      </c>
      <c r="N60" s="4">
        <v>45566</v>
      </c>
      <c r="O60" s="4">
        <v>45596</v>
      </c>
      <c r="P60" t="s">
        <v>637</v>
      </c>
      <c r="Q60">
        <f>Table1_2[[#This Row],[Likes]]+Table1_2[[#This Row],[Shares]]+Table1_2[[#This Row],[Comments]]</f>
        <v>3062</v>
      </c>
      <c r="R60" s="12">
        <f>(Table1_2[[#This Row],[Likes]]+Table1_2[[#This Row],[Shares]]+Table1_2[[#This Row],[Comments]])/Table1_2[[#This Row],[Impressions]]</f>
        <v>0.16510298716704411</v>
      </c>
      <c r="S60" s="4">
        <f>_xlfn.XLOOKUP(Table1_2[[#This Row],[Campaign_Name]],'Campaign Metadata'!A:A,'Campaign Metadata'!B:B,"not found",0)</f>
        <v>45566</v>
      </c>
      <c r="T60" s="4">
        <f>_xlfn.XLOOKUP(Table1_2[[#This Row],[Campaign_Name]],'Campaign Metadata'!A:A,'Campaign Metadata'!C:C,"not found",0)</f>
        <v>45596</v>
      </c>
      <c r="U60" t="str">
        <f>IF(AND(Table1_2[[#This Row],[Date]]&gt;=Table1_2[[#This Row],[Campaign Start Date2]],Table1_2[[#This Row],[Date]]&lt;=Table1_2[[#This Row],[Campaign End Date3]]),"During Campaign","Before Campaign")</f>
        <v>Before Campaign</v>
      </c>
      <c r="V60" s="30">
        <f>_xlfn.XLOOKUP(Table1_2[[#This Row],[Campaign_Name]],'Campaign Metadata'!A:A,'Campaign Metadata'!E:E,"Not Available",0)</f>
        <v>200000</v>
      </c>
      <c r="W60">
        <f>Table1_2[[#This Row],[Engagement]]/Table1_2[[#This Row],[Campaign Budget]]</f>
        <v>1.5310000000000001E-2</v>
      </c>
      <c r="X60">
        <f>_xlfn.XLOOKUP(Table1_2[[#This Row],[Platform]],'Engagement Summary'!B:B,'Engagement Summary'!H:H,"Not Available",0)</f>
        <v>1090</v>
      </c>
      <c r="Y60">
        <f>WEEKNUM(Table1_2[[#This Row],[Date]])</f>
        <v>11</v>
      </c>
      <c r="Z60">
        <f>_xlfn.XLOOKUP(Table1_2[[#This Row],[Platform]],'Engagement Summary'!B:B,'Engagement Summary'!G:G,"Notavailable",0)</f>
        <v>30671</v>
      </c>
    </row>
    <row r="61" spans="1:26" x14ac:dyDescent="0.3">
      <c r="A61" t="s">
        <v>163</v>
      </c>
      <c r="B61" t="s">
        <v>43</v>
      </c>
      <c r="C61" s="4">
        <v>45460</v>
      </c>
      <c r="D61" t="s">
        <v>52</v>
      </c>
      <c r="E61" t="s">
        <v>59</v>
      </c>
      <c r="F61">
        <v>1226</v>
      </c>
      <c r="G61">
        <v>119</v>
      </c>
      <c r="H61">
        <v>7</v>
      </c>
      <c r="I61">
        <v>14712</v>
      </c>
      <c r="J61">
        <v>14049</v>
      </c>
      <c r="K61">
        <v>123</v>
      </c>
      <c r="L61" t="s">
        <v>37</v>
      </c>
      <c r="M61" t="s">
        <v>38</v>
      </c>
      <c r="N61" s="4">
        <v>45717</v>
      </c>
      <c r="O61" s="4">
        <v>45747</v>
      </c>
      <c r="P61" t="s">
        <v>637</v>
      </c>
      <c r="Q61">
        <f>Table1_2[[#This Row],[Likes]]+Table1_2[[#This Row],[Shares]]+Table1_2[[#This Row],[Comments]]</f>
        <v>1352</v>
      </c>
      <c r="R61" s="12">
        <f>(Table1_2[[#This Row],[Likes]]+Table1_2[[#This Row],[Shares]]+Table1_2[[#This Row],[Comments]])/Table1_2[[#This Row],[Impressions]]</f>
        <v>9.1897770527460579E-2</v>
      </c>
      <c r="S61" s="4">
        <f>_xlfn.XLOOKUP(Table1_2[[#This Row],[Campaign_Name]],'Campaign Metadata'!A:A,'Campaign Metadata'!B:B,"not found",0)</f>
        <v>45717</v>
      </c>
      <c r="T61" s="4">
        <f>_xlfn.XLOOKUP(Table1_2[[#This Row],[Campaign_Name]],'Campaign Metadata'!A:A,'Campaign Metadata'!C:C,"not found",0)</f>
        <v>45747</v>
      </c>
      <c r="U61" t="str">
        <f>IF(AND(Table1_2[[#This Row],[Date]]&gt;=Table1_2[[#This Row],[Campaign Start Date2]],Table1_2[[#This Row],[Date]]&lt;=Table1_2[[#This Row],[Campaign End Date3]]),"During Campaign","Before Campaign")</f>
        <v>Before Campaign</v>
      </c>
      <c r="V61" s="30">
        <f>_xlfn.XLOOKUP(Table1_2[[#This Row],[Campaign_Name]],'Campaign Metadata'!A:A,'Campaign Metadata'!E:E,"Not Available",0)</f>
        <v>180000</v>
      </c>
      <c r="W61">
        <f>Table1_2[[#This Row],[Engagement]]/Table1_2[[#This Row],[Campaign Budget]]</f>
        <v>7.5111111111111108E-3</v>
      </c>
      <c r="X61">
        <f>_xlfn.XLOOKUP(Table1_2[[#This Row],[Platform]],'Engagement Summary'!B:B,'Engagement Summary'!H:H,"Not Available",0)</f>
        <v>1002</v>
      </c>
      <c r="Y61">
        <f>WEEKNUM(Table1_2[[#This Row],[Date]])</f>
        <v>25</v>
      </c>
      <c r="Z61">
        <f>_xlfn.XLOOKUP(Table1_2[[#This Row],[Platform]],'Engagement Summary'!B:B,'Engagement Summary'!G:G,"Notavailable",0)</f>
        <v>9566</v>
      </c>
    </row>
    <row r="62" spans="1:26" x14ac:dyDescent="0.3">
      <c r="A62" t="s">
        <v>165</v>
      </c>
      <c r="B62" t="s">
        <v>43</v>
      </c>
      <c r="C62" s="4">
        <v>45644</v>
      </c>
      <c r="D62" t="s">
        <v>45</v>
      </c>
      <c r="E62" t="s">
        <v>46</v>
      </c>
      <c r="F62">
        <v>2946</v>
      </c>
      <c r="G62">
        <v>498</v>
      </c>
      <c r="H62">
        <v>367</v>
      </c>
      <c r="I62">
        <v>29460</v>
      </c>
      <c r="J62">
        <v>28527</v>
      </c>
      <c r="K62">
        <v>60</v>
      </c>
      <c r="L62" t="s">
        <v>62</v>
      </c>
      <c r="M62" t="s">
        <v>31</v>
      </c>
      <c r="N62" s="4">
        <v>45651</v>
      </c>
      <c r="O62" s="4">
        <v>45667</v>
      </c>
      <c r="P62" t="s">
        <v>637</v>
      </c>
      <c r="Q62">
        <f>Table1_2[[#This Row],[Likes]]+Table1_2[[#This Row],[Shares]]+Table1_2[[#This Row],[Comments]]</f>
        <v>3811</v>
      </c>
      <c r="R62" s="12">
        <f>(Table1_2[[#This Row],[Likes]]+Table1_2[[#This Row],[Shares]]+Table1_2[[#This Row],[Comments]])/Table1_2[[#This Row],[Impressions]]</f>
        <v>0.12936184657162253</v>
      </c>
      <c r="S62" s="4">
        <f>_xlfn.XLOOKUP(Table1_2[[#This Row],[Campaign_Name]],'Campaign Metadata'!A:A,'Campaign Metadata'!B:B,"not found",0)</f>
        <v>45651</v>
      </c>
      <c r="T62" s="4">
        <f>_xlfn.XLOOKUP(Table1_2[[#This Row],[Campaign_Name]],'Campaign Metadata'!A:A,'Campaign Metadata'!C:C,"not found",0)</f>
        <v>45667</v>
      </c>
      <c r="U62" t="str">
        <f>IF(AND(Table1_2[[#This Row],[Date]]&gt;=Table1_2[[#This Row],[Campaign Start Date2]],Table1_2[[#This Row],[Date]]&lt;=Table1_2[[#This Row],[Campaign End Date3]]),"During Campaign","Before Campaign")</f>
        <v>Before Campaign</v>
      </c>
      <c r="V62" s="30">
        <f>_xlfn.XLOOKUP(Table1_2[[#This Row],[Campaign_Name]],'Campaign Metadata'!A:A,'Campaign Metadata'!E:E,"Not Available",0)</f>
        <v>250000</v>
      </c>
      <c r="W62">
        <f>Table1_2[[#This Row],[Engagement]]/Table1_2[[#This Row],[Campaign Budget]]</f>
        <v>1.5244000000000001E-2</v>
      </c>
      <c r="X62">
        <f>_xlfn.XLOOKUP(Table1_2[[#This Row],[Platform]],'Engagement Summary'!B:B,'Engagement Summary'!H:H,"Not Available",0)</f>
        <v>1002</v>
      </c>
      <c r="Y62">
        <f>WEEKNUM(Table1_2[[#This Row],[Date]])</f>
        <v>51</v>
      </c>
      <c r="Z62">
        <f>_xlfn.XLOOKUP(Table1_2[[#This Row],[Platform]],'Engagement Summary'!B:B,'Engagement Summary'!G:G,"Notavailable",0)</f>
        <v>9566</v>
      </c>
    </row>
    <row r="63" spans="1:26" x14ac:dyDescent="0.3">
      <c r="A63" t="s">
        <v>167</v>
      </c>
      <c r="B63" t="s">
        <v>14</v>
      </c>
      <c r="C63" s="4">
        <v>45586</v>
      </c>
      <c r="D63" t="s">
        <v>74</v>
      </c>
      <c r="E63" t="s">
        <v>145</v>
      </c>
      <c r="F63">
        <v>2825</v>
      </c>
      <c r="G63">
        <v>535</v>
      </c>
      <c r="H63">
        <v>295</v>
      </c>
      <c r="I63">
        <v>45200</v>
      </c>
      <c r="J63">
        <v>44739</v>
      </c>
      <c r="K63">
        <v>169</v>
      </c>
      <c r="L63" t="s">
        <v>30</v>
      </c>
      <c r="M63" t="s">
        <v>19</v>
      </c>
      <c r="N63" s="4">
        <v>45458</v>
      </c>
      <c r="O63" s="4">
        <v>45488</v>
      </c>
      <c r="P63" t="s">
        <v>637</v>
      </c>
      <c r="Q63">
        <f>Table1_2[[#This Row],[Likes]]+Table1_2[[#This Row],[Shares]]+Table1_2[[#This Row],[Comments]]</f>
        <v>3655</v>
      </c>
      <c r="R63" s="12">
        <f>(Table1_2[[#This Row],[Likes]]+Table1_2[[#This Row],[Shares]]+Table1_2[[#This Row],[Comments]])/Table1_2[[#This Row],[Impressions]]</f>
        <v>8.0862831858407078E-2</v>
      </c>
      <c r="S63" s="4">
        <f>_xlfn.XLOOKUP(Table1_2[[#This Row],[Campaign_Name]],'Campaign Metadata'!A:A,'Campaign Metadata'!B:B,"not found",0)</f>
        <v>45458</v>
      </c>
      <c r="T63" s="4">
        <f>_xlfn.XLOOKUP(Table1_2[[#This Row],[Campaign_Name]],'Campaign Metadata'!A:A,'Campaign Metadata'!C:C,"not found",0)</f>
        <v>45488</v>
      </c>
      <c r="U63" t="str">
        <f>IF(AND(Table1_2[[#This Row],[Date]]&gt;=Table1_2[[#This Row],[Campaign Start Date2]],Table1_2[[#This Row],[Date]]&lt;=Table1_2[[#This Row],[Campaign End Date3]]),"During Campaign","Before Campaign")</f>
        <v>Before Campaign</v>
      </c>
      <c r="V63" s="30">
        <f>_xlfn.XLOOKUP(Table1_2[[#This Row],[Campaign_Name]],'Campaign Metadata'!A:A,'Campaign Metadata'!E:E,"Not Available",0)</f>
        <v>150000</v>
      </c>
      <c r="W63">
        <f>Table1_2[[#This Row],[Engagement]]/Table1_2[[#This Row],[Campaign Budget]]</f>
        <v>2.4366666666666665E-2</v>
      </c>
      <c r="X63">
        <f>_xlfn.XLOOKUP(Table1_2[[#This Row],[Platform]],'Engagement Summary'!B:B,'Engagement Summary'!H:H,"Not Available",0)</f>
        <v>415</v>
      </c>
      <c r="Y63">
        <f>WEEKNUM(Table1_2[[#This Row],[Date]])</f>
        <v>43</v>
      </c>
      <c r="Z63">
        <f>_xlfn.XLOOKUP(Table1_2[[#This Row],[Platform]],'Engagement Summary'!B:B,'Engagement Summary'!G:G,"Notavailable",0)</f>
        <v>26752</v>
      </c>
    </row>
    <row r="64" spans="1:26" x14ac:dyDescent="0.3">
      <c r="A64" t="s">
        <v>169</v>
      </c>
      <c r="B64" t="s">
        <v>33</v>
      </c>
      <c r="C64" s="4">
        <v>45762</v>
      </c>
      <c r="D64" t="s">
        <v>16</v>
      </c>
      <c r="E64" t="s">
        <v>82</v>
      </c>
      <c r="F64">
        <v>103</v>
      </c>
      <c r="G64">
        <v>770</v>
      </c>
      <c r="H64">
        <v>19</v>
      </c>
      <c r="I64">
        <v>1030</v>
      </c>
      <c r="J64">
        <v>410</v>
      </c>
      <c r="K64">
        <v>262</v>
      </c>
      <c r="L64" t="s">
        <v>30</v>
      </c>
      <c r="M64" t="s">
        <v>38</v>
      </c>
      <c r="N64" s="4">
        <v>45717</v>
      </c>
      <c r="O64" s="4">
        <v>45747</v>
      </c>
      <c r="P64" t="s">
        <v>637</v>
      </c>
      <c r="Q64">
        <f>Table1_2[[#This Row],[Likes]]+Table1_2[[#This Row],[Shares]]+Table1_2[[#This Row],[Comments]]</f>
        <v>892</v>
      </c>
      <c r="R64" s="12">
        <f>(Table1_2[[#This Row],[Likes]]+Table1_2[[#This Row],[Shares]]+Table1_2[[#This Row],[Comments]])/Table1_2[[#This Row],[Impressions]]</f>
        <v>0.86601941747572819</v>
      </c>
      <c r="S64" s="4">
        <f>_xlfn.XLOOKUP(Table1_2[[#This Row],[Campaign_Name]],'Campaign Metadata'!A:A,'Campaign Metadata'!B:B,"not found",0)</f>
        <v>45717</v>
      </c>
      <c r="T64" s="4">
        <f>_xlfn.XLOOKUP(Table1_2[[#This Row],[Campaign_Name]],'Campaign Metadata'!A:A,'Campaign Metadata'!C:C,"not found",0)</f>
        <v>45747</v>
      </c>
      <c r="U64" t="str">
        <f>IF(AND(Table1_2[[#This Row],[Date]]&gt;=Table1_2[[#This Row],[Campaign Start Date2]],Table1_2[[#This Row],[Date]]&lt;=Table1_2[[#This Row],[Campaign End Date3]]),"During Campaign","Before Campaign")</f>
        <v>Before Campaign</v>
      </c>
      <c r="V64" s="30">
        <f>_xlfn.XLOOKUP(Table1_2[[#This Row],[Campaign_Name]],'Campaign Metadata'!A:A,'Campaign Metadata'!E:E,"Not Available",0)</f>
        <v>180000</v>
      </c>
      <c r="W64">
        <f>Table1_2[[#This Row],[Engagement]]/Table1_2[[#This Row],[Campaign Budget]]</f>
        <v>4.9555555555555559E-3</v>
      </c>
      <c r="X64">
        <f>_xlfn.XLOOKUP(Table1_2[[#This Row],[Platform]],'Engagement Summary'!B:B,'Engagement Summary'!H:H,"Not Available",0)</f>
        <v>1047</v>
      </c>
      <c r="Y64">
        <f>WEEKNUM(Table1_2[[#This Row],[Date]])</f>
        <v>16</v>
      </c>
      <c r="Z64">
        <f>_xlfn.XLOOKUP(Table1_2[[#This Row],[Platform]],'Engagement Summary'!B:B,'Engagement Summary'!G:G,"Notavailable",0)</f>
        <v>5904</v>
      </c>
    </row>
    <row r="65" spans="1:26" x14ac:dyDescent="0.3">
      <c r="A65" t="s">
        <v>171</v>
      </c>
      <c r="B65" t="s">
        <v>33</v>
      </c>
      <c r="C65" s="4">
        <v>45465</v>
      </c>
      <c r="D65" t="s">
        <v>22</v>
      </c>
      <c r="E65" t="s">
        <v>113</v>
      </c>
      <c r="F65">
        <v>2180</v>
      </c>
      <c r="G65">
        <v>263</v>
      </c>
      <c r="H65">
        <v>387</v>
      </c>
      <c r="I65">
        <v>30520</v>
      </c>
      <c r="J65">
        <v>30059</v>
      </c>
      <c r="K65">
        <v>174</v>
      </c>
      <c r="L65" t="s">
        <v>37</v>
      </c>
      <c r="M65" t="s">
        <v>617</v>
      </c>
      <c r="N65" s="4">
        <v>0</v>
      </c>
      <c r="O65" s="4">
        <v>0</v>
      </c>
      <c r="P65" t="s">
        <v>637</v>
      </c>
      <c r="Q65">
        <f>Table1_2[[#This Row],[Likes]]+Table1_2[[#This Row],[Shares]]+Table1_2[[#This Row],[Comments]]</f>
        <v>2830</v>
      </c>
      <c r="R65" s="12">
        <f>(Table1_2[[#This Row],[Likes]]+Table1_2[[#This Row],[Shares]]+Table1_2[[#This Row],[Comments]])/Table1_2[[#This Row],[Impressions]]</f>
        <v>9.2726081258191345E-2</v>
      </c>
      <c r="S65" s="4" t="str">
        <f>_xlfn.XLOOKUP(Table1_2[[#This Row],[Campaign_Name]],'Campaign Metadata'!A:A,'Campaign Metadata'!B:B,"not found",0)</f>
        <v>not found</v>
      </c>
      <c r="T65" s="4" t="str">
        <f>_xlfn.XLOOKUP(Table1_2[[#This Row],[Campaign_Name]],'Campaign Metadata'!A:A,'Campaign Metadata'!C:C,"not found",0)</f>
        <v>not found</v>
      </c>
      <c r="U65" t="str">
        <f>IF(AND(Table1_2[[#This Row],[Date]]&gt;=Table1_2[[#This Row],[Campaign Start Date2]],Table1_2[[#This Row],[Date]]&lt;=Table1_2[[#This Row],[Campaign End Date3]]),"During Campaign","Before Campaign")</f>
        <v>Before Campaign</v>
      </c>
      <c r="V65" s="30" t="str">
        <f>_xlfn.XLOOKUP(Table1_2[[#This Row],[Campaign_Name]],'Campaign Metadata'!A:A,'Campaign Metadata'!E:E,"Not Available",0)</f>
        <v>Not Available</v>
      </c>
      <c r="W65" t="e">
        <f>Table1_2[[#This Row],[Engagement]]/Table1_2[[#This Row],[Campaign Budget]]</f>
        <v>#VALUE!</v>
      </c>
      <c r="X65">
        <f>_xlfn.XLOOKUP(Table1_2[[#This Row],[Platform]],'Engagement Summary'!B:B,'Engagement Summary'!H:H,"Not Available",0)</f>
        <v>1047</v>
      </c>
      <c r="Y65">
        <f>WEEKNUM(Table1_2[[#This Row],[Date]])</f>
        <v>25</v>
      </c>
      <c r="Z65">
        <f>_xlfn.XLOOKUP(Table1_2[[#This Row],[Platform]],'Engagement Summary'!B:B,'Engagement Summary'!G:G,"Notavailable",0)</f>
        <v>5904</v>
      </c>
    </row>
    <row r="66" spans="1:26" x14ac:dyDescent="0.3">
      <c r="A66" t="s">
        <v>173</v>
      </c>
      <c r="B66" t="s">
        <v>33</v>
      </c>
      <c r="C66" s="4">
        <v>45685</v>
      </c>
      <c r="D66" t="s">
        <v>74</v>
      </c>
      <c r="E66" t="s">
        <v>85</v>
      </c>
      <c r="F66">
        <v>904</v>
      </c>
      <c r="G66">
        <v>973</v>
      </c>
      <c r="H66">
        <v>63</v>
      </c>
      <c r="I66">
        <v>11752</v>
      </c>
      <c r="J66">
        <v>11580</v>
      </c>
      <c r="K66">
        <v>84</v>
      </c>
      <c r="L66" t="s">
        <v>37</v>
      </c>
      <c r="M66" t="s">
        <v>31</v>
      </c>
      <c r="N66" s="4">
        <v>45651</v>
      </c>
      <c r="O66" s="4">
        <v>45667</v>
      </c>
      <c r="P66" t="s">
        <v>637</v>
      </c>
      <c r="Q66">
        <f>Table1_2[[#This Row],[Likes]]+Table1_2[[#This Row],[Shares]]+Table1_2[[#This Row],[Comments]]</f>
        <v>1940</v>
      </c>
      <c r="R66" s="12">
        <f>(Table1_2[[#This Row],[Likes]]+Table1_2[[#This Row],[Shares]]+Table1_2[[#This Row],[Comments]])/Table1_2[[#This Row],[Impressions]]</f>
        <v>0.1650782845473111</v>
      </c>
      <c r="S66" s="4">
        <f>_xlfn.XLOOKUP(Table1_2[[#This Row],[Campaign_Name]],'Campaign Metadata'!A:A,'Campaign Metadata'!B:B,"not found",0)</f>
        <v>45651</v>
      </c>
      <c r="T66" s="4">
        <f>_xlfn.XLOOKUP(Table1_2[[#This Row],[Campaign_Name]],'Campaign Metadata'!A:A,'Campaign Metadata'!C:C,"not found",0)</f>
        <v>45667</v>
      </c>
      <c r="U66" t="str">
        <f>IF(AND(Table1_2[[#This Row],[Date]]&gt;=Table1_2[[#This Row],[Campaign Start Date2]],Table1_2[[#This Row],[Date]]&lt;=Table1_2[[#This Row],[Campaign End Date3]]),"During Campaign","Before Campaign")</f>
        <v>Before Campaign</v>
      </c>
      <c r="V66" s="30">
        <f>_xlfn.XLOOKUP(Table1_2[[#This Row],[Campaign_Name]],'Campaign Metadata'!A:A,'Campaign Metadata'!E:E,"Not Available",0)</f>
        <v>250000</v>
      </c>
      <c r="W66">
        <f>Table1_2[[#This Row],[Engagement]]/Table1_2[[#This Row],[Campaign Budget]]</f>
        <v>7.7600000000000004E-3</v>
      </c>
      <c r="X66">
        <f>_xlfn.XLOOKUP(Table1_2[[#This Row],[Platform]],'Engagement Summary'!B:B,'Engagement Summary'!H:H,"Not Available",0)</f>
        <v>1047</v>
      </c>
      <c r="Y66">
        <f>WEEKNUM(Table1_2[[#This Row],[Date]])</f>
        <v>5</v>
      </c>
      <c r="Z66">
        <f>_xlfn.XLOOKUP(Table1_2[[#This Row],[Platform]],'Engagement Summary'!B:B,'Engagement Summary'!G:G,"Notavailable",0)</f>
        <v>5904</v>
      </c>
    </row>
    <row r="67" spans="1:26" x14ac:dyDescent="0.3">
      <c r="A67" t="s">
        <v>173</v>
      </c>
      <c r="B67" t="s">
        <v>33</v>
      </c>
      <c r="C67" s="4">
        <v>45685</v>
      </c>
      <c r="D67" t="s">
        <v>74</v>
      </c>
      <c r="E67" t="s">
        <v>85</v>
      </c>
      <c r="F67">
        <v>904</v>
      </c>
      <c r="G67">
        <v>973</v>
      </c>
      <c r="H67">
        <v>63</v>
      </c>
      <c r="I67">
        <v>11752</v>
      </c>
      <c r="J67">
        <v>11580</v>
      </c>
      <c r="K67">
        <v>84</v>
      </c>
      <c r="L67" t="s">
        <v>30</v>
      </c>
      <c r="M67" t="s">
        <v>31</v>
      </c>
      <c r="N67" s="4">
        <v>45651</v>
      </c>
      <c r="O67" s="4">
        <v>45667</v>
      </c>
      <c r="P67" t="s">
        <v>637</v>
      </c>
      <c r="Q67">
        <f>Table1_2[[#This Row],[Likes]]+Table1_2[[#This Row],[Shares]]+Table1_2[[#This Row],[Comments]]</f>
        <v>1940</v>
      </c>
      <c r="R67" s="12">
        <f>(Table1_2[[#This Row],[Likes]]+Table1_2[[#This Row],[Shares]]+Table1_2[[#This Row],[Comments]])/Table1_2[[#This Row],[Impressions]]</f>
        <v>0.1650782845473111</v>
      </c>
      <c r="S67" s="4">
        <f>_xlfn.XLOOKUP(Table1_2[[#This Row],[Campaign_Name]],'Campaign Metadata'!A:A,'Campaign Metadata'!B:B,"not found",0)</f>
        <v>45651</v>
      </c>
      <c r="T67" s="4">
        <f>_xlfn.XLOOKUP(Table1_2[[#This Row],[Campaign_Name]],'Campaign Metadata'!A:A,'Campaign Metadata'!C:C,"not found",0)</f>
        <v>45667</v>
      </c>
      <c r="U67" t="str">
        <f>IF(AND(Table1_2[[#This Row],[Date]]&gt;=Table1_2[[#This Row],[Campaign Start Date2]],Table1_2[[#This Row],[Date]]&lt;=Table1_2[[#This Row],[Campaign End Date3]]),"During Campaign","Before Campaign")</f>
        <v>Before Campaign</v>
      </c>
      <c r="V67" s="30">
        <f>_xlfn.XLOOKUP(Table1_2[[#This Row],[Campaign_Name]],'Campaign Metadata'!A:A,'Campaign Metadata'!E:E,"Not Available",0)</f>
        <v>250000</v>
      </c>
      <c r="W67">
        <f>Table1_2[[#This Row],[Engagement]]/Table1_2[[#This Row],[Campaign Budget]]</f>
        <v>7.7600000000000004E-3</v>
      </c>
      <c r="X67">
        <f>_xlfn.XLOOKUP(Table1_2[[#This Row],[Platform]],'Engagement Summary'!B:B,'Engagement Summary'!H:H,"Not Available",0)</f>
        <v>1047</v>
      </c>
      <c r="Y67">
        <f>WEEKNUM(Table1_2[[#This Row],[Date]])</f>
        <v>5</v>
      </c>
      <c r="Z67">
        <f>_xlfn.XLOOKUP(Table1_2[[#This Row],[Platform]],'Engagement Summary'!B:B,'Engagement Summary'!G:G,"Notavailable",0)</f>
        <v>5904</v>
      </c>
    </row>
    <row r="68" spans="1:26" x14ac:dyDescent="0.3">
      <c r="A68" t="s">
        <v>173</v>
      </c>
      <c r="B68" t="s">
        <v>33</v>
      </c>
      <c r="C68" s="4">
        <v>45685</v>
      </c>
      <c r="D68" t="s">
        <v>74</v>
      </c>
      <c r="E68" t="s">
        <v>85</v>
      </c>
      <c r="F68">
        <v>904</v>
      </c>
      <c r="G68">
        <v>973</v>
      </c>
      <c r="H68">
        <v>63</v>
      </c>
      <c r="I68">
        <v>11752</v>
      </c>
      <c r="J68">
        <v>11580</v>
      </c>
      <c r="K68">
        <v>84</v>
      </c>
      <c r="L68" t="s">
        <v>615</v>
      </c>
      <c r="M68" t="s">
        <v>31</v>
      </c>
      <c r="N68" s="4">
        <v>45651</v>
      </c>
      <c r="O68" s="4">
        <v>45667</v>
      </c>
      <c r="P68" t="s">
        <v>637</v>
      </c>
      <c r="Q68">
        <f>Table1_2[[#This Row],[Likes]]+Table1_2[[#This Row],[Shares]]+Table1_2[[#This Row],[Comments]]</f>
        <v>1940</v>
      </c>
      <c r="R68" s="12">
        <f>(Table1_2[[#This Row],[Likes]]+Table1_2[[#This Row],[Shares]]+Table1_2[[#This Row],[Comments]])/Table1_2[[#This Row],[Impressions]]</f>
        <v>0.1650782845473111</v>
      </c>
      <c r="S68" s="4">
        <f>_xlfn.XLOOKUP(Table1_2[[#This Row],[Campaign_Name]],'Campaign Metadata'!A:A,'Campaign Metadata'!B:B,"not found",0)</f>
        <v>45651</v>
      </c>
      <c r="T68" s="4">
        <f>_xlfn.XLOOKUP(Table1_2[[#This Row],[Campaign_Name]],'Campaign Metadata'!A:A,'Campaign Metadata'!C:C,"not found",0)</f>
        <v>45667</v>
      </c>
      <c r="U68" t="str">
        <f>IF(AND(Table1_2[[#This Row],[Date]]&gt;=Table1_2[[#This Row],[Campaign Start Date2]],Table1_2[[#This Row],[Date]]&lt;=Table1_2[[#This Row],[Campaign End Date3]]),"During Campaign","Before Campaign")</f>
        <v>Before Campaign</v>
      </c>
      <c r="V68" s="30">
        <f>_xlfn.XLOOKUP(Table1_2[[#This Row],[Campaign_Name]],'Campaign Metadata'!A:A,'Campaign Metadata'!E:E,"Not Available",0)</f>
        <v>250000</v>
      </c>
      <c r="W68">
        <f>Table1_2[[#This Row],[Engagement]]/Table1_2[[#This Row],[Campaign Budget]]</f>
        <v>7.7600000000000004E-3</v>
      </c>
      <c r="X68">
        <f>_xlfn.XLOOKUP(Table1_2[[#This Row],[Platform]],'Engagement Summary'!B:B,'Engagement Summary'!H:H,"Not Available",0)</f>
        <v>1047</v>
      </c>
      <c r="Y68">
        <f>WEEKNUM(Table1_2[[#This Row],[Date]])</f>
        <v>5</v>
      </c>
      <c r="Z68">
        <f>_xlfn.XLOOKUP(Table1_2[[#This Row],[Platform]],'Engagement Summary'!B:B,'Engagement Summary'!G:G,"Notavailable",0)</f>
        <v>5904</v>
      </c>
    </row>
    <row r="69" spans="1:26" x14ac:dyDescent="0.3">
      <c r="A69" t="s">
        <v>176</v>
      </c>
      <c r="B69" t="s">
        <v>14</v>
      </c>
      <c r="C69" s="4">
        <v>45540</v>
      </c>
      <c r="D69" t="s">
        <v>74</v>
      </c>
      <c r="E69" t="s">
        <v>145</v>
      </c>
      <c r="F69">
        <v>4886</v>
      </c>
      <c r="G69">
        <v>983</v>
      </c>
      <c r="H69">
        <v>409</v>
      </c>
      <c r="I69">
        <v>43974</v>
      </c>
      <c r="J69">
        <v>43239</v>
      </c>
      <c r="K69">
        <v>65</v>
      </c>
      <c r="L69" t="s">
        <v>30</v>
      </c>
      <c r="M69" t="s">
        <v>19</v>
      </c>
      <c r="N69" s="4">
        <v>45458</v>
      </c>
      <c r="O69" s="4">
        <v>45488</v>
      </c>
      <c r="P69" t="s">
        <v>637</v>
      </c>
      <c r="Q69">
        <f>Table1_2[[#This Row],[Likes]]+Table1_2[[#This Row],[Shares]]+Table1_2[[#This Row],[Comments]]</f>
        <v>6278</v>
      </c>
      <c r="R69" s="12">
        <f>(Table1_2[[#This Row],[Likes]]+Table1_2[[#This Row],[Shares]]+Table1_2[[#This Row],[Comments]])/Table1_2[[#This Row],[Impressions]]</f>
        <v>0.14276618001546368</v>
      </c>
      <c r="S69" s="4">
        <f>_xlfn.XLOOKUP(Table1_2[[#This Row],[Campaign_Name]],'Campaign Metadata'!A:A,'Campaign Metadata'!B:B,"not found",0)</f>
        <v>45458</v>
      </c>
      <c r="T69" s="4">
        <f>_xlfn.XLOOKUP(Table1_2[[#This Row],[Campaign_Name]],'Campaign Metadata'!A:A,'Campaign Metadata'!C:C,"not found",0)</f>
        <v>45488</v>
      </c>
      <c r="U69" t="str">
        <f>IF(AND(Table1_2[[#This Row],[Date]]&gt;=Table1_2[[#This Row],[Campaign Start Date2]],Table1_2[[#This Row],[Date]]&lt;=Table1_2[[#This Row],[Campaign End Date3]]),"During Campaign","Before Campaign")</f>
        <v>Before Campaign</v>
      </c>
      <c r="V69" s="30">
        <f>_xlfn.XLOOKUP(Table1_2[[#This Row],[Campaign_Name]],'Campaign Metadata'!A:A,'Campaign Metadata'!E:E,"Not Available",0)</f>
        <v>150000</v>
      </c>
      <c r="W69">
        <f>Table1_2[[#This Row],[Engagement]]/Table1_2[[#This Row],[Campaign Budget]]</f>
        <v>4.1853333333333333E-2</v>
      </c>
      <c r="X69">
        <f>_xlfn.XLOOKUP(Table1_2[[#This Row],[Platform]],'Engagement Summary'!B:B,'Engagement Summary'!H:H,"Not Available",0)</f>
        <v>415</v>
      </c>
      <c r="Y69">
        <f>WEEKNUM(Table1_2[[#This Row],[Date]])</f>
        <v>36</v>
      </c>
      <c r="Z69">
        <f>_xlfn.XLOOKUP(Table1_2[[#This Row],[Platform]],'Engagement Summary'!B:B,'Engagement Summary'!G:G,"Notavailable",0)</f>
        <v>26752</v>
      </c>
    </row>
    <row r="70" spans="1:26" x14ac:dyDescent="0.3">
      <c r="A70" t="s">
        <v>178</v>
      </c>
      <c r="B70" t="s">
        <v>14</v>
      </c>
      <c r="C70" s="4">
        <v>45618</v>
      </c>
      <c r="D70" t="s">
        <v>45</v>
      </c>
      <c r="E70" t="s">
        <v>49</v>
      </c>
      <c r="F70">
        <v>53</v>
      </c>
      <c r="G70">
        <v>81</v>
      </c>
      <c r="H70">
        <v>379</v>
      </c>
      <c r="I70">
        <v>954</v>
      </c>
      <c r="J70">
        <v>7</v>
      </c>
      <c r="K70">
        <v>148</v>
      </c>
      <c r="L70" t="s">
        <v>30</v>
      </c>
      <c r="M70" t="s">
        <v>31</v>
      </c>
      <c r="N70" s="4">
        <v>45651</v>
      </c>
      <c r="O70" s="4">
        <v>45667</v>
      </c>
      <c r="P70" t="s">
        <v>637</v>
      </c>
      <c r="Q70">
        <f>Table1_2[[#This Row],[Likes]]+Table1_2[[#This Row],[Shares]]+Table1_2[[#This Row],[Comments]]</f>
        <v>513</v>
      </c>
      <c r="R70" s="12">
        <f>(Table1_2[[#This Row],[Likes]]+Table1_2[[#This Row],[Shares]]+Table1_2[[#This Row],[Comments]])/Table1_2[[#This Row],[Impressions]]</f>
        <v>0.53773584905660377</v>
      </c>
      <c r="S70" s="4">
        <f>_xlfn.XLOOKUP(Table1_2[[#This Row],[Campaign_Name]],'Campaign Metadata'!A:A,'Campaign Metadata'!B:B,"not found",0)</f>
        <v>45651</v>
      </c>
      <c r="T70" s="4">
        <f>_xlfn.XLOOKUP(Table1_2[[#This Row],[Campaign_Name]],'Campaign Metadata'!A:A,'Campaign Metadata'!C:C,"not found",0)</f>
        <v>45667</v>
      </c>
      <c r="U70" t="str">
        <f>IF(AND(Table1_2[[#This Row],[Date]]&gt;=Table1_2[[#This Row],[Campaign Start Date2]],Table1_2[[#This Row],[Date]]&lt;=Table1_2[[#This Row],[Campaign End Date3]]),"During Campaign","Before Campaign")</f>
        <v>Before Campaign</v>
      </c>
      <c r="V70" s="30">
        <f>_xlfn.XLOOKUP(Table1_2[[#This Row],[Campaign_Name]],'Campaign Metadata'!A:A,'Campaign Metadata'!E:E,"Not Available",0)</f>
        <v>250000</v>
      </c>
      <c r="W70">
        <f>Table1_2[[#This Row],[Engagement]]/Table1_2[[#This Row],[Campaign Budget]]</f>
        <v>2.052E-3</v>
      </c>
      <c r="X70">
        <f>_xlfn.XLOOKUP(Table1_2[[#This Row],[Platform]],'Engagement Summary'!B:B,'Engagement Summary'!H:H,"Not Available",0)</f>
        <v>415</v>
      </c>
      <c r="Y70">
        <f>WEEKNUM(Table1_2[[#This Row],[Date]])</f>
        <v>47</v>
      </c>
      <c r="Z70">
        <f>_xlfn.XLOOKUP(Table1_2[[#This Row],[Platform]],'Engagement Summary'!B:B,'Engagement Summary'!G:G,"Notavailable",0)</f>
        <v>26752</v>
      </c>
    </row>
    <row r="71" spans="1:26" x14ac:dyDescent="0.3">
      <c r="A71" t="s">
        <v>180</v>
      </c>
      <c r="B71" t="s">
        <v>14</v>
      </c>
      <c r="C71" s="4">
        <v>45504</v>
      </c>
      <c r="D71" t="s">
        <v>45</v>
      </c>
      <c r="E71" t="s">
        <v>49</v>
      </c>
      <c r="F71">
        <v>4507</v>
      </c>
      <c r="G71">
        <v>217</v>
      </c>
      <c r="H71">
        <v>13</v>
      </c>
      <c r="I71">
        <v>90140</v>
      </c>
      <c r="J71">
        <v>89591</v>
      </c>
      <c r="K71">
        <v>125</v>
      </c>
      <c r="L71" t="s">
        <v>62</v>
      </c>
      <c r="M71" t="s">
        <v>31</v>
      </c>
      <c r="N71" s="4">
        <v>45651</v>
      </c>
      <c r="O71" s="4">
        <v>45667</v>
      </c>
      <c r="P71" t="s">
        <v>637</v>
      </c>
      <c r="Q71">
        <f>Table1_2[[#This Row],[Likes]]+Table1_2[[#This Row],[Shares]]+Table1_2[[#This Row],[Comments]]</f>
        <v>4737</v>
      </c>
      <c r="R71" s="12">
        <f>(Table1_2[[#This Row],[Likes]]+Table1_2[[#This Row],[Shares]]+Table1_2[[#This Row],[Comments]])/Table1_2[[#This Row],[Impressions]]</f>
        <v>5.2551586421122697E-2</v>
      </c>
      <c r="S71" s="4">
        <f>_xlfn.XLOOKUP(Table1_2[[#This Row],[Campaign_Name]],'Campaign Metadata'!A:A,'Campaign Metadata'!B:B,"not found",0)</f>
        <v>45651</v>
      </c>
      <c r="T71" s="4">
        <f>_xlfn.XLOOKUP(Table1_2[[#This Row],[Campaign_Name]],'Campaign Metadata'!A:A,'Campaign Metadata'!C:C,"not found",0)</f>
        <v>45667</v>
      </c>
      <c r="U71" t="str">
        <f>IF(AND(Table1_2[[#This Row],[Date]]&gt;=Table1_2[[#This Row],[Campaign Start Date2]],Table1_2[[#This Row],[Date]]&lt;=Table1_2[[#This Row],[Campaign End Date3]]),"During Campaign","Before Campaign")</f>
        <v>Before Campaign</v>
      </c>
      <c r="V71" s="30">
        <f>_xlfn.XLOOKUP(Table1_2[[#This Row],[Campaign_Name]],'Campaign Metadata'!A:A,'Campaign Metadata'!E:E,"Not Available",0)</f>
        <v>250000</v>
      </c>
      <c r="W71">
        <f>Table1_2[[#This Row],[Engagement]]/Table1_2[[#This Row],[Campaign Budget]]</f>
        <v>1.8948E-2</v>
      </c>
      <c r="X71">
        <f>_xlfn.XLOOKUP(Table1_2[[#This Row],[Platform]],'Engagement Summary'!B:B,'Engagement Summary'!H:H,"Not Available",0)</f>
        <v>415</v>
      </c>
      <c r="Y71">
        <f>WEEKNUM(Table1_2[[#This Row],[Date]])</f>
        <v>31</v>
      </c>
      <c r="Z71">
        <f>_xlfn.XLOOKUP(Table1_2[[#This Row],[Platform]],'Engagement Summary'!B:B,'Engagement Summary'!G:G,"Notavailable",0)</f>
        <v>26752</v>
      </c>
    </row>
    <row r="72" spans="1:26" x14ac:dyDescent="0.3">
      <c r="A72" t="s">
        <v>181</v>
      </c>
      <c r="B72" t="s">
        <v>43</v>
      </c>
      <c r="C72" s="4">
        <v>45521</v>
      </c>
      <c r="D72" t="s">
        <v>52</v>
      </c>
      <c r="E72" t="s">
        <v>59</v>
      </c>
      <c r="F72">
        <v>2878</v>
      </c>
      <c r="G72">
        <v>248</v>
      </c>
      <c r="H72">
        <v>416</v>
      </c>
      <c r="I72">
        <v>43170</v>
      </c>
      <c r="J72">
        <v>42667</v>
      </c>
      <c r="K72">
        <v>75</v>
      </c>
      <c r="L72" t="s">
        <v>62</v>
      </c>
      <c r="M72" t="s">
        <v>31</v>
      </c>
      <c r="N72" s="4">
        <v>45651</v>
      </c>
      <c r="O72" s="4">
        <v>45667</v>
      </c>
      <c r="P72" t="s">
        <v>637</v>
      </c>
      <c r="Q72">
        <f>Table1_2[[#This Row],[Likes]]+Table1_2[[#This Row],[Shares]]+Table1_2[[#This Row],[Comments]]</f>
        <v>3542</v>
      </c>
      <c r="R72" s="12">
        <f>(Table1_2[[#This Row],[Likes]]+Table1_2[[#This Row],[Shares]]+Table1_2[[#This Row],[Comments]])/Table1_2[[#This Row],[Impressions]]</f>
        <v>8.2047718322909427E-2</v>
      </c>
      <c r="S72" s="4">
        <f>_xlfn.XLOOKUP(Table1_2[[#This Row],[Campaign_Name]],'Campaign Metadata'!A:A,'Campaign Metadata'!B:B,"not found",0)</f>
        <v>45651</v>
      </c>
      <c r="T72" s="4">
        <f>_xlfn.XLOOKUP(Table1_2[[#This Row],[Campaign_Name]],'Campaign Metadata'!A:A,'Campaign Metadata'!C:C,"not found",0)</f>
        <v>45667</v>
      </c>
      <c r="U72" t="str">
        <f>IF(AND(Table1_2[[#This Row],[Date]]&gt;=Table1_2[[#This Row],[Campaign Start Date2]],Table1_2[[#This Row],[Date]]&lt;=Table1_2[[#This Row],[Campaign End Date3]]),"During Campaign","Before Campaign")</f>
        <v>Before Campaign</v>
      </c>
      <c r="V72" s="30">
        <f>_xlfn.XLOOKUP(Table1_2[[#This Row],[Campaign_Name]],'Campaign Metadata'!A:A,'Campaign Metadata'!E:E,"Not Available",0)</f>
        <v>250000</v>
      </c>
      <c r="W72">
        <f>Table1_2[[#This Row],[Engagement]]/Table1_2[[#This Row],[Campaign Budget]]</f>
        <v>1.4168E-2</v>
      </c>
      <c r="X72">
        <f>_xlfn.XLOOKUP(Table1_2[[#This Row],[Platform]],'Engagement Summary'!B:B,'Engagement Summary'!H:H,"Not Available",0)</f>
        <v>1002</v>
      </c>
      <c r="Y72">
        <f>WEEKNUM(Table1_2[[#This Row],[Date]])</f>
        <v>33</v>
      </c>
      <c r="Z72">
        <f>_xlfn.XLOOKUP(Table1_2[[#This Row],[Platform]],'Engagement Summary'!B:B,'Engagement Summary'!G:G,"Notavailable",0)</f>
        <v>9566</v>
      </c>
    </row>
    <row r="73" spans="1:26" x14ac:dyDescent="0.3">
      <c r="A73" t="s">
        <v>183</v>
      </c>
      <c r="B73" t="s">
        <v>33</v>
      </c>
      <c r="C73" s="4">
        <v>45744</v>
      </c>
      <c r="D73" t="s">
        <v>35</v>
      </c>
      <c r="E73" t="s">
        <v>36</v>
      </c>
      <c r="F73">
        <v>1881</v>
      </c>
      <c r="G73">
        <v>501</v>
      </c>
      <c r="H73">
        <v>99</v>
      </c>
      <c r="I73">
        <v>20691</v>
      </c>
      <c r="J73">
        <v>19987</v>
      </c>
      <c r="K73">
        <v>289</v>
      </c>
      <c r="L73" t="s">
        <v>37</v>
      </c>
      <c r="M73" t="s">
        <v>617</v>
      </c>
      <c r="N73" s="4">
        <v>0</v>
      </c>
      <c r="O73" s="4">
        <v>0</v>
      </c>
      <c r="P73" t="s">
        <v>637</v>
      </c>
      <c r="Q73">
        <f>Table1_2[[#This Row],[Likes]]+Table1_2[[#This Row],[Shares]]+Table1_2[[#This Row],[Comments]]</f>
        <v>2481</v>
      </c>
      <c r="R73" s="12">
        <f>(Table1_2[[#This Row],[Likes]]+Table1_2[[#This Row],[Shares]]+Table1_2[[#This Row],[Comments]])/Table1_2[[#This Row],[Impressions]]</f>
        <v>0.11990720603160794</v>
      </c>
      <c r="S73" s="4" t="str">
        <f>_xlfn.XLOOKUP(Table1_2[[#This Row],[Campaign_Name]],'Campaign Metadata'!A:A,'Campaign Metadata'!B:B,"not found",0)</f>
        <v>not found</v>
      </c>
      <c r="T73" s="4" t="str">
        <f>_xlfn.XLOOKUP(Table1_2[[#This Row],[Campaign_Name]],'Campaign Metadata'!A:A,'Campaign Metadata'!C:C,"not found",0)</f>
        <v>not found</v>
      </c>
      <c r="U73" t="str">
        <f>IF(AND(Table1_2[[#This Row],[Date]]&gt;=Table1_2[[#This Row],[Campaign Start Date2]],Table1_2[[#This Row],[Date]]&lt;=Table1_2[[#This Row],[Campaign End Date3]]),"During Campaign","Before Campaign")</f>
        <v>Before Campaign</v>
      </c>
      <c r="V73" s="30" t="str">
        <f>_xlfn.XLOOKUP(Table1_2[[#This Row],[Campaign_Name]],'Campaign Metadata'!A:A,'Campaign Metadata'!E:E,"Not Available",0)</f>
        <v>Not Available</v>
      </c>
      <c r="W73" t="e">
        <f>Table1_2[[#This Row],[Engagement]]/Table1_2[[#This Row],[Campaign Budget]]</f>
        <v>#VALUE!</v>
      </c>
      <c r="X73">
        <f>_xlfn.XLOOKUP(Table1_2[[#This Row],[Platform]],'Engagement Summary'!B:B,'Engagement Summary'!H:H,"Not Available",0)</f>
        <v>1047</v>
      </c>
      <c r="Y73">
        <f>WEEKNUM(Table1_2[[#This Row],[Date]])</f>
        <v>13</v>
      </c>
      <c r="Z73">
        <f>_xlfn.XLOOKUP(Table1_2[[#This Row],[Platform]],'Engagement Summary'!B:B,'Engagement Summary'!G:G,"Notavailable",0)</f>
        <v>5904</v>
      </c>
    </row>
    <row r="74" spans="1:26" x14ac:dyDescent="0.3">
      <c r="A74" t="s">
        <v>185</v>
      </c>
      <c r="B74" t="s">
        <v>14</v>
      </c>
      <c r="C74" s="4">
        <v>45499</v>
      </c>
      <c r="D74" t="s">
        <v>45</v>
      </c>
      <c r="E74" t="s">
        <v>49</v>
      </c>
      <c r="F74">
        <v>432</v>
      </c>
      <c r="G74">
        <v>171</v>
      </c>
      <c r="H74">
        <v>280</v>
      </c>
      <c r="I74">
        <v>3024</v>
      </c>
      <c r="J74">
        <v>2285</v>
      </c>
      <c r="K74">
        <v>184</v>
      </c>
      <c r="L74" t="s">
        <v>37</v>
      </c>
      <c r="M74" t="s">
        <v>19</v>
      </c>
      <c r="N74" s="4">
        <v>45458</v>
      </c>
      <c r="O74" s="4">
        <v>45488</v>
      </c>
      <c r="P74" t="s">
        <v>637</v>
      </c>
      <c r="Q74">
        <f>Table1_2[[#This Row],[Likes]]+Table1_2[[#This Row],[Shares]]+Table1_2[[#This Row],[Comments]]</f>
        <v>883</v>
      </c>
      <c r="R74" s="12">
        <f>(Table1_2[[#This Row],[Likes]]+Table1_2[[#This Row],[Shares]]+Table1_2[[#This Row],[Comments]])/Table1_2[[#This Row],[Impressions]]</f>
        <v>0.29199735449735448</v>
      </c>
      <c r="S74" s="4">
        <f>_xlfn.XLOOKUP(Table1_2[[#This Row],[Campaign_Name]],'Campaign Metadata'!A:A,'Campaign Metadata'!B:B,"not found",0)</f>
        <v>45458</v>
      </c>
      <c r="T74" s="4">
        <f>_xlfn.XLOOKUP(Table1_2[[#This Row],[Campaign_Name]],'Campaign Metadata'!A:A,'Campaign Metadata'!C:C,"not found",0)</f>
        <v>45488</v>
      </c>
      <c r="U74" t="str">
        <f>IF(AND(Table1_2[[#This Row],[Date]]&gt;=Table1_2[[#This Row],[Campaign Start Date2]],Table1_2[[#This Row],[Date]]&lt;=Table1_2[[#This Row],[Campaign End Date3]]),"During Campaign","Before Campaign")</f>
        <v>Before Campaign</v>
      </c>
      <c r="V74" s="30">
        <f>_xlfn.XLOOKUP(Table1_2[[#This Row],[Campaign_Name]],'Campaign Metadata'!A:A,'Campaign Metadata'!E:E,"Not Available",0)</f>
        <v>150000</v>
      </c>
      <c r="W74">
        <f>Table1_2[[#This Row],[Engagement]]/Table1_2[[#This Row],[Campaign Budget]]</f>
        <v>5.8866666666666668E-3</v>
      </c>
      <c r="X74">
        <f>_xlfn.XLOOKUP(Table1_2[[#This Row],[Platform]],'Engagement Summary'!B:B,'Engagement Summary'!H:H,"Not Available",0)</f>
        <v>415</v>
      </c>
      <c r="Y74">
        <f>WEEKNUM(Table1_2[[#This Row],[Date]])</f>
        <v>30</v>
      </c>
      <c r="Z74">
        <f>_xlfn.XLOOKUP(Table1_2[[#This Row],[Platform]],'Engagement Summary'!B:B,'Engagement Summary'!G:G,"Notavailable",0)</f>
        <v>26752</v>
      </c>
    </row>
    <row r="75" spans="1:26" x14ac:dyDescent="0.3">
      <c r="A75" t="s">
        <v>187</v>
      </c>
      <c r="B75" t="s">
        <v>43</v>
      </c>
      <c r="C75" s="4">
        <v>45745</v>
      </c>
      <c r="D75" t="s">
        <v>45</v>
      </c>
      <c r="E75" t="s">
        <v>46</v>
      </c>
      <c r="F75">
        <v>4712</v>
      </c>
      <c r="G75">
        <v>568</v>
      </c>
      <c r="H75">
        <v>127</v>
      </c>
      <c r="I75">
        <v>84816</v>
      </c>
      <c r="J75">
        <v>84691</v>
      </c>
      <c r="K75">
        <v>100</v>
      </c>
      <c r="L75" t="s">
        <v>37</v>
      </c>
      <c r="M75" t="s">
        <v>31</v>
      </c>
      <c r="N75" s="4">
        <v>45651</v>
      </c>
      <c r="O75" s="4">
        <v>45667</v>
      </c>
      <c r="P75" t="s">
        <v>637</v>
      </c>
      <c r="Q75">
        <f>Table1_2[[#This Row],[Likes]]+Table1_2[[#This Row],[Shares]]+Table1_2[[#This Row],[Comments]]</f>
        <v>5407</v>
      </c>
      <c r="R75" s="12">
        <f>(Table1_2[[#This Row],[Likes]]+Table1_2[[#This Row],[Shares]]+Table1_2[[#This Row],[Comments]])/Table1_2[[#This Row],[Impressions]]</f>
        <v>6.3749764195434822E-2</v>
      </c>
      <c r="S75" s="4">
        <f>_xlfn.XLOOKUP(Table1_2[[#This Row],[Campaign_Name]],'Campaign Metadata'!A:A,'Campaign Metadata'!B:B,"not found",0)</f>
        <v>45651</v>
      </c>
      <c r="T75" s="4">
        <f>_xlfn.XLOOKUP(Table1_2[[#This Row],[Campaign_Name]],'Campaign Metadata'!A:A,'Campaign Metadata'!C:C,"not found",0)</f>
        <v>45667</v>
      </c>
      <c r="U75" t="str">
        <f>IF(AND(Table1_2[[#This Row],[Date]]&gt;=Table1_2[[#This Row],[Campaign Start Date2]],Table1_2[[#This Row],[Date]]&lt;=Table1_2[[#This Row],[Campaign End Date3]]),"During Campaign","Before Campaign")</f>
        <v>Before Campaign</v>
      </c>
      <c r="V75" s="30">
        <f>_xlfn.XLOOKUP(Table1_2[[#This Row],[Campaign_Name]],'Campaign Metadata'!A:A,'Campaign Metadata'!E:E,"Not Available",0)</f>
        <v>250000</v>
      </c>
      <c r="W75">
        <f>Table1_2[[#This Row],[Engagement]]/Table1_2[[#This Row],[Campaign Budget]]</f>
        <v>2.1628000000000001E-2</v>
      </c>
      <c r="X75">
        <f>_xlfn.XLOOKUP(Table1_2[[#This Row],[Platform]],'Engagement Summary'!B:B,'Engagement Summary'!H:H,"Not Available",0)</f>
        <v>1002</v>
      </c>
      <c r="Y75">
        <f>WEEKNUM(Table1_2[[#This Row],[Date]])</f>
        <v>13</v>
      </c>
      <c r="Z75">
        <f>_xlfn.XLOOKUP(Table1_2[[#This Row],[Platform]],'Engagement Summary'!B:B,'Engagement Summary'!G:G,"Notavailable",0)</f>
        <v>9566</v>
      </c>
    </row>
    <row r="76" spans="1:26" x14ac:dyDescent="0.3">
      <c r="A76" t="s">
        <v>189</v>
      </c>
      <c r="B76" t="s">
        <v>33</v>
      </c>
      <c r="C76" s="4">
        <v>45634</v>
      </c>
      <c r="D76" t="s">
        <v>35</v>
      </c>
      <c r="E76" t="s">
        <v>36</v>
      </c>
      <c r="F76">
        <v>2610</v>
      </c>
      <c r="G76">
        <v>126</v>
      </c>
      <c r="H76">
        <v>288</v>
      </c>
      <c r="I76">
        <v>15660</v>
      </c>
      <c r="J76">
        <v>15145</v>
      </c>
      <c r="K76">
        <v>73</v>
      </c>
      <c r="L76" t="s">
        <v>37</v>
      </c>
      <c r="M76" t="s">
        <v>617</v>
      </c>
      <c r="N76" s="4">
        <v>0</v>
      </c>
      <c r="O76" s="4">
        <v>0</v>
      </c>
      <c r="P76" t="s">
        <v>637</v>
      </c>
      <c r="Q76">
        <f>Table1_2[[#This Row],[Likes]]+Table1_2[[#This Row],[Shares]]+Table1_2[[#This Row],[Comments]]</f>
        <v>3024</v>
      </c>
      <c r="R76" s="12">
        <f>(Table1_2[[#This Row],[Likes]]+Table1_2[[#This Row],[Shares]]+Table1_2[[#This Row],[Comments]])/Table1_2[[#This Row],[Impressions]]</f>
        <v>0.19310344827586207</v>
      </c>
      <c r="S76" s="4" t="str">
        <f>_xlfn.XLOOKUP(Table1_2[[#This Row],[Campaign_Name]],'Campaign Metadata'!A:A,'Campaign Metadata'!B:B,"not found",0)</f>
        <v>not found</v>
      </c>
      <c r="T76" s="4" t="str">
        <f>_xlfn.XLOOKUP(Table1_2[[#This Row],[Campaign_Name]],'Campaign Metadata'!A:A,'Campaign Metadata'!C:C,"not found",0)</f>
        <v>not found</v>
      </c>
      <c r="U76" t="str">
        <f>IF(AND(Table1_2[[#This Row],[Date]]&gt;=Table1_2[[#This Row],[Campaign Start Date2]],Table1_2[[#This Row],[Date]]&lt;=Table1_2[[#This Row],[Campaign End Date3]]),"During Campaign","Before Campaign")</f>
        <v>Before Campaign</v>
      </c>
      <c r="V76" s="30" t="str">
        <f>_xlfn.XLOOKUP(Table1_2[[#This Row],[Campaign_Name]],'Campaign Metadata'!A:A,'Campaign Metadata'!E:E,"Not Available",0)</f>
        <v>Not Available</v>
      </c>
      <c r="W76" t="e">
        <f>Table1_2[[#This Row],[Engagement]]/Table1_2[[#This Row],[Campaign Budget]]</f>
        <v>#VALUE!</v>
      </c>
      <c r="X76">
        <f>_xlfn.XLOOKUP(Table1_2[[#This Row],[Platform]],'Engagement Summary'!B:B,'Engagement Summary'!H:H,"Not Available",0)</f>
        <v>1047</v>
      </c>
      <c r="Y76">
        <f>WEEKNUM(Table1_2[[#This Row],[Date]])</f>
        <v>50</v>
      </c>
      <c r="Z76">
        <f>_xlfn.XLOOKUP(Table1_2[[#This Row],[Platform]],'Engagement Summary'!B:B,'Engagement Summary'!G:G,"Notavailable",0)</f>
        <v>5904</v>
      </c>
    </row>
    <row r="77" spans="1:26" x14ac:dyDescent="0.3">
      <c r="A77" t="s">
        <v>191</v>
      </c>
      <c r="B77" t="s">
        <v>14</v>
      </c>
      <c r="C77" s="4">
        <v>45724</v>
      </c>
      <c r="D77" t="s">
        <v>22</v>
      </c>
      <c r="E77" t="s">
        <v>23</v>
      </c>
      <c r="F77">
        <v>1292</v>
      </c>
      <c r="G77">
        <v>626</v>
      </c>
      <c r="H77">
        <v>496</v>
      </c>
      <c r="I77">
        <v>25840</v>
      </c>
      <c r="J77">
        <v>24916</v>
      </c>
      <c r="K77">
        <v>149</v>
      </c>
      <c r="L77" t="s">
        <v>62</v>
      </c>
      <c r="M77" t="s">
        <v>31</v>
      </c>
      <c r="N77" s="4">
        <v>45651</v>
      </c>
      <c r="O77" s="4">
        <v>45667</v>
      </c>
      <c r="P77" t="s">
        <v>637</v>
      </c>
      <c r="Q77">
        <f>Table1_2[[#This Row],[Likes]]+Table1_2[[#This Row],[Shares]]+Table1_2[[#This Row],[Comments]]</f>
        <v>2414</v>
      </c>
      <c r="R77" s="12">
        <f>(Table1_2[[#This Row],[Likes]]+Table1_2[[#This Row],[Shares]]+Table1_2[[#This Row],[Comments]])/Table1_2[[#This Row],[Impressions]]</f>
        <v>9.3421052631578946E-2</v>
      </c>
      <c r="S77" s="4">
        <f>_xlfn.XLOOKUP(Table1_2[[#This Row],[Campaign_Name]],'Campaign Metadata'!A:A,'Campaign Metadata'!B:B,"not found",0)</f>
        <v>45651</v>
      </c>
      <c r="T77" s="4">
        <f>_xlfn.XLOOKUP(Table1_2[[#This Row],[Campaign_Name]],'Campaign Metadata'!A:A,'Campaign Metadata'!C:C,"not found",0)</f>
        <v>45667</v>
      </c>
      <c r="U77" t="str">
        <f>IF(AND(Table1_2[[#This Row],[Date]]&gt;=Table1_2[[#This Row],[Campaign Start Date2]],Table1_2[[#This Row],[Date]]&lt;=Table1_2[[#This Row],[Campaign End Date3]]),"During Campaign","Before Campaign")</f>
        <v>Before Campaign</v>
      </c>
      <c r="V77" s="30">
        <f>_xlfn.XLOOKUP(Table1_2[[#This Row],[Campaign_Name]],'Campaign Metadata'!A:A,'Campaign Metadata'!E:E,"Not Available",0)</f>
        <v>250000</v>
      </c>
      <c r="W77">
        <f>Table1_2[[#This Row],[Engagement]]/Table1_2[[#This Row],[Campaign Budget]]</f>
        <v>9.6559999999999997E-3</v>
      </c>
      <c r="X77">
        <f>_xlfn.XLOOKUP(Table1_2[[#This Row],[Platform]],'Engagement Summary'!B:B,'Engagement Summary'!H:H,"Not Available",0)</f>
        <v>415</v>
      </c>
      <c r="Y77">
        <f>WEEKNUM(Table1_2[[#This Row],[Date]])</f>
        <v>10</v>
      </c>
      <c r="Z77">
        <f>_xlfn.XLOOKUP(Table1_2[[#This Row],[Platform]],'Engagement Summary'!B:B,'Engagement Summary'!G:G,"Notavailable",0)</f>
        <v>26752</v>
      </c>
    </row>
    <row r="78" spans="1:26" x14ac:dyDescent="0.3">
      <c r="A78" t="s">
        <v>192</v>
      </c>
      <c r="B78" t="s">
        <v>43</v>
      </c>
      <c r="C78" s="4">
        <v>45749</v>
      </c>
      <c r="D78" t="s">
        <v>74</v>
      </c>
      <c r="E78" t="s">
        <v>75</v>
      </c>
      <c r="F78">
        <v>199</v>
      </c>
      <c r="G78">
        <v>772</v>
      </c>
      <c r="H78">
        <v>400</v>
      </c>
      <c r="I78">
        <v>3582</v>
      </c>
      <c r="J78">
        <v>2988</v>
      </c>
      <c r="K78">
        <v>43</v>
      </c>
      <c r="L78" t="s">
        <v>30</v>
      </c>
      <c r="M78" t="s">
        <v>617</v>
      </c>
      <c r="N78" s="4">
        <v>0</v>
      </c>
      <c r="O78" s="4">
        <v>0</v>
      </c>
      <c r="P78" t="s">
        <v>637</v>
      </c>
      <c r="Q78">
        <f>Table1_2[[#This Row],[Likes]]+Table1_2[[#This Row],[Shares]]+Table1_2[[#This Row],[Comments]]</f>
        <v>1371</v>
      </c>
      <c r="R78" s="12">
        <f>(Table1_2[[#This Row],[Likes]]+Table1_2[[#This Row],[Shares]]+Table1_2[[#This Row],[Comments]])/Table1_2[[#This Row],[Impressions]]</f>
        <v>0.38274706867671693</v>
      </c>
      <c r="S78" s="4" t="str">
        <f>_xlfn.XLOOKUP(Table1_2[[#This Row],[Campaign_Name]],'Campaign Metadata'!A:A,'Campaign Metadata'!B:B,"not found",0)</f>
        <v>not found</v>
      </c>
      <c r="T78" s="4" t="str">
        <f>_xlfn.XLOOKUP(Table1_2[[#This Row],[Campaign_Name]],'Campaign Metadata'!A:A,'Campaign Metadata'!C:C,"not found",0)</f>
        <v>not found</v>
      </c>
      <c r="U78" t="str">
        <f>IF(AND(Table1_2[[#This Row],[Date]]&gt;=Table1_2[[#This Row],[Campaign Start Date2]],Table1_2[[#This Row],[Date]]&lt;=Table1_2[[#This Row],[Campaign End Date3]]),"During Campaign","Before Campaign")</f>
        <v>Before Campaign</v>
      </c>
      <c r="V78" s="30" t="str">
        <f>_xlfn.XLOOKUP(Table1_2[[#This Row],[Campaign_Name]],'Campaign Metadata'!A:A,'Campaign Metadata'!E:E,"Not Available",0)</f>
        <v>Not Available</v>
      </c>
      <c r="W78" t="e">
        <f>Table1_2[[#This Row],[Engagement]]/Table1_2[[#This Row],[Campaign Budget]]</f>
        <v>#VALUE!</v>
      </c>
      <c r="X78">
        <f>_xlfn.XLOOKUP(Table1_2[[#This Row],[Platform]],'Engagement Summary'!B:B,'Engagement Summary'!H:H,"Not Available",0)</f>
        <v>1002</v>
      </c>
      <c r="Y78">
        <f>WEEKNUM(Table1_2[[#This Row],[Date]])</f>
        <v>14</v>
      </c>
      <c r="Z78">
        <f>_xlfn.XLOOKUP(Table1_2[[#This Row],[Platform]],'Engagement Summary'!B:B,'Engagement Summary'!G:G,"Notavailable",0)</f>
        <v>9566</v>
      </c>
    </row>
    <row r="79" spans="1:26" x14ac:dyDescent="0.3">
      <c r="A79" t="s">
        <v>194</v>
      </c>
      <c r="B79" t="s">
        <v>27</v>
      </c>
      <c r="C79" s="4">
        <v>45537</v>
      </c>
      <c r="D79" t="s">
        <v>45</v>
      </c>
      <c r="E79" t="s">
        <v>68</v>
      </c>
      <c r="F79">
        <v>2551</v>
      </c>
      <c r="G79">
        <v>915</v>
      </c>
      <c r="H79">
        <v>205</v>
      </c>
      <c r="I79">
        <v>30612</v>
      </c>
      <c r="J79">
        <v>30360</v>
      </c>
      <c r="K79">
        <v>227</v>
      </c>
      <c r="L79" t="s">
        <v>30</v>
      </c>
      <c r="M79" t="s">
        <v>25</v>
      </c>
      <c r="N79" s="4">
        <v>45566</v>
      </c>
      <c r="O79" s="4">
        <v>45596</v>
      </c>
      <c r="P79" t="s">
        <v>637</v>
      </c>
      <c r="Q79">
        <f>Table1_2[[#This Row],[Likes]]+Table1_2[[#This Row],[Shares]]+Table1_2[[#This Row],[Comments]]</f>
        <v>3671</v>
      </c>
      <c r="R79" s="12">
        <f>(Table1_2[[#This Row],[Likes]]+Table1_2[[#This Row],[Shares]]+Table1_2[[#This Row],[Comments]])/Table1_2[[#This Row],[Impressions]]</f>
        <v>0.1199202926956749</v>
      </c>
      <c r="S79" s="4">
        <f>_xlfn.XLOOKUP(Table1_2[[#This Row],[Campaign_Name]],'Campaign Metadata'!A:A,'Campaign Metadata'!B:B,"not found",0)</f>
        <v>45566</v>
      </c>
      <c r="T79" s="4">
        <f>_xlfn.XLOOKUP(Table1_2[[#This Row],[Campaign_Name]],'Campaign Metadata'!A:A,'Campaign Metadata'!C:C,"not found",0)</f>
        <v>45596</v>
      </c>
      <c r="U79" t="str">
        <f>IF(AND(Table1_2[[#This Row],[Date]]&gt;=Table1_2[[#This Row],[Campaign Start Date2]],Table1_2[[#This Row],[Date]]&lt;=Table1_2[[#This Row],[Campaign End Date3]]),"During Campaign","Before Campaign")</f>
        <v>Before Campaign</v>
      </c>
      <c r="V79" s="30">
        <f>_xlfn.XLOOKUP(Table1_2[[#This Row],[Campaign_Name]],'Campaign Metadata'!A:A,'Campaign Metadata'!E:E,"Not Available",0)</f>
        <v>200000</v>
      </c>
      <c r="W79">
        <f>Table1_2[[#This Row],[Engagement]]/Table1_2[[#This Row],[Campaign Budget]]</f>
        <v>1.8355E-2</v>
      </c>
      <c r="X79">
        <f>_xlfn.XLOOKUP(Table1_2[[#This Row],[Platform]],'Engagement Summary'!B:B,'Engagement Summary'!H:H,"Not Available",0)</f>
        <v>1090</v>
      </c>
      <c r="Y79">
        <f>WEEKNUM(Table1_2[[#This Row],[Date]])</f>
        <v>36</v>
      </c>
      <c r="Z79">
        <f>_xlfn.XLOOKUP(Table1_2[[#This Row],[Platform]],'Engagement Summary'!B:B,'Engagement Summary'!G:G,"Notavailable",0)</f>
        <v>30671</v>
      </c>
    </row>
    <row r="80" spans="1:26" x14ac:dyDescent="0.3">
      <c r="A80" t="s">
        <v>196</v>
      </c>
      <c r="B80" t="s">
        <v>27</v>
      </c>
      <c r="C80" s="4">
        <v>45719</v>
      </c>
      <c r="D80" t="s">
        <v>16</v>
      </c>
      <c r="E80" t="s">
        <v>29</v>
      </c>
      <c r="F80">
        <v>296</v>
      </c>
      <c r="G80">
        <v>60</v>
      </c>
      <c r="H80">
        <v>141</v>
      </c>
      <c r="I80">
        <v>5624</v>
      </c>
      <c r="J80">
        <v>5239</v>
      </c>
      <c r="K80">
        <v>88</v>
      </c>
      <c r="L80" t="s">
        <v>37</v>
      </c>
      <c r="M80" t="s">
        <v>25</v>
      </c>
      <c r="N80" s="4">
        <v>45566</v>
      </c>
      <c r="O80" s="4">
        <v>45596</v>
      </c>
      <c r="P80" t="s">
        <v>637</v>
      </c>
      <c r="Q80">
        <f>Table1_2[[#This Row],[Likes]]+Table1_2[[#This Row],[Shares]]+Table1_2[[#This Row],[Comments]]</f>
        <v>497</v>
      </c>
      <c r="R80" s="12">
        <f>(Table1_2[[#This Row],[Likes]]+Table1_2[[#This Row],[Shares]]+Table1_2[[#This Row],[Comments]])/Table1_2[[#This Row],[Impressions]]</f>
        <v>8.837126600284495E-2</v>
      </c>
      <c r="S80" s="4">
        <f>_xlfn.XLOOKUP(Table1_2[[#This Row],[Campaign_Name]],'Campaign Metadata'!A:A,'Campaign Metadata'!B:B,"not found",0)</f>
        <v>45566</v>
      </c>
      <c r="T80" s="4">
        <f>_xlfn.XLOOKUP(Table1_2[[#This Row],[Campaign_Name]],'Campaign Metadata'!A:A,'Campaign Metadata'!C:C,"not found",0)</f>
        <v>45596</v>
      </c>
      <c r="U80" t="str">
        <f>IF(AND(Table1_2[[#This Row],[Date]]&gt;=Table1_2[[#This Row],[Campaign Start Date2]],Table1_2[[#This Row],[Date]]&lt;=Table1_2[[#This Row],[Campaign End Date3]]),"During Campaign","Before Campaign")</f>
        <v>Before Campaign</v>
      </c>
      <c r="V80" s="30">
        <f>_xlfn.XLOOKUP(Table1_2[[#This Row],[Campaign_Name]],'Campaign Metadata'!A:A,'Campaign Metadata'!E:E,"Not Available",0)</f>
        <v>200000</v>
      </c>
      <c r="W80">
        <f>Table1_2[[#This Row],[Engagement]]/Table1_2[[#This Row],[Campaign Budget]]</f>
        <v>2.4849999999999998E-3</v>
      </c>
      <c r="X80">
        <f>_xlfn.XLOOKUP(Table1_2[[#This Row],[Platform]],'Engagement Summary'!B:B,'Engagement Summary'!H:H,"Not Available",0)</f>
        <v>1090</v>
      </c>
      <c r="Y80">
        <f>WEEKNUM(Table1_2[[#This Row],[Date]])</f>
        <v>10</v>
      </c>
      <c r="Z80">
        <f>_xlfn.XLOOKUP(Table1_2[[#This Row],[Platform]],'Engagement Summary'!B:B,'Engagement Summary'!G:G,"Notavailable",0)</f>
        <v>30671</v>
      </c>
    </row>
    <row r="81" spans="1:26" x14ac:dyDescent="0.3">
      <c r="A81" t="s">
        <v>198</v>
      </c>
      <c r="B81" t="s">
        <v>43</v>
      </c>
      <c r="C81" s="4">
        <v>45583</v>
      </c>
      <c r="D81" t="s">
        <v>35</v>
      </c>
      <c r="E81" t="s">
        <v>71</v>
      </c>
      <c r="F81">
        <v>4126</v>
      </c>
      <c r="G81">
        <v>426</v>
      </c>
      <c r="H81">
        <v>486</v>
      </c>
      <c r="I81">
        <v>78394</v>
      </c>
      <c r="J81">
        <v>77798</v>
      </c>
      <c r="K81">
        <v>88</v>
      </c>
      <c r="L81" t="s">
        <v>62</v>
      </c>
      <c r="M81" t="s">
        <v>38</v>
      </c>
      <c r="N81" s="4">
        <v>45717</v>
      </c>
      <c r="O81" s="4">
        <v>45747</v>
      </c>
      <c r="P81" t="s">
        <v>637</v>
      </c>
      <c r="Q81">
        <f>Table1_2[[#This Row],[Likes]]+Table1_2[[#This Row],[Shares]]+Table1_2[[#This Row],[Comments]]</f>
        <v>5038</v>
      </c>
      <c r="R81" s="12">
        <f>(Table1_2[[#This Row],[Likes]]+Table1_2[[#This Row],[Shares]]+Table1_2[[#This Row],[Comments]])/Table1_2[[#This Row],[Impressions]]</f>
        <v>6.4265122330790625E-2</v>
      </c>
      <c r="S81" s="4">
        <f>_xlfn.XLOOKUP(Table1_2[[#This Row],[Campaign_Name]],'Campaign Metadata'!A:A,'Campaign Metadata'!B:B,"not found",0)</f>
        <v>45717</v>
      </c>
      <c r="T81" s="4">
        <f>_xlfn.XLOOKUP(Table1_2[[#This Row],[Campaign_Name]],'Campaign Metadata'!A:A,'Campaign Metadata'!C:C,"not found",0)</f>
        <v>45747</v>
      </c>
      <c r="U81" t="str">
        <f>IF(AND(Table1_2[[#This Row],[Date]]&gt;=Table1_2[[#This Row],[Campaign Start Date2]],Table1_2[[#This Row],[Date]]&lt;=Table1_2[[#This Row],[Campaign End Date3]]),"During Campaign","Before Campaign")</f>
        <v>Before Campaign</v>
      </c>
      <c r="V81" s="30">
        <f>_xlfn.XLOOKUP(Table1_2[[#This Row],[Campaign_Name]],'Campaign Metadata'!A:A,'Campaign Metadata'!E:E,"Not Available",0)</f>
        <v>180000</v>
      </c>
      <c r="W81">
        <f>Table1_2[[#This Row],[Engagement]]/Table1_2[[#This Row],[Campaign Budget]]</f>
        <v>2.798888888888889E-2</v>
      </c>
      <c r="X81">
        <f>_xlfn.XLOOKUP(Table1_2[[#This Row],[Platform]],'Engagement Summary'!B:B,'Engagement Summary'!H:H,"Not Available",0)</f>
        <v>1002</v>
      </c>
      <c r="Y81">
        <f>WEEKNUM(Table1_2[[#This Row],[Date]])</f>
        <v>42</v>
      </c>
      <c r="Z81">
        <f>_xlfn.XLOOKUP(Table1_2[[#This Row],[Platform]],'Engagement Summary'!B:B,'Engagement Summary'!G:G,"Notavailable",0)</f>
        <v>9566</v>
      </c>
    </row>
    <row r="82" spans="1:26" x14ac:dyDescent="0.3">
      <c r="A82" t="s">
        <v>200</v>
      </c>
      <c r="B82" t="s">
        <v>27</v>
      </c>
      <c r="C82" s="4">
        <v>45593</v>
      </c>
      <c r="D82" t="s">
        <v>16</v>
      </c>
      <c r="E82" t="s">
        <v>29</v>
      </c>
      <c r="F82">
        <v>1855</v>
      </c>
      <c r="G82">
        <v>200</v>
      </c>
      <c r="H82">
        <v>174</v>
      </c>
      <c r="I82">
        <v>16695</v>
      </c>
      <c r="J82">
        <v>16330</v>
      </c>
      <c r="K82">
        <v>123</v>
      </c>
      <c r="L82" t="s">
        <v>30</v>
      </c>
      <c r="M82" t="s">
        <v>31</v>
      </c>
      <c r="N82" s="4">
        <v>45651</v>
      </c>
      <c r="O82" s="4">
        <v>45667</v>
      </c>
      <c r="P82" t="s">
        <v>637</v>
      </c>
      <c r="Q82">
        <f>Table1_2[[#This Row],[Likes]]+Table1_2[[#This Row],[Shares]]+Table1_2[[#This Row],[Comments]]</f>
        <v>2229</v>
      </c>
      <c r="R82" s="12">
        <f>(Table1_2[[#This Row],[Likes]]+Table1_2[[#This Row],[Shares]]+Table1_2[[#This Row],[Comments]])/Table1_2[[#This Row],[Impressions]]</f>
        <v>0.13351302785265048</v>
      </c>
      <c r="S82" s="4">
        <f>_xlfn.XLOOKUP(Table1_2[[#This Row],[Campaign_Name]],'Campaign Metadata'!A:A,'Campaign Metadata'!B:B,"not found",0)</f>
        <v>45651</v>
      </c>
      <c r="T82" s="4">
        <f>_xlfn.XLOOKUP(Table1_2[[#This Row],[Campaign_Name]],'Campaign Metadata'!A:A,'Campaign Metadata'!C:C,"not found",0)</f>
        <v>45667</v>
      </c>
      <c r="U82" t="str">
        <f>IF(AND(Table1_2[[#This Row],[Date]]&gt;=Table1_2[[#This Row],[Campaign Start Date2]],Table1_2[[#This Row],[Date]]&lt;=Table1_2[[#This Row],[Campaign End Date3]]),"During Campaign","Before Campaign")</f>
        <v>Before Campaign</v>
      </c>
      <c r="V82" s="30">
        <f>_xlfn.XLOOKUP(Table1_2[[#This Row],[Campaign_Name]],'Campaign Metadata'!A:A,'Campaign Metadata'!E:E,"Not Available",0)</f>
        <v>250000</v>
      </c>
      <c r="W82">
        <f>Table1_2[[#This Row],[Engagement]]/Table1_2[[#This Row],[Campaign Budget]]</f>
        <v>8.9160000000000003E-3</v>
      </c>
      <c r="X82">
        <f>_xlfn.XLOOKUP(Table1_2[[#This Row],[Platform]],'Engagement Summary'!B:B,'Engagement Summary'!H:H,"Not Available",0)</f>
        <v>1090</v>
      </c>
      <c r="Y82">
        <f>WEEKNUM(Table1_2[[#This Row],[Date]])</f>
        <v>44</v>
      </c>
      <c r="Z82">
        <f>_xlfn.XLOOKUP(Table1_2[[#This Row],[Platform]],'Engagement Summary'!B:B,'Engagement Summary'!G:G,"Notavailable",0)</f>
        <v>30671</v>
      </c>
    </row>
    <row r="83" spans="1:26" x14ac:dyDescent="0.3">
      <c r="A83" t="s">
        <v>202</v>
      </c>
      <c r="B83" t="s">
        <v>33</v>
      </c>
      <c r="C83" s="4">
        <v>45505</v>
      </c>
      <c r="D83" t="s">
        <v>16</v>
      </c>
      <c r="E83" t="s">
        <v>82</v>
      </c>
      <c r="F83">
        <v>1674</v>
      </c>
      <c r="G83">
        <v>929</v>
      </c>
      <c r="H83">
        <v>37</v>
      </c>
      <c r="I83">
        <v>21762</v>
      </c>
      <c r="J83">
        <v>20998</v>
      </c>
      <c r="K83">
        <v>255</v>
      </c>
      <c r="L83" t="s">
        <v>30</v>
      </c>
      <c r="M83" t="s">
        <v>38</v>
      </c>
      <c r="N83" s="4">
        <v>45717</v>
      </c>
      <c r="O83" s="4">
        <v>45747</v>
      </c>
      <c r="P83" t="s">
        <v>637</v>
      </c>
      <c r="Q83">
        <f>Table1_2[[#This Row],[Likes]]+Table1_2[[#This Row],[Shares]]+Table1_2[[#This Row],[Comments]]</f>
        <v>2640</v>
      </c>
      <c r="R83" s="12">
        <f>(Table1_2[[#This Row],[Likes]]+Table1_2[[#This Row],[Shares]]+Table1_2[[#This Row],[Comments]])/Table1_2[[#This Row],[Impressions]]</f>
        <v>0.12131237937689551</v>
      </c>
      <c r="S83" s="4">
        <f>_xlfn.XLOOKUP(Table1_2[[#This Row],[Campaign_Name]],'Campaign Metadata'!A:A,'Campaign Metadata'!B:B,"not found",0)</f>
        <v>45717</v>
      </c>
      <c r="T83" s="4">
        <f>_xlfn.XLOOKUP(Table1_2[[#This Row],[Campaign_Name]],'Campaign Metadata'!A:A,'Campaign Metadata'!C:C,"not found",0)</f>
        <v>45747</v>
      </c>
      <c r="U83" t="str">
        <f>IF(AND(Table1_2[[#This Row],[Date]]&gt;=Table1_2[[#This Row],[Campaign Start Date2]],Table1_2[[#This Row],[Date]]&lt;=Table1_2[[#This Row],[Campaign End Date3]]),"During Campaign","Before Campaign")</f>
        <v>Before Campaign</v>
      </c>
      <c r="V83" s="30">
        <f>_xlfn.XLOOKUP(Table1_2[[#This Row],[Campaign_Name]],'Campaign Metadata'!A:A,'Campaign Metadata'!E:E,"Not Available",0)</f>
        <v>180000</v>
      </c>
      <c r="W83">
        <f>Table1_2[[#This Row],[Engagement]]/Table1_2[[#This Row],[Campaign Budget]]</f>
        <v>1.4666666666666666E-2</v>
      </c>
      <c r="X83">
        <f>_xlfn.XLOOKUP(Table1_2[[#This Row],[Platform]],'Engagement Summary'!B:B,'Engagement Summary'!H:H,"Not Available",0)</f>
        <v>1047</v>
      </c>
      <c r="Y83">
        <f>WEEKNUM(Table1_2[[#This Row],[Date]])</f>
        <v>31</v>
      </c>
      <c r="Z83">
        <f>_xlfn.XLOOKUP(Table1_2[[#This Row],[Platform]],'Engagement Summary'!B:B,'Engagement Summary'!G:G,"Notavailable",0)</f>
        <v>5904</v>
      </c>
    </row>
    <row r="84" spans="1:26" x14ac:dyDescent="0.3">
      <c r="A84" t="s">
        <v>204</v>
      </c>
      <c r="B84" t="s">
        <v>14</v>
      </c>
      <c r="C84" s="4">
        <v>45603</v>
      </c>
      <c r="D84" t="s">
        <v>35</v>
      </c>
      <c r="E84" t="s">
        <v>149</v>
      </c>
      <c r="F84">
        <v>1121</v>
      </c>
      <c r="G84">
        <v>135</v>
      </c>
      <c r="H84">
        <v>18</v>
      </c>
      <c r="I84">
        <v>15694</v>
      </c>
      <c r="J84">
        <v>14957</v>
      </c>
      <c r="K84">
        <v>99</v>
      </c>
      <c r="L84" t="s">
        <v>30</v>
      </c>
      <c r="M84" t="s">
        <v>38</v>
      </c>
      <c r="N84" s="4">
        <v>45717</v>
      </c>
      <c r="O84" s="4">
        <v>45747</v>
      </c>
      <c r="P84" t="s">
        <v>637</v>
      </c>
      <c r="Q84">
        <f>Table1_2[[#This Row],[Likes]]+Table1_2[[#This Row],[Shares]]+Table1_2[[#This Row],[Comments]]</f>
        <v>1274</v>
      </c>
      <c r="R84" s="12">
        <f>(Table1_2[[#This Row],[Likes]]+Table1_2[[#This Row],[Shares]]+Table1_2[[#This Row],[Comments]])/Table1_2[[#This Row],[Impressions]]</f>
        <v>8.1177520071364848E-2</v>
      </c>
      <c r="S84" s="4">
        <f>_xlfn.XLOOKUP(Table1_2[[#This Row],[Campaign_Name]],'Campaign Metadata'!A:A,'Campaign Metadata'!B:B,"not found",0)</f>
        <v>45717</v>
      </c>
      <c r="T84" s="4">
        <f>_xlfn.XLOOKUP(Table1_2[[#This Row],[Campaign_Name]],'Campaign Metadata'!A:A,'Campaign Metadata'!C:C,"not found",0)</f>
        <v>45747</v>
      </c>
      <c r="U84" t="str">
        <f>IF(AND(Table1_2[[#This Row],[Date]]&gt;=Table1_2[[#This Row],[Campaign Start Date2]],Table1_2[[#This Row],[Date]]&lt;=Table1_2[[#This Row],[Campaign End Date3]]),"During Campaign","Before Campaign")</f>
        <v>Before Campaign</v>
      </c>
      <c r="V84" s="30">
        <f>_xlfn.XLOOKUP(Table1_2[[#This Row],[Campaign_Name]],'Campaign Metadata'!A:A,'Campaign Metadata'!E:E,"Not Available",0)</f>
        <v>180000</v>
      </c>
      <c r="W84">
        <f>Table1_2[[#This Row],[Engagement]]/Table1_2[[#This Row],[Campaign Budget]]</f>
        <v>7.0777777777777775E-3</v>
      </c>
      <c r="X84">
        <f>_xlfn.XLOOKUP(Table1_2[[#This Row],[Platform]],'Engagement Summary'!B:B,'Engagement Summary'!H:H,"Not Available",0)</f>
        <v>415</v>
      </c>
      <c r="Y84">
        <f>WEEKNUM(Table1_2[[#This Row],[Date]])</f>
        <v>45</v>
      </c>
      <c r="Z84">
        <f>_xlfn.XLOOKUP(Table1_2[[#This Row],[Platform]],'Engagement Summary'!B:B,'Engagement Summary'!G:G,"Notavailable",0)</f>
        <v>26752</v>
      </c>
    </row>
    <row r="85" spans="1:26" x14ac:dyDescent="0.3">
      <c r="A85" t="s">
        <v>206</v>
      </c>
      <c r="B85" t="s">
        <v>43</v>
      </c>
      <c r="C85" s="4">
        <v>45720</v>
      </c>
      <c r="D85" t="s">
        <v>35</v>
      </c>
      <c r="E85" t="s">
        <v>71</v>
      </c>
      <c r="F85">
        <v>1249</v>
      </c>
      <c r="G85">
        <v>116</v>
      </c>
      <c r="H85">
        <v>420</v>
      </c>
      <c r="I85">
        <v>8743</v>
      </c>
      <c r="J85">
        <v>8538</v>
      </c>
      <c r="K85">
        <v>63</v>
      </c>
      <c r="L85" t="s">
        <v>30</v>
      </c>
      <c r="M85" t="s">
        <v>617</v>
      </c>
      <c r="N85" s="4">
        <v>0</v>
      </c>
      <c r="O85" s="4">
        <v>0</v>
      </c>
      <c r="P85" t="s">
        <v>637</v>
      </c>
      <c r="Q85">
        <f>Table1_2[[#This Row],[Likes]]+Table1_2[[#This Row],[Shares]]+Table1_2[[#This Row],[Comments]]</f>
        <v>1785</v>
      </c>
      <c r="R85" s="12">
        <f>(Table1_2[[#This Row],[Likes]]+Table1_2[[#This Row],[Shares]]+Table1_2[[#This Row],[Comments]])/Table1_2[[#This Row],[Impressions]]</f>
        <v>0.20416333066453163</v>
      </c>
      <c r="S85" s="4" t="str">
        <f>_xlfn.XLOOKUP(Table1_2[[#This Row],[Campaign_Name]],'Campaign Metadata'!A:A,'Campaign Metadata'!B:B,"not found",0)</f>
        <v>not found</v>
      </c>
      <c r="T85" s="4" t="str">
        <f>_xlfn.XLOOKUP(Table1_2[[#This Row],[Campaign_Name]],'Campaign Metadata'!A:A,'Campaign Metadata'!C:C,"not found",0)</f>
        <v>not found</v>
      </c>
      <c r="U85" t="str">
        <f>IF(AND(Table1_2[[#This Row],[Date]]&gt;=Table1_2[[#This Row],[Campaign Start Date2]],Table1_2[[#This Row],[Date]]&lt;=Table1_2[[#This Row],[Campaign End Date3]]),"During Campaign","Before Campaign")</f>
        <v>Before Campaign</v>
      </c>
      <c r="V85" s="30" t="str">
        <f>_xlfn.XLOOKUP(Table1_2[[#This Row],[Campaign_Name]],'Campaign Metadata'!A:A,'Campaign Metadata'!E:E,"Not Available",0)</f>
        <v>Not Available</v>
      </c>
      <c r="W85" t="e">
        <f>Table1_2[[#This Row],[Engagement]]/Table1_2[[#This Row],[Campaign Budget]]</f>
        <v>#VALUE!</v>
      </c>
      <c r="X85">
        <f>_xlfn.XLOOKUP(Table1_2[[#This Row],[Platform]],'Engagement Summary'!B:B,'Engagement Summary'!H:H,"Not Available",0)</f>
        <v>1002</v>
      </c>
      <c r="Y85">
        <f>WEEKNUM(Table1_2[[#This Row],[Date]])</f>
        <v>10</v>
      </c>
      <c r="Z85">
        <f>_xlfn.XLOOKUP(Table1_2[[#This Row],[Platform]],'Engagement Summary'!B:B,'Engagement Summary'!G:G,"Notavailable",0)</f>
        <v>9566</v>
      </c>
    </row>
    <row r="86" spans="1:26" x14ac:dyDescent="0.3">
      <c r="A86" t="s">
        <v>207</v>
      </c>
      <c r="B86" t="s">
        <v>14</v>
      </c>
      <c r="C86" s="4">
        <v>45460</v>
      </c>
      <c r="D86" t="s">
        <v>52</v>
      </c>
      <c r="E86" t="s">
        <v>132</v>
      </c>
      <c r="F86">
        <v>954</v>
      </c>
      <c r="G86">
        <v>324</v>
      </c>
      <c r="H86">
        <v>288</v>
      </c>
      <c r="I86">
        <v>19080</v>
      </c>
      <c r="J86">
        <v>18859</v>
      </c>
      <c r="K86">
        <v>21</v>
      </c>
      <c r="L86" t="s">
        <v>62</v>
      </c>
      <c r="M86" t="s">
        <v>38</v>
      </c>
      <c r="N86" s="4">
        <v>45717</v>
      </c>
      <c r="O86" s="4">
        <v>45747</v>
      </c>
      <c r="P86" t="s">
        <v>637</v>
      </c>
      <c r="Q86">
        <f>Table1_2[[#This Row],[Likes]]+Table1_2[[#This Row],[Shares]]+Table1_2[[#This Row],[Comments]]</f>
        <v>1566</v>
      </c>
      <c r="R86" s="12">
        <f>(Table1_2[[#This Row],[Likes]]+Table1_2[[#This Row],[Shares]]+Table1_2[[#This Row],[Comments]])/Table1_2[[#This Row],[Impressions]]</f>
        <v>8.2075471698113203E-2</v>
      </c>
      <c r="S86" s="4">
        <f>_xlfn.XLOOKUP(Table1_2[[#This Row],[Campaign_Name]],'Campaign Metadata'!A:A,'Campaign Metadata'!B:B,"not found",0)</f>
        <v>45717</v>
      </c>
      <c r="T86" s="4">
        <f>_xlfn.XLOOKUP(Table1_2[[#This Row],[Campaign_Name]],'Campaign Metadata'!A:A,'Campaign Metadata'!C:C,"not found",0)</f>
        <v>45747</v>
      </c>
      <c r="U86" t="str">
        <f>IF(AND(Table1_2[[#This Row],[Date]]&gt;=Table1_2[[#This Row],[Campaign Start Date2]],Table1_2[[#This Row],[Date]]&lt;=Table1_2[[#This Row],[Campaign End Date3]]),"During Campaign","Before Campaign")</f>
        <v>Before Campaign</v>
      </c>
      <c r="V86" s="30">
        <f>_xlfn.XLOOKUP(Table1_2[[#This Row],[Campaign_Name]],'Campaign Metadata'!A:A,'Campaign Metadata'!E:E,"Not Available",0)</f>
        <v>180000</v>
      </c>
      <c r="W86">
        <f>Table1_2[[#This Row],[Engagement]]/Table1_2[[#This Row],[Campaign Budget]]</f>
        <v>8.6999999999999994E-3</v>
      </c>
      <c r="X86">
        <f>_xlfn.XLOOKUP(Table1_2[[#This Row],[Platform]],'Engagement Summary'!B:B,'Engagement Summary'!H:H,"Not Available",0)</f>
        <v>415</v>
      </c>
      <c r="Y86">
        <f>WEEKNUM(Table1_2[[#This Row],[Date]])</f>
        <v>25</v>
      </c>
      <c r="Z86">
        <f>_xlfn.XLOOKUP(Table1_2[[#This Row],[Platform]],'Engagement Summary'!B:B,'Engagement Summary'!G:G,"Notavailable",0)</f>
        <v>26752</v>
      </c>
    </row>
    <row r="87" spans="1:26" x14ac:dyDescent="0.3">
      <c r="A87" t="s">
        <v>208</v>
      </c>
      <c r="B87" t="s">
        <v>33</v>
      </c>
      <c r="C87" s="4">
        <v>45574</v>
      </c>
      <c r="D87" t="s">
        <v>45</v>
      </c>
      <c r="E87" t="s">
        <v>88</v>
      </c>
      <c r="F87">
        <v>3068</v>
      </c>
      <c r="G87">
        <v>137</v>
      </c>
      <c r="H87">
        <v>329</v>
      </c>
      <c r="I87">
        <v>39884</v>
      </c>
      <c r="J87">
        <v>39404</v>
      </c>
      <c r="K87">
        <v>266</v>
      </c>
      <c r="L87" t="s">
        <v>37</v>
      </c>
      <c r="M87" t="s">
        <v>25</v>
      </c>
      <c r="N87" s="4">
        <v>45566</v>
      </c>
      <c r="O87" s="4">
        <v>45596</v>
      </c>
      <c r="P87" t="s">
        <v>637</v>
      </c>
      <c r="Q87">
        <f>Table1_2[[#This Row],[Likes]]+Table1_2[[#This Row],[Shares]]+Table1_2[[#This Row],[Comments]]</f>
        <v>3534</v>
      </c>
      <c r="R87" s="12">
        <f>(Table1_2[[#This Row],[Likes]]+Table1_2[[#This Row],[Shares]]+Table1_2[[#This Row],[Comments]])/Table1_2[[#This Row],[Impressions]]</f>
        <v>8.860696018453515E-2</v>
      </c>
      <c r="S87" s="4">
        <f>_xlfn.XLOOKUP(Table1_2[[#This Row],[Campaign_Name]],'Campaign Metadata'!A:A,'Campaign Metadata'!B:B,"not found",0)</f>
        <v>45566</v>
      </c>
      <c r="T87" s="4">
        <f>_xlfn.XLOOKUP(Table1_2[[#This Row],[Campaign_Name]],'Campaign Metadata'!A:A,'Campaign Metadata'!C:C,"not found",0)</f>
        <v>45596</v>
      </c>
      <c r="U87" t="str">
        <f>IF(AND(Table1_2[[#This Row],[Date]]&gt;=Table1_2[[#This Row],[Campaign Start Date2]],Table1_2[[#This Row],[Date]]&lt;=Table1_2[[#This Row],[Campaign End Date3]]),"During Campaign","Before Campaign")</f>
        <v>During Campaign</v>
      </c>
      <c r="V87" s="30">
        <f>_xlfn.XLOOKUP(Table1_2[[#This Row],[Campaign_Name]],'Campaign Metadata'!A:A,'Campaign Metadata'!E:E,"Not Available",0)</f>
        <v>200000</v>
      </c>
      <c r="W87">
        <f>Table1_2[[#This Row],[Engagement]]/Table1_2[[#This Row],[Campaign Budget]]</f>
        <v>1.7670000000000002E-2</v>
      </c>
      <c r="X87">
        <f>_xlfn.XLOOKUP(Table1_2[[#This Row],[Platform]],'Engagement Summary'!B:B,'Engagement Summary'!H:H,"Not Available",0)</f>
        <v>1047</v>
      </c>
      <c r="Y87">
        <f>WEEKNUM(Table1_2[[#This Row],[Date]])</f>
        <v>41</v>
      </c>
      <c r="Z87">
        <f>_xlfn.XLOOKUP(Table1_2[[#This Row],[Platform]],'Engagement Summary'!B:B,'Engagement Summary'!G:G,"Notavailable",0)</f>
        <v>5904</v>
      </c>
    </row>
    <row r="88" spans="1:26" x14ac:dyDescent="0.3">
      <c r="A88" t="s">
        <v>210</v>
      </c>
      <c r="B88" t="s">
        <v>33</v>
      </c>
      <c r="C88" s="4">
        <v>45456</v>
      </c>
      <c r="D88" t="s">
        <v>35</v>
      </c>
      <c r="E88" t="s">
        <v>36</v>
      </c>
      <c r="F88">
        <v>2103</v>
      </c>
      <c r="G88">
        <v>892</v>
      </c>
      <c r="H88">
        <v>103</v>
      </c>
      <c r="I88">
        <v>39957</v>
      </c>
      <c r="J88">
        <v>39466</v>
      </c>
      <c r="K88">
        <v>28</v>
      </c>
      <c r="L88" t="s">
        <v>62</v>
      </c>
      <c r="M88" t="s">
        <v>617</v>
      </c>
      <c r="N88" s="4">
        <v>0</v>
      </c>
      <c r="O88" s="4">
        <v>0</v>
      </c>
      <c r="P88" t="s">
        <v>637</v>
      </c>
      <c r="Q88">
        <f>Table1_2[[#This Row],[Likes]]+Table1_2[[#This Row],[Shares]]+Table1_2[[#This Row],[Comments]]</f>
        <v>3098</v>
      </c>
      <c r="R88" s="12">
        <f>(Table1_2[[#This Row],[Likes]]+Table1_2[[#This Row],[Shares]]+Table1_2[[#This Row],[Comments]])/Table1_2[[#This Row],[Impressions]]</f>
        <v>7.7533348349475686E-2</v>
      </c>
      <c r="S88" s="4" t="str">
        <f>_xlfn.XLOOKUP(Table1_2[[#This Row],[Campaign_Name]],'Campaign Metadata'!A:A,'Campaign Metadata'!B:B,"not found",0)</f>
        <v>not found</v>
      </c>
      <c r="T88" s="4" t="str">
        <f>_xlfn.XLOOKUP(Table1_2[[#This Row],[Campaign_Name]],'Campaign Metadata'!A:A,'Campaign Metadata'!C:C,"not found",0)</f>
        <v>not found</v>
      </c>
      <c r="U88" t="str">
        <f>IF(AND(Table1_2[[#This Row],[Date]]&gt;=Table1_2[[#This Row],[Campaign Start Date2]],Table1_2[[#This Row],[Date]]&lt;=Table1_2[[#This Row],[Campaign End Date3]]),"During Campaign","Before Campaign")</f>
        <v>Before Campaign</v>
      </c>
      <c r="V88" s="30" t="str">
        <f>_xlfn.XLOOKUP(Table1_2[[#This Row],[Campaign_Name]],'Campaign Metadata'!A:A,'Campaign Metadata'!E:E,"Not Available",0)</f>
        <v>Not Available</v>
      </c>
      <c r="W88" t="e">
        <f>Table1_2[[#This Row],[Engagement]]/Table1_2[[#This Row],[Campaign Budget]]</f>
        <v>#VALUE!</v>
      </c>
      <c r="X88">
        <f>_xlfn.XLOOKUP(Table1_2[[#This Row],[Platform]],'Engagement Summary'!B:B,'Engagement Summary'!H:H,"Not Available",0)</f>
        <v>1047</v>
      </c>
      <c r="Y88">
        <f>WEEKNUM(Table1_2[[#This Row],[Date]])</f>
        <v>24</v>
      </c>
      <c r="Z88">
        <f>_xlfn.XLOOKUP(Table1_2[[#This Row],[Platform]],'Engagement Summary'!B:B,'Engagement Summary'!G:G,"Notavailable",0)</f>
        <v>5904</v>
      </c>
    </row>
    <row r="89" spans="1:26" x14ac:dyDescent="0.3">
      <c r="A89" t="s">
        <v>211</v>
      </c>
      <c r="B89" t="s">
        <v>33</v>
      </c>
      <c r="C89" s="4">
        <v>45584</v>
      </c>
      <c r="D89" t="s">
        <v>35</v>
      </c>
      <c r="E89" t="s">
        <v>36</v>
      </c>
      <c r="F89">
        <v>1816</v>
      </c>
      <c r="G89">
        <v>29</v>
      </c>
      <c r="H89">
        <v>41</v>
      </c>
      <c r="I89">
        <v>19976</v>
      </c>
      <c r="J89">
        <v>19262</v>
      </c>
      <c r="K89">
        <v>283</v>
      </c>
      <c r="L89" t="s">
        <v>30</v>
      </c>
      <c r="M89" t="s">
        <v>31</v>
      </c>
      <c r="N89" s="4">
        <v>45651</v>
      </c>
      <c r="O89" s="4">
        <v>45667</v>
      </c>
      <c r="P89" t="s">
        <v>637</v>
      </c>
      <c r="Q89">
        <f>Table1_2[[#This Row],[Likes]]+Table1_2[[#This Row],[Shares]]+Table1_2[[#This Row],[Comments]]</f>
        <v>1886</v>
      </c>
      <c r="R89" s="12">
        <f>(Table1_2[[#This Row],[Likes]]+Table1_2[[#This Row],[Shares]]+Table1_2[[#This Row],[Comments]])/Table1_2[[#This Row],[Impressions]]</f>
        <v>9.4413295955146179E-2</v>
      </c>
      <c r="S89" s="4">
        <f>_xlfn.XLOOKUP(Table1_2[[#This Row],[Campaign_Name]],'Campaign Metadata'!A:A,'Campaign Metadata'!B:B,"not found",0)</f>
        <v>45651</v>
      </c>
      <c r="T89" s="4">
        <f>_xlfn.XLOOKUP(Table1_2[[#This Row],[Campaign_Name]],'Campaign Metadata'!A:A,'Campaign Metadata'!C:C,"not found",0)</f>
        <v>45667</v>
      </c>
      <c r="U89" t="str">
        <f>IF(AND(Table1_2[[#This Row],[Date]]&gt;=Table1_2[[#This Row],[Campaign Start Date2]],Table1_2[[#This Row],[Date]]&lt;=Table1_2[[#This Row],[Campaign End Date3]]),"During Campaign","Before Campaign")</f>
        <v>Before Campaign</v>
      </c>
      <c r="V89" s="30">
        <f>_xlfn.XLOOKUP(Table1_2[[#This Row],[Campaign_Name]],'Campaign Metadata'!A:A,'Campaign Metadata'!E:E,"Not Available",0)</f>
        <v>250000</v>
      </c>
      <c r="W89">
        <f>Table1_2[[#This Row],[Engagement]]/Table1_2[[#This Row],[Campaign Budget]]</f>
        <v>7.5440000000000004E-3</v>
      </c>
      <c r="X89">
        <f>_xlfn.XLOOKUP(Table1_2[[#This Row],[Platform]],'Engagement Summary'!B:B,'Engagement Summary'!H:H,"Not Available",0)</f>
        <v>1047</v>
      </c>
      <c r="Y89">
        <f>WEEKNUM(Table1_2[[#This Row],[Date]])</f>
        <v>42</v>
      </c>
      <c r="Z89">
        <f>_xlfn.XLOOKUP(Table1_2[[#This Row],[Platform]],'Engagement Summary'!B:B,'Engagement Summary'!G:G,"Notavailable",0)</f>
        <v>5904</v>
      </c>
    </row>
    <row r="90" spans="1:26" x14ac:dyDescent="0.3">
      <c r="A90" t="s">
        <v>213</v>
      </c>
      <c r="B90" t="s">
        <v>33</v>
      </c>
      <c r="C90" s="4">
        <v>45497</v>
      </c>
      <c r="D90" t="s">
        <v>52</v>
      </c>
      <c r="E90" t="s">
        <v>215</v>
      </c>
      <c r="F90">
        <v>725</v>
      </c>
      <c r="G90">
        <v>88</v>
      </c>
      <c r="H90">
        <v>428</v>
      </c>
      <c r="I90">
        <v>14500</v>
      </c>
      <c r="J90">
        <v>13637</v>
      </c>
      <c r="K90">
        <v>200</v>
      </c>
      <c r="L90" t="s">
        <v>62</v>
      </c>
      <c r="M90" t="s">
        <v>31</v>
      </c>
      <c r="N90" s="4">
        <v>45651</v>
      </c>
      <c r="O90" s="4">
        <v>45667</v>
      </c>
      <c r="P90" t="s">
        <v>637</v>
      </c>
      <c r="Q90">
        <f>Table1_2[[#This Row],[Likes]]+Table1_2[[#This Row],[Shares]]+Table1_2[[#This Row],[Comments]]</f>
        <v>1241</v>
      </c>
      <c r="R90" s="12">
        <f>(Table1_2[[#This Row],[Likes]]+Table1_2[[#This Row],[Shares]]+Table1_2[[#This Row],[Comments]])/Table1_2[[#This Row],[Impressions]]</f>
        <v>8.558620689655172E-2</v>
      </c>
      <c r="S90" s="4">
        <f>_xlfn.XLOOKUP(Table1_2[[#This Row],[Campaign_Name]],'Campaign Metadata'!A:A,'Campaign Metadata'!B:B,"not found",0)</f>
        <v>45651</v>
      </c>
      <c r="T90" s="4">
        <f>_xlfn.XLOOKUP(Table1_2[[#This Row],[Campaign_Name]],'Campaign Metadata'!A:A,'Campaign Metadata'!C:C,"not found",0)</f>
        <v>45667</v>
      </c>
      <c r="U90" t="str">
        <f>IF(AND(Table1_2[[#This Row],[Date]]&gt;=Table1_2[[#This Row],[Campaign Start Date2]],Table1_2[[#This Row],[Date]]&lt;=Table1_2[[#This Row],[Campaign End Date3]]),"During Campaign","Before Campaign")</f>
        <v>Before Campaign</v>
      </c>
      <c r="V90" s="30">
        <f>_xlfn.XLOOKUP(Table1_2[[#This Row],[Campaign_Name]],'Campaign Metadata'!A:A,'Campaign Metadata'!E:E,"Not Available",0)</f>
        <v>250000</v>
      </c>
      <c r="W90">
        <f>Table1_2[[#This Row],[Engagement]]/Table1_2[[#This Row],[Campaign Budget]]</f>
        <v>4.9639999999999997E-3</v>
      </c>
      <c r="X90">
        <f>_xlfn.XLOOKUP(Table1_2[[#This Row],[Platform]],'Engagement Summary'!B:B,'Engagement Summary'!H:H,"Not Available",0)</f>
        <v>1047</v>
      </c>
      <c r="Y90">
        <f>WEEKNUM(Table1_2[[#This Row],[Date]])</f>
        <v>30</v>
      </c>
      <c r="Z90">
        <f>_xlfn.XLOOKUP(Table1_2[[#This Row],[Platform]],'Engagement Summary'!B:B,'Engagement Summary'!G:G,"Notavailable",0)</f>
        <v>5904</v>
      </c>
    </row>
    <row r="91" spans="1:26" x14ac:dyDescent="0.3">
      <c r="A91" t="s">
        <v>213</v>
      </c>
      <c r="B91" t="s">
        <v>33</v>
      </c>
      <c r="C91" s="4">
        <v>45497</v>
      </c>
      <c r="D91" t="s">
        <v>52</v>
      </c>
      <c r="E91" t="s">
        <v>215</v>
      </c>
      <c r="F91">
        <v>725</v>
      </c>
      <c r="G91">
        <v>88</v>
      </c>
      <c r="H91">
        <v>428</v>
      </c>
      <c r="I91">
        <v>14500</v>
      </c>
      <c r="J91">
        <v>13637</v>
      </c>
      <c r="K91">
        <v>200</v>
      </c>
      <c r="L91" t="s">
        <v>30</v>
      </c>
      <c r="M91" t="s">
        <v>31</v>
      </c>
      <c r="N91" s="4">
        <v>45651</v>
      </c>
      <c r="O91" s="4">
        <v>45667</v>
      </c>
      <c r="P91" t="s">
        <v>637</v>
      </c>
      <c r="Q91">
        <f>Table1_2[[#This Row],[Likes]]+Table1_2[[#This Row],[Shares]]+Table1_2[[#This Row],[Comments]]</f>
        <v>1241</v>
      </c>
      <c r="R91" s="12">
        <f>(Table1_2[[#This Row],[Likes]]+Table1_2[[#This Row],[Shares]]+Table1_2[[#This Row],[Comments]])/Table1_2[[#This Row],[Impressions]]</f>
        <v>8.558620689655172E-2</v>
      </c>
      <c r="S91" s="4">
        <f>_xlfn.XLOOKUP(Table1_2[[#This Row],[Campaign_Name]],'Campaign Metadata'!A:A,'Campaign Metadata'!B:B,"not found",0)</f>
        <v>45651</v>
      </c>
      <c r="T91" s="4">
        <f>_xlfn.XLOOKUP(Table1_2[[#This Row],[Campaign_Name]],'Campaign Metadata'!A:A,'Campaign Metadata'!C:C,"not found",0)</f>
        <v>45667</v>
      </c>
      <c r="U91" t="str">
        <f>IF(AND(Table1_2[[#This Row],[Date]]&gt;=Table1_2[[#This Row],[Campaign Start Date2]],Table1_2[[#This Row],[Date]]&lt;=Table1_2[[#This Row],[Campaign End Date3]]),"During Campaign","Before Campaign")</f>
        <v>Before Campaign</v>
      </c>
      <c r="V91" s="30">
        <f>_xlfn.XLOOKUP(Table1_2[[#This Row],[Campaign_Name]],'Campaign Metadata'!A:A,'Campaign Metadata'!E:E,"Not Available",0)</f>
        <v>250000</v>
      </c>
      <c r="W91">
        <f>Table1_2[[#This Row],[Engagement]]/Table1_2[[#This Row],[Campaign Budget]]</f>
        <v>4.9639999999999997E-3</v>
      </c>
      <c r="X91">
        <f>_xlfn.XLOOKUP(Table1_2[[#This Row],[Platform]],'Engagement Summary'!B:B,'Engagement Summary'!H:H,"Not Available",0)</f>
        <v>1047</v>
      </c>
      <c r="Y91">
        <f>WEEKNUM(Table1_2[[#This Row],[Date]])</f>
        <v>30</v>
      </c>
      <c r="Z91">
        <f>_xlfn.XLOOKUP(Table1_2[[#This Row],[Platform]],'Engagement Summary'!B:B,'Engagement Summary'!G:G,"Notavailable",0)</f>
        <v>5904</v>
      </c>
    </row>
    <row r="92" spans="1:26" x14ac:dyDescent="0.3">
      <c r="A92" t="s">
        <v>213</v>
      </c>
      <c r="B92" t="s">
        <v>33</v>
      </c>
      <c r="C92" s="4">
        <v>45497</v>
      </c>
      <c r="D92" t="s">
        <v>52</v>
      </c>
      <c r="E92" t="s">
        <v>215</v>
      </c>
      <c r="F92">
        <v>725</v>
      </c>
      <c r="G92">
        <v>88</v>
      </c>
      <c r="H92">
        <v>428</v>
      </c>
      <c r="I92">
        <v>14500</v>
      </c>
      <c r="J92">
        <v>13637</v>
      </c>
      <c r="K92">
        <v>200</v>
      </c>
      <c r="L92" t="s">
        <v>615</v>
      </c>
      <c r="M92" t="s">
        <v>31</v>
      </c>
      <c r="N92" s="4">
        <v>45651</v>
      </c>
      <c r="O92" s="4">
        <v>45667</v>
      </c>
      <c r="P92" t="s">
        <v>637</v>
      </c>
      <c r="Q92">
        <f>Table1_2[[#This Row],[Likes]]+Table1_2[[#This Row],[Shares]]+Table1_2[[#This Row],[Comments]]</f>
        <v>1241</v>
      </c>
      <c r="R92" s="12">
        <f>(Table1_2[[#This Row],[Likes]]+Table1_2[[#This Row],[Shares]]+Table1_2[[#This Row],[Comments]])/Table1_2[[#This Row],[Impressions]]</f>
        <v>8.558620689655172E-2</v>
      </c>
      <c r="S92" s="4">
        <f>_xlfn.XLOOKUP(Table1_2[[#This Row],[Campaign_Name]],'Campaign Metadata'!A:A,'Campaign Metadata'!B:B,"not found",0)</f>
        <v>45651</v>
      </c>
      <c r="T92" s="4">
        <f>_xlfn.XLOOKUP(Table1_2[[#This Row],[Campaign_Name]],'Campaign Metadata'!A:A,'Campaign Metadata'!C:C,"not found",0)</f>
        <v>45667</v>
      </c>
      <c r="U92" t="str">
        <f>IF(AND(Table1_2[[#This Row],[Date]]&gt;=Table1_2[[#This Row],[Campaign Start Date2]],Table1_2[[#This Row],[Date]]&lt;=Table1_2[[#This Row],[Campaign End Date3]]),"During Campaign","Before Campaign")</f>
        <v>Before Campaign</v>
      </c>
      <c r="V92" s="30">
        <f>_xlfn.XLOOKUP(Table1_2[[#This Row],[Campaign_Name]],'Campaign Metadata'!A:A,'Campaign Metadata'!E:E,"Not Available",0)</f>
        <v>250000</v>
      </c>
      <c r="W92">
        <f>Table1_2[[#This Row],[Engagement]]/Table1_2[[#This Row],[Campaign Budget]]</f>
        <v>4.9639999999999997E-3</v>
      </c>
      <c r="X92">
        <f>_xlfn.XLOOKUP(Table1_2[[#This Row],[Platform]],'Engagement Summary'!B:B,'Engagement Summary'!H:H,"Not Available",0)</f>
        <v>1047</v>
      </c>
      <c r="Y92">
        <f>WEEKNUM(Table1_2[[#This Row],[Date]])</f>
        <v>30</v>
      </c>
      <c r="Z92">
        <f>_xlfn.XLOOKUP(Table1_2[[#This Row],[Platform]],'Engagement Summary'!B:B,'Engagement Summary'!G:G,"Notavailable",0)</f>
        <v>5904</v>
      </c>
    </row>
    <row r="93" spans="1:26" x14ac:dyDescent="0.3">
      <c r="A93" t="s">
        <v>217</v>
      </c>
      <c r="B93" t="s">
        <v>27</v>
      </c>
      <c r="C93" s="4">
        <v>45580</v>
      </c>
      <c r="D93" t="s">
        <v>74</v>
      </c>
      <c r="E93" t="s">
        <v>219</v>
      </c>
      <c r="F93">
        <v>1094</v>
      </c>
      <c r="G93">
        <v>472</v>
      </c>
      <c r="H93">
        <v>21</v>
      </c>
      <c r="I93">
        <v>9846</v>
      </c>
      <c r="J93">
        <v>9609</v>
      </c>
      <c r="K93">
        <v>112</v>
      </c>
      <c r="L93" t="s">
        <v>37</v>
      </c>
      <c r="M93" t="s">
        <v>617</v>
      </c>
      <c r="N93" s="4">
        <v>0</v>
      </c>
      <c r="O93" s="4">
        <v>0</v>
      </c>
      <c r="P93" t="s">
        <v>637</v>
      </c>
      <c r="Q93">
        <f>Table1_2[[#This Row],[Likes]]+Table1_2[[#This Row],[Shares]]+Table1_2[[#This Row],[Comments]]</f>
        <v>1587</v>
      </c>
      <c r="R93" s="12">
        <f>(Table1_2[[#This Row],[Likes]]+Table1_2[[#This Row],[Shares]]+Table1_2[[#This Row],[Comments]])/Table1_2[[#This Row],[Impressions]]</f>
        <v>0.16118220597196831</v>
      </c>
      <c r="S93" s="4" t="str">
        <f>_xlfn.XLOOKUP(Table1_2[[#This Row],[Campaign_Name]],'Campaign Metadata'!A:A,'Campaign Metadata'!B:B,"not found",0)</f>
        <v>not found</v>
      </c>
      <c r="T93" s="4" t="str">
        <f>_xlfn.XLOOKUP(Table1_2[[#This Row],[Campaign_Name]],'Campaign Metadata'!A:A,'Campaign Metadata'!C:C,"not found",0)</f>
        <v>not found</v>
      </c>
      <c r="U93" t="str">
        <f>IF(AND(Table1_2[[#This Row],[Date]]&gt;=Table1_2[[#This Row],[Campaign Start Date2]],Table1_2[[#This Row],[Date]]&lt;=Table1_2[[#This Row],[Campaign End Date3]]),"During Campaign","Before Campaign")</f>
        <v>Before Campaign</v>
      </c>
      <c r="V93" s="30" t="str">
        <f>_xlfn.XLOOKUP(Table1_2[[#This Row],[Campaign_Name]],'Campaign Metadata'!A:A,'Campaign Metadata'!E:E,"Not Available",0)</f>
        <v>Not Available</v>
      </c>
      <c r="W93" t="e">
        <f>Table1_2[[#This Row],[Engagement]]/Table1_2[[#This Row],[Campaign Budget]]</f>
        <v>#VALUE!</v>
      </c>
      <c r="X93">
        <f>_xlfn.XLOOKUP(Table1_2[[#This Row],[Platform]],'Engagement Summary'!B:B,'Engagement Summary'!H:H,"Not Available",0)</f>
        <v>1090</v>
      </c>
      <c r="Y93">
        <f>WEEKNUM(Table1_2[[#This Row],[Date]])</f>
        <v>42</v>
      </c>
      <c r="Z93">
        <f>_xlfn.XLOOKUP(Table1_2[[#This Row],[Platform]],'Engagement Summary'!B:B,'Engagement Summary'!G:G,"Notavailable",0)</f>
        <v>30671</v>
      </c>
    </row>
    <row r="94" spans="1:26" x14ac:dyDescent="0.3">
      <c r="A94" t="s">
        <v>220</v>
      </c>
      <c r="B94" t="s">
        <v>43</v>
      </c>
      <c r="C94" s="4">
        <v>45635</v>
      </c>
      <c r="D94" t="s">
        <v>52</v>
      </c>
      <c r="E94" t="s">
        <v>59</v>
      </c>
      <c r="F94">
        <v>1841</v>
      </c>
      <c r="G94">
        <v>851</v>
      </c>
      <c r="H94">
        <v>342</v>
      </c>
      <c r="I94">
        <v>34979</v>
      </c>
      <c r="J94">
        <v>34154</v>
      </c>
      <c r="K94">
        <v>255</v>
      </c>
      <c r="L94" t="s">
        <v>62</v>
      </c>
      <c r="M94" t="s">
        <v>38</v>
      </c>
      <c r="N94" s="4">
        <v>45717</v>
      </c>
      <c r="O94" s="4">
        <v>45747</v>
      </c>
      <c r="P94" t="s">
        <v>637</v>
      </c>
      <c r="Q94">
        <f>Table1_2[[#This Row],[Likes]]+Table1_2[[#This Row],[Shares]]+Table1_2[[#This Row],[Comments]]</f>
        <v>3034</v>
      </c>
      <c r="R94" s="12">
        <f>(Table1_2[[#This Row],[Likes]]+Table1_2[[#This Row],[Shares]]+Table1_2[[#This Row],[Comments]])/Table1_2[[#This Row],[Impressions]]</f>
        <v>8.6737756939878216E-2</v>
      </c>
      <c r="S94" s="4">
        <f>_xlfn.XLOOKUP(Table1_2[[#This Row],[Campaign_Name]],'Campaign Metadata'!A:A,'Campaign Metadata'!B:B,"not found",0)</f>
        <v>45717</v>
      </c>
      <c r="T94" s="4">
        <f>_xlfn.XLOOKUP(Table1_2[[#This Row],[Campaign_Name]],'Campaign Metadata'!A:A,'Campaign Metadata'!C:C,"not found",0)</f>
        <v>45747</v>
      </c>
      <c r="U94" t="str">
        <f>IF(AND(Table1_2[[#This Row],[Date]]&gt;=Table1_2[[#This Row],[Campaign Start Date2]],Table1_2[[#This Row],[Date]]&lt;=Table1_2[[#This Row],[Campaign End Date3]]),"During Campaign","Before Campaign")</f>
        <v>Before Campaign</v>
      </c>
      <c r="V94" s="30">
        <f>_xlfn.XLOOKUP(Table1_2[[#This Row],[Campaign_Name]],'Campaign Metadata'!A:A,'Campaign Metadata'!E:E,"Not Available",0)</f>
        <v>180000</v>
      </c>
      <c r="W94">
        <f>Table1_2[[#This Row],[Engagement]]/Table1_2[[#This Row],[Campaign Budget]]</f>
        <v>1.6855555555555554E-2</v>
      </c>
      <c r="X94">
        <f>_xlfn.XLOOKUP(Table1_2[[#This Row],[Platform]],'Engagement Summary'!B:B,'Engagement Summary'!H:H,"Not Available",0)</f>
        <v>1002</v>
      </c>
      <c r="Y94">
        <f>WEEKNUM(Table1_2[[#This Row],[Date]])</f>
        <v>50</v>
      </c>
      <c r="Z94">
        <f>_xlfn.XLOOKUP(Table1_2[[#This Row],[Platform]],'Engagement Summary'!B:B,'Engagement Summary'!G:G,"Notavailable",0)</f>
        <v>9566</v>
      </c>
    </row>
    <row r="95" spans="1:26" x14ac:dyDescent="0.3">
      <c r="A95" t="s">
        <v>222</v>
      </c>
      <c r="B95" t="s">
        <v>33</v>
      </c>
      <c r="C95" s="4">
        <v>45766</v>
      </c>
      <c r="D95" t="s">
        <v>52</v>
      </c>
      <c r="E95" t="s">
        <v>215</v>
      </c>
      <c r="F95">
        <v>4177</v>
      </c>
      <c r="G95">
        <v>569</v>
      </c>
      <c r="H95">
        <v>55</v>
      </c>
      <c r="I95">
        <v>25062</v>
      </c>
      <c r="J95">
        <v>24847</v>
      </c>
      <c r="K95">
        <v>230</v>
      </c>
      <c r="L95" t="s">
        <v>62</v>
      </c>
      <c r="M95" t="s">
        <v>19</v>
      </c>
      <c r="N95" s="4">
        <v>45458</v>
      </c>
      <c r="O95" s="4">
        <v>45488</v>
      </c>
      <c r="P95" t="s">
        <v>637</v>
      </c>
      <c r="Q95">
        <f>Table1_2[[#This Row],[Likes]]+Table1_2[[#This Row],[Shares]]+Table1_2[[#This Row],[Comments]]</f>
        <v>4801</v>
      </c>
      <c r="R95" s="12">
        <f>(Table1_2[[#This Row],[Likes]]+Table1_2[[#This Row],[Shares]]+Table1_2[[#This Row],[Comments]])/Table1_2[[#This Row],[Impressions]]</f>
        <v>0.19156491900087783</v>
      </c>
      <c r="S95" s="4">
        <f>_xlfn.XLOOKUP(Table1_2[[#This Row],[Campaign_Name]],'Campaign Metadata'!A:A,'Campaign Metadata'!B:B,"not found",0)</f>
        <v>45458</v>
      </c>
      <c r="T95" s="4">
        <f>_xlfn.XLOOKUP(Table1_2[[#This Row],[Campaign_Name]],'Campaign Metadata'!A:A,'Campaign Metadata'!C:C,"not found",0)</f>
        <v>45488</v>
      </c>
      <c r="U95" t="str">
        <f>IF(AND(Table1_2[[#This Row],[Date]]&gt;=Table1_2[[#This Row],[Campaign Start Date2]],Table1_2[[#This Row],[Date]]&lt;=Table1_2[[#This Row],[Campaign End Date3]]),"During Campaign","Before Campaign")</f>
        <v>Before Campaign</v>
      </c>
      <c r="V95" s="30">
        <f>_xlfn.XLOOKUP(Table1_2[[#This Row],[Campaign_Name]],'Campaign Metadata'!A:A,'Campaign Metadata'!E:E,"Not Available",0)</f>
        <v>150000</v>
      </c>
      <c r="W95">
        <f>Table1_2[[#This Row],[Engagement]]/Table1_2[[#This Row],[Campaign Budget]]</f>
        <v>3.2006666666666669E-2</v>
      </c>
      <c r="X95">
        <f>_xlfn.XLOOKUP(Table1_2[[#This Row],[Platform]],'Engagement Summary'!B:B,'Engagement Summary'!H:H,"Not Available",0)</f>
        <v>1047</v>
      </c>
      <c r="Y95">
        <f>WEEKNUM(Table1_2[[#This Row],[Date]])</f>
        <v>16</v>
      </c>
      <c r="Z95">
        <f>_xlfn.XLOOKUP(Table1_2[[#This Row],[Platform]],'Engagement Summary'!B:B,'Engagement Summary'!G:G,"Notavailable",0)</f>
        <v>5904</v>
      </c>
    </row>
    <row r="96" spans="1:26" x14ac:dyDescent="0.3">
      <c r="A96" t="s">
        <v>223</v>
      </c>
      <c r="B96" t="s">
        <v>27</v>
      </c>
      <c r="C96" s="4">
        <v>45684</v>
      </c>
      <c r="D96" t="s">
        <v>22</v>
      </c>
      <c r="E96" t="s">
        <v>104</v>
      </c>
      <c r="F96">
        <v>3428</v>
      </c>
      <c r="G96">
        <v>305</v>
      </c>
      <c r="H96">
        <v>85</v>
      </c>
      <c r="I96">
        <v>58276</v>
      </c>
      <c r="J96">
        <v>58052</v>
      </c>
      <c r="K96">
        <v>242</v>
      </c>
      <c r="L96" t="s">
        <v>37</v>
      </c>
      <c r="M96" t="s">
        <v>38</v>
      </c>
      <c r="N96" s="4">
        <v>45717</v>
      </c>
      <c r="O96" s="4">
        <v>45747</v>
      </c>
      <c r="P96" t="s">
        <v>637</v>
      </c>
      <c r="Q96">
        <f>Table1_2[[#This Row],[Likes]]+Table1_2[[#This Row],[Shares]]+Table1_2[[#This Row],[Comments]]</f>
        <v>3818</v>
      </c>
      <c r="R96" s="12">
        <f>(Table1_2[[#This Row],[Likes]]+Table1_2[[#This Row],[Shares]]+Table1_2[[#This Row],[Comments]])/Table1_2[[#This Row],[Impressions]]</f>
        <v>6.5515821264328367E-2</v>
      </c>
      <c r="S96" s="4">
        <f>_xlfn.XLOOKUP(Table1_2[[#This Row],[Campaign_Name]],'Campaign Metadata'!A:A,'Campaign Metadata'!B:B,"not found",0)</f>
        <v>45717</v>
      </c>
      <c r="T96" s="4">
        <f>_xlfn.XLOOKUP(Table1_2[[#This Row],[Campaign_Name]],'Campaign Metadata'!A:A,'Campaign Metadata'!C:C,"not found",0)</f>
        <v>45747</v>
      </c>
      <c r="U96" t="str">
        <f>IF(AND(Table1_2[[#This Row],[Date]]&gt;=Table1_2[[#This Row],[Campaign Start Date2]],Table1_2[[#This Row],[Date]]&lt;=Table1_2[[#This Row],[Campaign End Date3]]),"During Campaign","Before Campaign")</f>
        <v>Before Campaign</v>
      </c>
      <c r="V96" s="30">
        <f>_xlfn.XLOOKUP(Table1_2[[#This Row],[Campaign_Name]],'Campaign Metadata'!A:A,'Campaign Metadata'!E:E,"Not Available",0)</f>
        <v>180000</v>
      </c>
      <c r="W96">
        <f>Table1_2[[#This Row],[Engagement]]/Table1_2[[#This Row],[Campaign Budget]]</f>
        <v>2.1211111111111111E-2</v>
      </c>
      <c r="X96">
        <f>_xlfn.XLOOKUP(Table1_2[[#This Row],[Platform]],'Engagement Summary'!B:B,'Engagement Summary'!H:H,"Not Available",0)</f>
        <v>1090</v>
      </c>
      <c r="Y96">
        <f>WEEKNUM(Table1_2[[#This Row],[Date]])</f>
        <v>5</v>
      </c>
      <c r="Z96">
        <f>_xlfn.XLOOKUP(Table1_2[[#This Row],[Platform]],'Engagement Summary'!B:B,'Engagement Summary'!G:G,"Notavailable",0)</f>
        <v>30671</v>
      </c>
    </row>
    <row r="97" spans="1:26" x14ac:dyDescent="0.3">
      <c r="A97" t="s">
        <v>223</v>
      </c>
      <c r="B97" t="s">
        <v>27</v>
      </c>
      <c r="C97" s="4">
        <v>45684</v>
      </c>
      <c r="D97" t="s">
        <v>22</v>
      </c>
      <c r="E97" t="s">
        <v>104</v>
      </c>
      <c r="F97">
        <v>3428</v>
      </c>
      <c r="G97">
        <v>305</v>
      </c>
      <c r="H97">
        <v>85</v>
      </c>
      <c r="I97">
        <v>58276</v>
      </c>
      <c r="J97">
        <v>58052</v>
      </c>
      <c r="K97">
        <v>242</v>
      </c>
      <c r="L97" t="s">
        <v>616</v>
      </c>
      <c r="M97" t="s">
        <v>38</v>
      </c>
      <c r="N97" s="4">
        <v>45717</v>
      </c>
      <c r="O97" s="4">
        <v>45747</v>
      </c>
      <c r="P97" t="s">
        <v>637</v>
      </c>
      <c r="Q97">
        <f>Table1_2[[#This Row],[Likes]]+Table1_2[[#This Row],[Shares]]+Table1_2[[#This Row],[Comments]]</f>
        <v>3818</v>
      </c>
      <c r="R97" s="12">
        <f>(Table1_2[[#This Row],[Likes]]+Table1_2[[#This Row],[Shares]]+Table1_2[[#This Row],[Comments]])/Table1_2[[#This Row],[Impressions]]</f>
        <v>6.5515821264328367E-2</v>
      </c>
      <c r="S97" s="4">
        <f>_xlfn.XLOOKUP(Table1_2[[#This Row],[Campaign_Name]],'Campaign Metadata'!A:A,'Campaign Metadata'!B:B,"not found",0)</f>
        <v>45717</v>
      </c>
      <c r="T97" s="4">
        <f>_xlfn.XLOOKUP(Table1_2[[#This Row],[Campaign_Name]],'Campaign Metadata'!A:A,'Campaign Metadata'!C:C,"not found",0)</f>
        <v>45747</v>
      </c>
      <c r="U97" t="str">
        <f>IF(AND(Table1_2[[#This Row],[Date]]&gt;=Table1_2[[#This Row],[Campaign Start Date2]],Table1_2[[#This Row],[Date]]&lt;=Table1_2[[#This Row],[Campaign End Date3]]),"During Campaign","Before Campaign")</f>
        <v>Before Campaign</v>
      </c>
      <c r="V97" s="30">
        <f>_xlfn.XLOOKUP(Table1_2[[#This Row],[Campaign_Name]],'Campaign Metadata'!A:A,'Campaign Metadata'!E:E,"Not Available",0)</f>
        <v>180000</v>
      </c>
      <c r="W97">
        <f>Table1_2[[#This Row],[Engagement]]/Table1_2[[#This Row],[Campaign Budget]]</f>
        <v>2.1211111111111111E-2</v>
      </c>
      <c r="X97">
        <f>_xlfn.XLOOKUP(Table1_2[[#This Row],[Platform]],'Engagement Summary'!B:B,'Engagement Summary'!H:H,"Not Available",0)</f>
        <v>1090</v>
      </c>
      <c r="Y97">
        <f>WEEKNUM(Table1_2[[#This Row],[Date]])</f>
        <v>5</v>
      </c>
      <c r="Z97">
        <f>_xlfn.XLOOKUP(Table1_2[[#This Row],[Platform]],'Engagement Summary'!B:B,'Engagement Summary'!G:G,"Notavailable",0)</f>
        <v>30671</v>
      </c>
    </row>
    <row r="98" spans="1:26" x14ac:dyDescent="0.3">
      <c r="A98" t="s">
        <v>225</v>
      </c>
      <c r="B98" t="s">
        <v>14</v>
      </c>
      <c r="C98" s="4">
        <v>45449</v>
      </c>
      <c r="D98" t="s">
        <v>74</v>
      </c>
      <c r="E98" t="s">
        <v>145</v>
      </c>
      <c r="F98">
        <v>1436</v>
      </c>
      <c r="G98">
        <v>765</v>
      </c>
      <c r="H98">
        <v>496</v>
      </c>
      <c r="I98">
        <v>12924</v>
      </c>
      <c r="J98">
        <v>12701</v>
      </c>
      <c r="K98">
        <v>197</v>
      </c>
      <c r="L98" t="s">
        <v>62</v>
      </c>
      <c r="M98" t="s">
        <v>31</v>
      </c>
      <c r="N98" s="4">
        <v>45651</v>
      </c>
      <c r="O98" s="4">
        <v>45667</v>
      </c>
      <c r="P98" t="s">
        <v>637</v>
      </c>
      <c r="Q98">
        <f>Table1_2[[#This Row],[Likes]]+Table1_2[[#This Row],[Shares]]+Table1_2[[#This Row],[Comments]]</f>
        <v>2697</v>
      </c>
      <c r="R98" s="16">
        <f>(Table1_2[[#This Row],[Likes]]+Table1_2[[#This Row],[Shares]]+Table1_2[[#This Row],[Comments]])/Table1_2[[#This Row],[Impressions]]</f>
        <v>0.20868152274837512</v>
      </c>
      <c r="S98" s="4">
        <f>_xlfn.XLOOKUP(Table1_2[[#This Row],[Campaign_Name]],'Campaign Metadata'!A:A,'Campaign Metadata'!B:B,"not found",0)</f>
        <v>45651</v>
      </c>
      <c r="T98" s="4">
        <f>_xlfn.XLOOKUP(Table1_2[[#This Row],[Campaign_Name]],'Campaign Metadata'!A:A,'Campaign Metadata'!C:C,"not found",0)</f>
        <v>45667</v>
      </c>
      <c r="U98" t="str">
        <f>IF(AND(Table1_2[[#This Row],[Date]]&gt;=Table1_2[[#This Row],[Campaign Start Date2]],Table1_2[[#This Row],[Date]]&lt;=Table1_2[[#This Row],[Campaign End Date3]]),"During Campaign","Before Campaign")</f>
        <v>Before Campaign</v>
      </c>
      <c r="V98" s="30">
        <f>_xlfn.XLOOKUP(Table1_2[[#This Row],[Campaign_Name]],'Campaign Metadata'!A:A,'Campaign Metadata'!E:E,"Not Available",0)</f>
        <v>250000</v>
      </c>
      <c r="W98">
        <f>Table1_2[[#This Row],[Engagement]]/Table1_2[[#This Row],[Campaign Budget]]</f>
        <v>1.0788000000000001E-2</v>
      </c>
      <c r="X98">
        <f>_xlfn.XLOOKUP(Table1_2[[#This Row],[Platform]],'Engagement Summary'!B:B,'Engagement Summary'!H:H,"Not Available",0)</f>
        <v>415</v>
      </c>
      <c r="Y98">
        <f>WEEKNUM(Table1_2[[#This Row],[Date]])</f>
        <v>23</v>
      </c>
      <c r="Z98">
        <f>_xlfn.XLOOKUP(Table1_2[[#This Row],[Platform]],'Engagement Summary'!B:B,'Engagement Summary'!G:G,"Notavailable",0)</f>
        <v>26752</v>
      </c>
    </row>
    <row r="99" spans="1:26" x14ac:dyDescent="0.3">
      <c r="A99" t="s">
        <v>227</v>
      </c>
      <c r="B99" t="s">
        <v>43</v>
      </c>
      <c r="C99" s="4">
        <v>45480</v>
      </c>
      <c r="D99" t="s">
        <v>35</v>
      </c>
      <c r="E99" t="s">
        <v>71</v>
      </c>
      <c r="F99">
        <v>302</v>
      </c>
      <c r="G99">
        <v>47</v>
      </c>
      <c r="H99">
        <v>430</v>
      </c>
      <c r="I99">
        <v>5738</v>
      </c>
      <c r="J99">
        <v>4890</v>
      </c>
      <c r="K99">
        <v>25</v>
      </c>
      <c r="L99" t="s">
        <v>30</v>
      </c>
      <c r="M99" t="s">
        <v>38</v>
      </c>
      <c r="N99" s="4">
        <v>45717</v>
      </c>
      <c r="O99" s="4">
        <v>45747</v>
      </c>
      <c r="P99" t="s">
        <v>637</v>
      </c>
      <c r="Q99">
        <f>Table1_2[[#This Row],[Likes]]+Table1_2[[#This Row],[Shares]]+Table1_2[[#This Row],[Comments]]</f>
        <v>779</v>
      </c>
      <c r="R99" s="12">
        <f>(Table1_2[[#This Row],[Likes]]+Table1_2[[#This Row],[Shares]]+Table1_2[[#This Row],[Comments]])/Table1_2[[#This Row],[Impressions]]</f>
        <v>0.13576158940397351</v>
      </c>
      <c r="S99" s="4">
        <f>_xlfn.XLOOKUP(Table1_2[[#This Row],[Campaign_Name]],'Campaign Metadata'!A:A,'Campaign Metadata'!B:B,"not found",0)</f>
        <v>45717</v>
      </c>
      <c r="T99" s="4">
        <f>_xlfn.XLOOKUP(Table1_2[[#This Row],[Campaign_Name]],'Campaign Metadata'!A:A,'Campaign Metadata'!C:C,"not found",0)</f>
        <v>45747</v>
      </c>
      <c r="U99" t="str">
        <f>IF(AND(Table1_2[[#This Row],[Date]]&gt;=Table1_2[[#This Row],[Campaign Start Date2]],Table1_2[[#This Row],[Date]]&lt;=Table1_2[[#This Row],[Campaign End Date3]]),"During Campaign","Before Campaign")</f>
        <v>Before Campaign</v>
      </c>
      <c r="V99" s="30">
        <f>_xlfn.XLOOKUP(Table1_2[[#This Row],[Campaign_Name]],'Campaign Metadata'!A:A,'Campaign Metadata'!E:E,"Not Available",0)</f>
        <v>180000</v>
      </c>
      <c r="W99">
        <f>Table1_2[[#This Row],[Engagement]]/Table1_2[[#This Row],[Campaign Budget]]</f>
        <v>4.3277777777777776E-3</v>
      </c>
      <c r="X99">
        <f>_xlfn.XLOOKUP(Table1_2[[#This Row],[Platform]],'Engagement Summary'!B:B,'Engagement Summary'!H:H,"Not Available",0)</f>
        <v>1002</v>
      </c>
      <c r="Y99">
        <f>WEEKNUM(Table1_2[[#This Row],[Date]])</f>
        <v>28</v>
      </c>
      <c r="Z99">
        <f>_xlfn.XLOOKUP(Table1_2[[#This Row],[Platform]],'Engagement Summary'!B:B,'Engagement Summary'!G:G,"Notavailable",0)</f>
        <v>9566</v>
      </c>
    </row>
    <row r="100" spans="1:26" x14ac:dyDescent="0.3">
      <c r="A100" t="s">
        <v>229</v>
      </c>
      <c r="B100" t="s">
        <v>14</v>
      </c>
      <c r="C100" s="4">
        <v>45667</v>
      </c>
      <c r="D100" t="s">
        <v>52</v>
      </c>
      <c r="E100" t="s">
        <v>132</v>
      </c>
      <c r="F100">
        <v>2214</v>
      </c>
      <c r="G100">
        <v>249</v>
      </c>
      <c r="H100">
        <v>152</v>
      </c>
      <c r="I100">
        <v>15498</v>
      </c>
      <c r="J100">
        <v>14800</v>
      </c>
      <c r="K100">
        <v>180</v>
      </c>
      <c r="L100" t="s">
        <v>37</v>
      </c>
      <c r="M100" t="s">
        <v>617</v>
      </c>
      <c r="N100" s="4">
        <v>0</v>
      </c>
      <c r="O100" s="4">
        <v>0</v>
      </c>
      <c r="P100" t="s">
        <v>637</v>
      </c>
      <c r="Q100">
        <f>Table1_2[[#This Row],[Likes]]+Table1_2[[#This Row],[Shares]]+Table1_2[[#This Row],[Comments]]</f>
        <v>2615</v>
      </c>
      <c r="R100" s="12">
        <f>(Table1_2[[#This Row],[Likes]]+Table1_2[[#This Row],[Shares]]+Table1_2[[#This Row],[Comments]])/Table1_2[[#This Row],[Impressions]]</f>
        <v>0.16873144921925409</v>
      </c>
      <c r="S100" s="4" t="str">
        <f>_xlfn.XLOOKUP(Table1_2[[#This Row],[Campaign_Name]],'Campaign Metadata'!A:A,'Campaign Metadata'!B:B,"not found",0)</f>
        <v>not found</v>
      </c>
      <c r="T100" s="4" t="str">
        <f>_xlfn.XLOOKUP(Table1_2[[#This Row],[Campaign_Name]],'Campaign Metadata'!A:A,'Campaign Metadata'!C:C,"not found",0)</f>
        <v>not found</v>
      </c>
      <c r="U100" t="str">
        <f>IF(AND(Table1_2[[#This Row],[Date]]&gt;=Table1_2[[#This Row],[Campaign Start Date2]],Table1_2[[#This Row],[Date]]&lt;=Table1_2[[#This Row],[Campaign End Date3]]),"During Campaign","Before Campaign")</f>
        <v>Before Campaign</v>
      </c>
      <c r="V100" s="30" t="str">
        <f>_xlfn.XLOOKUP(Table1_2[[#This Row],[Campaign_Name]],'Campaign Metadata'!A:A,'Campaign Metadata'!E:E,"Not Available",0)</f>
        <v>Not Available</v>
      </c>
      <c r="W100" t="e">
        <f>Table1_2[[#This Row],[Engagement]]/Table1_2[[#This Row],[Campaign Budget]]</f>
        <v>#VALUE!</v>
      </c>
      <c r="X100">
        <f>_xlfn.XLOOKUP(Table1_2[[#This Row],[Platform]],'Engagement Summary'!B:B,'Engagement Summary'!H:H,"Not Available",0)</f>
        <v>415</v>
      </c>
      <c r="Y100">
        <f>WEEKNUM(Table1_2[[#This Row],[Date]])</f>
        <v>2</v>
      </c>
      <c r="Z100">
        <f>_xlfn.XLOOKUP(Table1_2[[#This Row],[Platform]],'Engagement Summary'!B:B,'Engagement Summary'!G:G,"Notavailable",0)</f>
        <v>26752</v>
      </c>
    </row>
    <row r="101" spans="1:26" x14ac:dyDescent="0.3">
      <c r="A101" t="s">
        <v>231</v>
      </c>
      <c r="B101" t="s">
        <v>33</v>
      </c>
      <c r="C101" s="4">
        <v>45446</v>
      </c>
      <c r="D101" t="s">
        <v>52</v>
      </c>
      <c r="E101" t="s">
        <v>215</v>
      </c>
      <c r="F101">
        <v>3861</v>
      </c>
      <c r="G101">
        <v>960</v>
      </c>
      <c r="H101">
        <v>101</v>
      </c>
      <c r="I101">
        <v>69498</v>
      </c>
      <c r="J101">
        <v>68817</v>
      </c>
      <c r="K101">
        <v>297</v>
      </c>
      <c r="L101" t="s">
        <v>30</v>
      </c>
      <c r="M101" t="s">
        <v>38</v>
      </c>
      <c r="N101" s="4">
        <v>45717</v>
      </c>
      <c r="O101" s="4">
        <v>45747</v>
      </c>
      <c r="P101" t="s">
        <v>637</v>
      </c>
      <c r="Q101">
        <f>Table1_2[[#This Row],[Likes]]+Table1_2[[#This Row],[Shares]]+Table1_2[[#This Row],[Comments]]</f>
        <v>4922</v>
      </c>
      <c r="R101" s="16">
        <f>(Table1_2[[#This Row],[Likes]]+Table1_2[[#This Row],[Shares]]+Table1_2[[#This Row],[Comments]])/Table1_2[[#This Row],[Impressions]]</f>
        <v>7.0822181933293038E-2</v>
      </c>
      <c r="S101" s="4">
        <f>_xlfn.XLOOKUP(Table1_2[[#This Row],[Campaign_Name]],'Campaign Metadata'!A:A,'Campaign Metadata'!B:B,"not found",0)</f>
        <v>45717</v>
      </c>
      <c r="T101" s="4">
        <f>_xlfn.XLOOKUP(Table1_2[[#This Row],[Campaign_Name]],'Campaign Metadata'!A:A,'Campaign Metadata'!C:C,"not found",0)</f>
        <v>45747</v>
      </c>
      <c r="U101" t="str">
        <f>IF(AND(Table1_2[[#This Row],[Date]]&gt;=Table1_2[[#This Row],[Campaign Start Date2]],Table1_2[[#This Row],[Date]]&lt;=Table1_2[[#This Row],[Campaign End Date3]]),"During Campaign","Before Campaign")</f>
        <v>Before Campaign</v>
      </c>
      <c r="V101" s="30">
        <f>_xlfn.XLOOKUP(Table1_2[[#This Row],[Campaign_Name]],'Campaign Metadata'!A:A,'Campaign Metadata'!E:E,"Not Available",0)</f>
        <v>180000</v>
      </c>
      <c r="W101">
        <f>Table1_2[[#This Row],[Engagement]]/Table1_2[[#This Row],[Campaign Budget]]</f>
        <v>2.7344444444444446E-2</v>
      </c>
      <c r="X101">
        <f>_xlfn.XLOOKUP(Table1_2[[#This Row],[Platform]],'Engagement Summary'!B:B,'Engagement Summary'!H:H,"Not Available",0)</f>
        <v>1047</v>
      </c>
      <c r="Y101">
        <f>WEEKNUM(Table1_2[[#This Row],[Date]])</f>
        <v>23</v>
      </c>
      <c r="Z101">
        <f>_xlfn.XLOOKUP(Table1_2[[#This Row],[Platform]],'Engagement Summary'!B:B,'Engagement Summary'!G:G,"Notavailable",0)</f>
        <v>5904</v>
      </c>
    </row>
    <row r="102" spans="1:26" x14ac:dyDescent="0.3">
      <c r="A102" t="s">
        <v>233</v>
      </c>
      <c r="B102" t="s">
        <v>43</v>
      </c>
      <c r="C102" s="4">
        <v>45740</v>
      </c>
      <c r="D102" t="s">
        <v>52</v>
      </c>
      <c r="E102" t="s">
        <v>59</v>
      </c>
      <c r="F102">
        <v>1263</v>
      </c>
      <c r="G102">
        <v>397</v>
      </c>
      <c r="H102">
        <v>357</v>
      </c>
      <c r="I102">
        <v>25260</v>
      </c>
      <c r="J102">
        <v>24615</v>
      </c>
      <c r="K102">
        <v>137</v>
      </c>
      <c r="L102" t="s">
        <v>37</v>
      </c>
      <c r="M102" t="s">
        <v>38</v>
      </c>
      <c r="N102" s="4">
        <v>45717</v>
      </c>
      <c r="O102" s="4">
        <v>45747</v>
      </c>
      <c r="P102" t="s">
        <v>637</v>
      </c>
      <c r="Q102">
        <f>Table1_2[[#This Row],[Likes]]+Table1_2[[#This Row],[Shares]]+Table1_2[[#This Row],[Comments]]</f>
        <v>2017</v>
      </c>
      <c r="R102" s="12">
        <f>(Table1_2[[#This Row],[Likes]]+Table1_2[[#This Row],[Shares]]+Table1_2[[#This Row],[Comments]])/Table1_2[[#This Row],[Impressions]]</f>
        <v>7.984956452889945E-2</v>
      </c>
      <c r="S102" s="4">
        <f>_xlfn.XLOOKUP(Table1_2[[#This Row],[Campaign_Name]],'Campaign Metadata'!A:A,'Campaign Metadata'!B:B,"not found",0)</f>
        <v>45717</v>
      </c>
      <c r="T102" s="4">
        <f>_xlfn.XLOOKUP(Table1_2[[#This Row],[Campaign_Name]],'Campaign Metadata'!A:A,'Campaign Metadata'!C:C,"not found",0)</f>
        <v>45747</v>
      </c>
      <c r="U102" t="str">
        <f>IF(AND(Table1_2[[#This Row],[Date]]&gt;=Table1_2[[#This Row],[Campaign Start Date2]],Table1_2[[#This Row],[Date]]&lt;=Table1_2[[#This Row],[Campaign End Date3]]),"During Campaign","Before Campaign")</f>
        <v>During Campaign</v>
      </c>
      <c r="V102" s="30">
        <f>_xlfn.XLOOKUP(Table1_2[[#This Row],[Campaign_Name]],'Campaign Metadata'!A:A,'Campaign Metadata'!E:E,"Not Available",0)</f>
        <v>180000</v>
      </c>
      <c r="W102">
        <f>Table1_2[[#This Row],[Engagement]]/Table1_2[[#This Row],[Campaign Budget]]</f>
        <v>1.1205555555555555E-2</v>
      </c>
      <c r="X102">
        <f>_xlfn.XLOOKUP(Table1_2[[#This Row],[Platform]],'Engagement Summary'!B:B,'Engagement Summary'!H:H,"Not Available",0)</f>
        <v>1002</v>
      </c>
      <c r="Y102">
        <f>WEEKNUM(Table1_2[[#This Row],[Date]])</f>
        <v>13</v>
      </c>
      <c r="Z102">
        <f>_xlfn.XLOOKUP(Table1_2[[#This Row],[Platform]],'Engagement Summary'!B:B,'Engagement Summary'!G:G,"Notavailable",0)</f>
        <v>9566</v>
      </c>
    </row>
    <row r="103" spans="1:26" x14ac:dyDescent="0.3">
      <c r="A103" t="s">
        <v>235</v>
      </c>
      <c r="B103" t="s">
        <v>14</v>
      </c>
      <c r="C103" s="4">
        <v>45586</v>
      </c>
      <c r="D103" t="s">
        <v>35</v>
      </c>
      <c r="E103" t="s">
        <v>149</v>
      </c>
      <c r="F103">
        <v>3801</v>
      </c>
      <c r="G103">
        <v>967</v>
      </c>
      <c r="H103">
        <v>401</v>
      </c>
      <c r="I103">
        <v>38010</v>
      </c>
      <c r="J103">
        <v>37625</v>
      </c>
      <c r="K103">
        <v>236</v>
      </c>
      <c r="L103" t="s">
        <v>62</v>
      </c>
      <c r="M103" t="s">
        <v>31</v>
      </c>
      <c r="N103" s="4">
        <v>45651</v>
      </c>
      <c r="O103" s="4">
        <v>45667</v>
      </c>
      <c r="P103" t="s">
        <v>637</v>
      </c>
      <c r="Q103">
        <f>Table1_2[[#This Row],[Likes]]+Table1_2[[#This Row],[Shares]]+Table1_2[[#This Row],[Comments]]</f>
        <v>5169</v>
      </c>
      <c r="R103" s="12">
        <f>(Table1_2[[#This Row],[Likes]]+Table1_2[[#This Row],[Shares]]+Table1_2[[#This Row],[Comments]])/Table1_2[[#This Row],[Impressions]]</f>
        <v>0.13599052880820836</v>
      </c>
      <c r="S103" s="4">
        <f>_xlfn.XLOOKUP(Table1_2[[#This Row],[Campaign_Name]],'Campaign Metadata'!A:A,'Campaign Metadata'!B:B,"not found",0)</f>
        <v>45651</v>
      </c>
      <c r="T103" s="4">
        <f>_xlfn.XLOOKUP(Table1_2[[#This Row],[Campaign_Name]],'Campaign Metadata'!A:A,'Campaign Metadata'!C:C,"not found",0)</f>
        <v>45667</v>
      </c>
      <c r="U103" t="str">
        <f>IF(AND(Table1_2[[#This Row],[Date]]&gt;=Table1_2[[#This Row],[Campaign Start Date2]],Table1_2[[#This Row],[Date]]&lt;=Table1_2[[#This Row],[Campaign End Date3]]),"During Campaign","Before Campaign")</f>
        <v>Before Campaign</v>
      </c>
      <c r="V103" s="30">
        <f>_xlfn.XLOOKUP(Table1_2[[#This Row],[Campaign_Name]],'Campaign Metadata'!A:A,'Campaign Metadata'!E:E,"Not Available",0)</f>
        <v>250000</v>
      </c>
      <c r="W103">
        <f>Table1_2[[#This Row],[Engagement]]/Table1_2[[#This Row],[Campaign Budget]]</f>
        <v>2.0676E-2</v>
      </c>
      <c r="X103">
        <f>_xlfn.XLOOKUP(Table1_2[[#This Row],[Platform]],'Engagement Summary'!B:B,'Engagement Summary'!H:H,"Not Available",0)</f>
        <v>415</v>
      </c>
      <c r="Y103">
        <f>WEEKNUM(Table1_2[[#This Row],[Date]])</f>
        <v>43</v>
      </c>
      <c r="Z103">
        <f>_xlfn.XLOOKUP(Table1_2[[#This Row],[Platform]],'Engagement Summary'!B:B,'Engagement Summary'!G:G,"Notavailable",0)</f>
        <v>26752</v>
      </c>
    </row>
    <row r="104" spans="1:26" x14ac:dyDescent="0.3">
      <c r="A104" t="s">
        <v>236</v>
      </c>
      <c r="B104" t="s">
        <v>33</v>
      </c>
      <c r="C104" s="4">
        <v>45637</v>
      </c>
      <c r="D104" t="s">
        <v>74</v>
      </c>
      <c r="E104" t="s">
        <v>85</v>
      </c>
      <c r="F104">
        <v>1431</v>
      </c>
      <c r="G104">
        <v>951</v>
      </c>
      <c r="H104">
        <v>26</v>
      </c>
      <c r="I104">
        <v>8586</v>
      </c>
      <c r="J104">
        <v>8396</v>
      </c>
      <c r="K104">
        <v>150</v>
      </c>
      <c r="L104" t="s">
        <v>37</v>
      </c>
      <c r="M104" t="s">
        <v>31</v>
      </c>
      <c r="N104" s="4">
        <v>45651</v>
      </c>
      <c r="O104" s="4">
        <v>45667</v>
      </c>
      <c r="P104" t="s">
        <v>637</v>
      </c>
      <c r="Q104">
        <f>Table1_2[[#This Row],[Likes]]+Table1_2[[#This Row],[Shares]]+Table1_2[[#This Row],[Comments]]</f>
        <v>2408</v>
      </c>
      <c r="R104" s="12">
        <f>(Table1_2[[#This Row],[Likes]]+Table1_2[[#This Row],[Shares]]+Table1_2[[#This Row],[Comments]])/Table1_2[[#This Row],[Impressions]]</f>
        <v>0.28045655718611695</v>
      </c>
      <c r="S104" s="4">
        <f>_xlfn.XLOOKUP(Table1_2[[#This Row],[Campaign_Name]],'Campaign Metadata'!A:A,'Campaign Metadata'!B:B,"not found",0)</f>
        <v>45651</v>
      </c>
      <c r="T104" s="4">
        <f>_xlfn.XLOOKUP(Table1_2[[#This Row],[Campaign_Name]],'Campaign Metadata'!A:A,'Campaign Metadata'!C:C,"not found",0)</f>
        <v>45667</v>
      </c>
      <c r="U104" t="str">
        <f>IF(AND(Table1_2[[#This Row],[Date]]&gt;=Table1_2[[#This Row],[Campaign Start Date2]],Table1_2[[#This Row],[Date]]&lt;=Table1_2[[#This Row],[Campaign End Date3]]),"During Campaign","Before Campaign")</f>
        <v>Before Campaign</v>
      </c>
      <c r="V104" s="30">
        <f>_xlfn.XLOOKUP(Table1_2[[#This Row],[Campaign_Name]],'Campaign Metadata'!A:A,'Campaign Metadata'!E:E,"Not Available",0)</f>
        <v>250000</v>
      </c>
      <c r="W104">
        <f>Table1_2[[#This Row],[Engagement]]/Table1_2[[#This Row],[Campaign Budget]]</f>
        <v>9.6319999999999999E-3</v>
      </c>
      <c r="X104">
        <f>_xlfn.XLOOKUP(Table1_2[[#This Row],[Platform]],'Engagement Summary'!B:B,'Engagement Summary'!H:H,"Not Available",0)</f>
        <v>1047</v>
      </c>
      <c r="Y104">
        <f>WEEKNUM(Table1_2[[#This Row],[Date]])</f>
        <v>50</v>
      </c>
      <c r="Z104">
        <f>_xlfn.XLOOKUP(Table1_2[[#This Row],[Platform]],'Engagement Summary'!B:B,'Engagement Summary'!G:G,"Notavailable",0)</f>
        <v>5904</v>
      </c>
    </row>
    <row r="105" spans="1:26" x14ac:dyDescent="0.3">
      <c r="A105" t="s">
        <v>238</v>
      </c>
      <c r="B105" t="s">
        <v>33</v>
      </c>
      <c r="C105" s="4">
        <v>45603</v>
      </c>
      <c r="D105" t="s">
        <v>52</v>
      </c>
      <c r="E105" t="s">
        <v>215</v>
      </c>
      <c r="F105">
        <v>2647</v>
      </c>
      <c r="G105">
        <v>304</v>
      </c>
      <c r="H105">
        <v>170</v>
      </c>
      <c r="I105">
        <v>18529</v>
      </c>
      <c r="J105">
        <v>17841</v>
      </c>
      <c r="K105">
        <v>46</v>
      </c>
      <c r="L105" t="s">
        <v>62</v>
      </c>
      <c r="M105" t="s">
        <v>31</v>
      </c>
      <c r="N105" s="4">
        <v>45651</v>
      </c>
      <c r="O105" s="4">
        <v>45667</v>
      </c>
      <c r="P105" t="s">
        <v>637</v>
      </c>
      <c r="Q105">
        <f>Table1_2[[#This Row],[Likes]]+Table1_2[[#This Row],[Shares]]+Table1_2[[#This Row],[Comments]]</f>
        <v>3121</v>
      </c>
      <c r="R105" s="12">
        <f>(Table1_2[[#This Row],[Likes]]+Table1_2[[#This Row],[Shares]]+Table1_2[[#This Row],[Comments]])/Table1_2[[#This Row],[Impressions]]</f>
        <v>0.16843866371633656</v>
      </c>
      <c r="S105" s="4">
        <f>_xlfn.XLOOKUP(Table1_2[[#This Row],[Campaign_Name]],'Campaign Metadata'!A:A,'Campaign Metadata'!B:B,"not found",0)</f>
        <v>45651</v>
      </c>
      <c r="T105" s="4">
        <f>_xlfn.XLOOKUP(Table1_2[[#This Row],[Campaign_Name]],'Campaign Metadata'!A:A,'Campaign Metadata'!C:C,"not found",0)</f>
        <v>45667</v>
      </c>
      <c r="U105" t="str">
        <f>IF(AND(Table1_2[[#This Row],[Date]]&gt;=Table1_2[[#This Row],[Campaign Start Date2]],Table1_2[[#This Row],[Date]]&lt;=Table1_2[[#This Row],[Campaign End Date3]]),"During Campaign","Before Campaign")</f>
        <v>Before Campaign</v>
      </c>
      <c r="V105" s="30">
        <f>_xlfn.XLOOKUP(Table1_2[[#This Row],[Campaign_Name]],'Campaign Metadata'!A:A,'Campaign Metadata'!E:E,"Not Available",0)</f>
        <v>250000</v>
      </c>
      <c r="W105">
        <f>Table1_2[[#This Row],[Engagement]]/Table1_2[[#This Row],[Campaign Budget]]</f>
        <v>1.2484E-2</v>
      </c>
      <c r="X105">
        <f>_xlfn.XLOOKUP(Table1_2[[#This Row],[Platform]],'Engagement Summary'!B:B,'Engagement Summary'!H:H,"Not Available",0)</f>
        <v>1047</v>
      </c>
      <c r="Y105">
        <f>WEEKNUM(Table1_2[[#This Row],[Date]])</f>
        <v>45</v>
      </c>
      <c r="Z105">
        <f>_xlfn.XLOOKUP(Table1_2[[#This Row],[Platform]],'Engagement Summary'!B:B,'Engagement Summary'!G:G,"Notavailable",0)</f>
        <v>5904</v>
      </c>
    </row>
    <row r="106" spans="1:26" x14ac:dyDescent="0.3">
      <c r="A106" t="s">
        <v>239</v>
      </c>
      <c r="B106" t="s">
        <v>33</v>
      </c>
      <c r="C106" s="4">
        <v>45604</v>
      </c>
      <c r="D106" t="s">
        <v>22</v>
      </c>
      <c r="E106" t="s">
        <v>113</v>
      </c>
      <c r="F106">
        <v>3182</v>
      </c>
      <c r="G106">
        <v>559</v>
      </c>
      <c r="H106">
        <v>160</v>
      </c>
      <c r="I106">
        <v>57276</v>
      </c>
      <c r="J106">
        <v>56890</v>
      </c>
      <c r="K106">
        <v>163</v>
      </c>
      <c r="L106" t="s">
        <v>62</v>
      </c>
      <c r="M106" t="s">
        <v>38</v>
      </c>
      <c r="N106" s="4">
        <v>45717</v>
      </c>
      <c r="O106" s="4">
        <v>45747</v>
      </c>
      <c r="P106" t="s">
        <v>637</v>
      </c>
      <c r="Q106">
        <f>Table1_2[[#This Row],[Likes]]+Table1_2[[#This Row],[Shares]]+Table1_2[[#This Row],[Comments]]</f>
        <v>3901</v>
      </c>
      <c r="R106" s="12">
        <f>(Table1_2[[#This Row],[Likes]]+Table1_2[[#This Row],[Shares]]+Table1_2[[#This Row],[Comments]])/Table1_2[[#This Row],[Impressions]]</f>
        <v>6.8108806480899509E-2</v>
      </c>
      <c r="S106" s="4">
        <f>_xlfn.XLOOKUP(Table1_2[[#This Row],[Campaign_Name]],'Campaign Metadata'!A:A,'Campaign Metadata'!B:B,"not found",0)</f>
        <v>45717</v>
      </c>
      <c r="T106" s="4">
        <f>_xlfn.XLOOKUP(Table1_2[[#This Row],[Campaign_Name]],'Campaign Metadata'!A:A,'Campaign Metadata'!C:C,"not found",0)</f>
        <v>45747</v>
      </c>
      <c r="U106" t="str">
        <f>IF(AND(Table1_2[[#This Row],[Date]]&gt;=Table1_2[[#This Row],[Campaign Start Date2]],Table1_2[[#This Row],[Date]]&lt;=Table1_2[[#This Row],[Campaign End Date3]]),"During Campaign","Before Campaign")</f>
        <v>Before Campaign</v>
      </c>
      <c r="V106" s="30">
        <f>_xlfn.XLOOKUP(Table1_2[[#This Row],[Campaign_Name]],'Campaign Metadata'!A:A,'Campaign Metadata'!E:E,"Not Available",0)</f>
        <v>180000</v>
      </c>
      <c r="W106">
        <f>Table1_2[[#This Row],[Engagement]]/Table1_2[[#This Row],[Campaign Budget]]</f>
        <v>2.1672222222222221E-2</v>
      </c>
      <c r="X106">
        <f>_xlfn.XLOOKUP(Table1_2[[#This Row],[Platform]],'Engagement Summary'!B:B,'Engagement Summary'!H:H,"Not Available",0)</f>
        <v>1047</v>
      </c>
      <c r="Y106">
        <f>WEEKNUM(Table1_2[[#This Row],[Date]])</f>
        <v>45</v>
      </c>
      <c r="Z106">
        <f>_xlfn.XLOOKUP(Table1_2[[#This Row],[Platform]],'Engagement Summary'!B:B,'Engagement Summary'!G:G,"Notavailable",0)</f>
        <v>5904</v>
      </c>
    </row>
    <row r="107" spans="1:26" x14ac:dyDescent="0.3">
      <c r="A107" t="s">
        <v>241</v>
      </c>
      <c r="B107" t="s">
        <v>14</v>
      </c>
      <c r="C107" s="4">
        <v>45545</v>
      </c>
      <c r="D107" t="s">
        <v>52</v>
      </c>
      <c r="E107" t="s">
        <v>132</v>
      </c>
      <c r="F107">
        <v>1238</v>
      </c>
      <c r="G107">
        <v>366</v>
      </c>
      <c r="H107">
        <v>444</v>
      </c>
      <c r="I107">
        <v>19808</v>
      </c>
      <c r="J107">
        <v>19334</v>
      </c>
      <c r="K107">
        <v>123</v>
      </c>
      <c r="L107" t="s">
        <v>62</v>
      </c>
      <c r="M107" t="s">
        <v>617</v>
      </c>
      <c r="N107" s="4">
        <v>0</v>
      </c>
      <c r="O107" s="4">
        <v>0</v>
      </c>
      <c r="P107" t="s">
        <v>637</v>
      </c>
      <c r="Q107">
        <f>Table1_2[[#This Row],[Likes]]+Table1_2[[#This Row],[Shares]]+Table1_2[[#This Row],[Comments]]</f>
        <v>2048</v>
      </c>
      <c r="R107" s="12">
        <f>(Table1_2[[#This Row],[Likes]]+Table1_2[[#This Row],[Shares]]+Table1_2[[#This Row],[Comments]])/Table1_2[[#This Row],[Impressions]]</f>
        <v>0.10339256865912763</v>
      </c>
      <c r="S107" s="4" t="str">
        <f>_xlfn.XLOOKUP(Table1_2[[#This Row],[Campaign_Name]],'Campaign Metadata'!A:A,'Campaign Metadata'!B:B,"not found",0)</f>
        <v>not found</v>
      </c>
      <c r="T107" s="4" t="str">
        <f>_xlfn.XLOOKUP(Table1_2[[#This Row],[Campaign_Name]],'Campaign Metadata'!A:A,'Campaign Metadata'!C:C,"not found",0)</f>
        <v>not found</v>
      </c>
      <c r="U107" t="str">
        <f>IF(AND(Table1_2[[#This Row],[Date]]&gt;=Table1_2[[#This Row],[Campaign Start Date2]],Table1_2[[#This Row],[Date]]&lt;=Table1_2[[#This Row],[Campaign End Date3]]),"During Campaign","Before Campaign")</f>
        <v>Before Campaign</v>
      </c>
      <c r="V107" s="30" t="str">
        <f>_xlfn.XLOOKUP(Table1_2[[#This Row],[Campaign_Name]],'Campaign Metadata'!A:A,'Campaign Metadata'!E:E,"Not Available",0)</f>
        <v>Not Available</v>
      </c>
      <c r="W107" t="e">
        <f>Table1_2[[#This Row],[Engagement]]/Table1_2[[#This Row],[Campaign Budget]]</f>
        <v>#VALUE!</v>
      </c>
      <c r="X107">
        <f>_xlfn.XLOOKUP(Table1_2[[#This Row],[Platform]],'Engagement Summary'!B:B,'Engagement Summary'!H:H,"Not Available",0)</f>
        <v>415</v>
      </c>
      <c r="Y107">
        <f>WEEKNUM(Table1_2[[#This Row],[Date]])</f>
        <v>37</v>
      </c>
      <c r="Z107">
        <f>_xlfn.XLOOKUP(Table1_2[[#This Row],[Platform]],'Engagement Summary'!B:B,'Engagement Summary'!G:G,"Notavailable",0)</f>
        <v>26752</v>
      </c>
    </row>
    <row r="108" spans="1:26" x14ac:dyDescent="0.3">
      <c r="A108" t="s">
        <v>243</v>
      </c>
      <c r="B108" t="s">
        <v>33</v>
      </c>
      <c r="C108" s="4">
        <v>45517</v>
      </c>
      <c r="D108" t="s">
        <v>52</v>
      </c>
      <c r="E108" t="s">
        <v>215</v>
      </c>
      <c r="F108">
        <v>4739</v>
      </c>
      <c r="G108">
        <v>527</v>
      </c>
      <c r="H108">
        <v>135</v>
      </c>
      <c r="I108">
        <v>61607</v>
      </c>
      <c r="J108">
        <v>61333</v>
      </c>
      <c r="K108">
        <v>36</v>
      </c>
      <c r="L108" t="s">
        <v>30</v>
      </c>
      <c r="M108" t="s">
        <v>25</v>
      </c>
      <c r="N108" s="4">
        <v>45566</v>
      </c>
      <c r="O108" s="4">
        <v>45596</v>
      </c>
      <c r="P108" t="s">
        <v>637</v>
      </c>
      <c r="Q108">
        <f>Table1_2[[#This Row],[Likes]]+Table1_2[[#This Row],[Shares]]+Table1_2[[#This Row],[Comments]]</f>
        <v>5401</v>
      </c>
      <c r="R108" s="12">
        <f>(Table1_2[[#This Row],[Likes]]+Table1_2[[#This Row],[Shares]]+Table1_2[[#This Row],[Comments]])/Table1_2[[#This Row],[Impressions]]</f>
        <v>8.7668609086629767E-2</v>
      </c>
      <c r="S108" s="4">
        <f>_xlfn.XLOOKUP(Table1_2[[#This Row],[Campaign_Name]],'Campaign Metadata'!A:A,'Campaign Metadata'!B:B,"not found",0)</f>
        <v>45566</v>
      </c>
      <c r="T108" s="4">
        <f>_xlfn.XLOOKUP(Table1_2[[#This Row],[Campaign_Name]],'Campaign Metadata'!A:A,'Campaign Metadata'!C:C,"not found",0)</f>
        <v>45596</v>
      </c>
      <c r="U108" t="str">
        <f>IF(AND(Table1_2[[#This Row],[Date]]&gt;=Table1_2[[#This Row],[Campaign Start Date2]],Table1_2[[#This Row],[Date]]&lt;=Table1_2[[#This Row],[Campaign End Date3]]),"During Campaign","Before Campaign")</f>
        <v>Before Campaign</v>
      </c>
      <c r="V108" s="30">
        <f>_xlfn.XLOOKUP(Table1_2[[#This Row],[Campaign_Name]],'Campaign Metadata'!A:A,'Campaign Metadata'!E:E,"Not Available",0)</f>
        <v>200000</v>
      </c>
      <c r="W108">
        <f>Table1_2[[#This Row],[Engagement]]/Table1_2[[#This Row],[Campaign Budget]]</f>
        <v>2.7005000000000001E-2</v>
      </c>
      <c r="X108">
        <f>_xlfn.XLOOKUP(Table1_2[[#This Row],[Platform]],'Engagement Summary'!B:B,'Engagement Summary'!H:H,"Not Available",0)</f>
        <v>1047</v>
      </c>
      <c r="Y108">
        <f>WEEKNUM(Table1_2[[#This Row],[Date]])</f>
        <v>33</v>
      </c>
      <c r="Z108">
        <f>_xlfn.XLOOKUP(Table1_2[[#This Row],[Platform]],'Engagement Summary'!B:B,'Engagement Summary'!G:G,"Notavailable",0)</f>
        <v>5904</v>
      </c>
    </row>
    <row r="109" spans="1:26" x14ac:dyDescent="0.3">
      <c r="A109" t="s">
        <v>243</v>
      </c>
      <c r="B109" t="s">
        <v>33</v>
      </c>
      <c r="C109" s="4">
        <v>45517</v>
      </c>
      <c r="D109" t="s">
        <v>52</v>
      </c>
      <c r="E109" t="s">
        <v>215</v>
      </c>
      <c r="F109">
        <v>4739</v>
      </c>
      <c r="G109">
        <v>527</v>
      </c>
      <c r="H109">
        <v>135</v>
      </c>
      <c r="I109">
        <v>61607</v>
      </c>
      <c r="J109">
        <v>61333</v>
      </c>
      <c r="K109">
        <v>36</v>
      </c>
      <c r="L109" t="s">
        <v>615</v>
      </c>
      <c r="M109" t="s">
        <v>25</v>
      </c>
      <c r="N109" s="4">
        <v>45566</v>
      </c>
      <c r="O109" s="4">
        <v>45596</v>
      </c>
      <c r="P109" t="s">
        <v>637</v>
      </c>
      <c r="Q109">
        <f>Table1_2[[#This Row],[Likes]]+Table1_2[[#This Row],[Shares]]+Table1_2[[#This Row],[Comments]]</f>
        <v>5401</v>
      </c>
      <c r="R109" s="12">
        <f>(Table1_2[[#This Row],[Likes]]+Table1_2[[#This Row],[Shares]]+Table1_2[[#This Row],[Comments]])/Table1_2[[#This Row],[Impressions]]</f>
        <v>8.7668609086629767E-2</v>
      </c>
      <c r="S109" s="4">
        <f>_xlfn.XLOOKUP(Table1_2[[#This Row],[Campaign_Name]],'Campaign Metadata'!A:A,'Campaign Metadata'!B:B,"not found",0)</f>
        <v>45566</v>
      </c>
      <c r="T109" s="4">
        <f>_xlfn.XLOOKUP(Table1_2[[#This Row],[Campaign_Name]],'Campaign Metadata'!A:A,'Campaign Metadata'!C:C,"not found",0)</f>
        <v>45596</v>
      </c>
      <c r="U109" t="str">
        <f>IF(AND(Table1_2[[#This Row],[Date]]&gt;=Table1_2[[#This Row],[Campaign Start Date2]],Table1_2[[#This Row],[Date]]&lt;=Table1_2[[#This Row],[Campaign End Date3]]),"During Campaign","Before Campaign")</f>
        <v>Before Campaign</v>
      </c>
      <c r="V109" s="30">
        <f>_xlfn.XLOOKUP(Table1_2[[#This Row],[Campaign_Name]],'Campaign Metadata'!A:A,'Campaign Metadata'!E:E,"Not Available",0)</f>
        <v>200000</v>
      </c>
      <c r="W109">
        <f>Table1_2[[#This Row],[Engagement]]/Table1_2[[#This Row],[Campaign Budget]]</f>
        <v>2.7005000000000001E-2</v>
      </c>
      <c r="X109">
        <f>_xlfn.XLOOKUP(Table1_2[[#This Row],[Platform]],'Engagement Summary'!B:B,'Engagement Summary'!H:H,"Not Available",0)</f>
        <v>1047</v>
      </c>
      <c r="Y109">
        <f>WEEKNUM(Table1_2[[#This Row],[Date]])</f>
        <v>33</v>
      </c>
      <c r="Z109">
        <f>_xlfn.XLOOKUP(Table1_2[[#This Row],[Platform]],'Engagement Summary'!B:B,'Engagement Summary'!G:G,"Notavailable",0)</f>
        <v>5904</v>
      </c>
    </row>
    <row r="110" spans="1:26" x14ac:dyDescent="0.3">
      <c r="A110" t="s">
        <v>245</v>
      </c>
      <c r="B110" t="s">
        <v>14</v>
      </c>
      <c r="C110" s="4">
        <v>45453</v>
      </c>
      <c r="D110" t="s">
        <v>35</v>
      </c>
      <c r="E110" t="s">
        <v>149</v>
      </c>
      <c r="F110">
        <v>1575</v>
      </c>
      <c r="G110">
        <v>771</v>
      </c>
      <c r="H110">
        <v>486</v>
      </c>
      <c r="I110">
        <v>25200</v>
      </c>
      <c r="J110">
        <v>24826</v>
      </c>
      <c r="K110">
        <v>17</v>
      </c>
      <c r="L110" t="s">
        <v>62</v>
      </c>
      <c r="M110" t="s">
        <v>38</v>
      </c>
      <c r="N110" s="4">
        <v>45717</v>
      </c>
      <c r="O110" s="4">
        <v>45747</v>
      </c>
      <c r="P110" t="s">
        <v>637</v>
      </c>
      <c r="Q110">
        <f>Table1_2[[#This Row],[Likes]]+Table1_2[[#This Row],[Shares]]+Table1_2[[#This Row],[Comments]]</f>
        <v>2832</v>
      </c>
      <c r="R110" s="16">
        <f>(Table1_2[[#This Row],[Likes]]+Table1_2[[#This Row],[Shares]]+Table1_2[[#This Row],[Comments]])/Table1_2[[#This Row],[Impressions]]</f>
        <v>0.11238095238095239</v>
      </c>
      <c r="S110" s="4">
        <f>_xlfn.XLOOKUP(Table1_2[[#This Row],[Campaign_Name]],'Campaign Metadata'!A:A,'Campaign Metadata'!B:B,"not found",0)</f>
        <v>45717</v>
      </c>
      <c r="T110" s="4">
        <f>_xlfn.XLOOKUP(Table1_2[[#This Row],[Campaign_Name]],'Campaign Metadata'!A:A,'Campaign Metadata'!C:C,"not found",0)</f>
        <v>45747</v>
      </c>
      <c r="U110" t="str">
        <f>IF(AND(Table1_2[[#This Row],[Date]]&gt;=Table1_2[[#This Row],[Campaign Start Date2]],Table1_2[[#This Row],[Date]]&lt;=Table1_2[[#This Row],[Campaign End Date3]]),"During Campaign","Before Campaign")</f>
        <v>Before Campaign</v>
      </c>
      <c r="V110" s="30">
        <f>_xlfn.XLOOKUP(Table1_2[[#This Row],[Campaign_Name]],'Campaign Metadata'!A:A,'Campaign Metadata'!E:E,"Not Available",0)</f>
        <v>180000</v>
      </c>
      <c r="W110">
        <f>Table1_2[[#This Row],[Engagement]]/Table1_2[[#This Row],[Campaign Budget]]</f>
        <v>1.5733333333333332E-2</v>
      </c>
      <c r="X110">
        <f>_xlfn.XLOOKUP(Table1_2[[#This Row],[Platform]],'Engagement Summary'!B:B,'Engagement Summary'!H:H,"Not Available",0)</f>
        <v>415</v>
      </c>
      <c r="Y110">
        <f>WEEKNUM(Table1_2[[#This Row],[Date]])</f>
        <v>24</v>
      </c>
      <c r="Z110">
        <f>_xlfn.XLOOKUP(Table1_2[[#This Row],[Platform]],'Engagement Summary'!B:B,'Engagement Summary'!G:G,"Notavailable",0)</f>
        <v>26752</v>
      </c>
    </row>
    <row r="111" spans="1:26" x14ac:dyDescent="0.3">
      <c r="A111" t="s">
        <v>246</v>
      </c>
      <c r="B111" t="s">
        <v>27</v>
      </c>
      <c r="C111" s="4">
        <v>45475</v>
      </c>
      <c r="D111" t="s">
        <v>45</v>
      </c>
      <c r="E111" t="s">
        <v>68</v>
      </c>
      <c r="F111">
        <v>4171</v>
      </c>
      <c r="G111">
        <v>548</v>
      </c>
      <c r="H111">
        <v>86</v>
      </c>
      <c r="I111">
        <v>66736</v>
      </c>
      <c r="J111">
        <v>66634</v>
      </c>
      <c r="K111">
        <v>173</v>
      </c>
      <c r="L111" t="s">
        <v>62</v>
      </c>
      <c r="M111" t="s">
        <v>31</v>
      </c>
      <c r="N111" s="4">
        <v>45651</v>
      </c>
      <c r="O111" s="4">
        <v>45667</v>
      </c>
      <c r="P111" t="s">
        <v>637</v>
      </c>
      <c r="Q111">
        <f>Table1_2[[#This Row],[Likes]]+Table1_2[[#This Row],[Shares]]+Table1_2[[#This Row],[Comments]]</f>
        <v>4805</v>
      </c>
      <c r="R111" s="12">
        <f>(Table1_2[[#This Row],[Likes]]+Table1_2[[#This Row],[Shares]]+Table1_2[[#This Row],[Comments]])/Table1_2[[#This Row],[Impressions]]</f>
        <v>7.2000119875329657E-2</v>
      </c>
      <c r="S111" s="4">
        <f>_xlfn.XLOOKUP(Table1_2[[#This Row],[Campaign_Name]],'Campaign Metadata'!A:A,'Campaign Metadata'!B:B,"not found",0)</f>
        <v>45651</v>
      </c>
      <c r="T111" s="4">
        <f>_xlfn.XLOOKUP(Table1_2[[#This Row],[Campaign_Name]],'Campaign Metadata'!A:A,'Campaign Metadata'!C:C,"not found",0)</f>
        <v>45667</v>
      </c>
      <c r="U111" t="str">
        <f>IF(AND(Table1_2[[#This Row],[Date]]&gt;=Table1_2[[#This Row],[Campaign Start Date2]],Table1_2[[#This Row],[Date]]&lt;=Table1_2[[#This Row],[Campaign End Date3]]),"During Campaign","Before Campaign")</f>
        <v>Before Campaign</v>
      </c>
      <c r="V111" s="30">
        <f>_xlfn.XLOOKUP(Table1_2[[#This Row],[Campaign_Name]],'Campaign Metadata'!A:A,'Campaign Metadata'!E:E,"Not Available",0)</f>
        <v>250000</v>
      </c>
      <c r="W111">
        <f>Table1_2[[#This Row],[Engagement]]/Table1_2[[#This Row],[Campaign Budget]]</f>
        <v>1.9220000000000001E-2</v>
      </c>
      <c r="X111">
        <f>_xlfn.XLOOKUP(Table1_2[[#This Row],[Platform]],'Engagement Summary'!B:B,'Engagement Summary'!H:H,"Not Available",0)</f>
        <v>1090</v>
      </c>
      <c r="Y111">
        <f>WEEKNUM(Table1_2[[#This Row],[Date]])</f>
        <v>27</v>
      </c>
      <c r="Z111">
        <f>_xlfn.XLOOKUP(Table1_2[[#This Row],[Platform]],'Engagement Summary'!B:B,'Engagement Summary'!G:G,"Notavailable",0)</f>
        <v>30671</v>
      </c>
    </row>
    <row r="112" spans="1:26" x14ac:dyDescent="0.3">
      <c r="A112" t="s">
        <v>248</v>
      </c>
      <c r="B112" t="s">
        <v>27</v>
      </c>
      <c r="C112" s="4">
        <v>45698</v>
      </c>
      <c r="D112" t="s">
        <v>74</v>
      </c>
      <c r="E112" t="s">
        <v>219</v>
      </c>
      <c r="F112">
        <v>1766</v>
      </c>
      <c r="G112">
        <v>92</v>
      </c>
      <c r="H112">
        <v>424</v>
      </c>
      <c r="I112">
        <v>24724</v>
      </c>
      <c r="J112">
        <v>24333</v>
      </c>
      <c r="K112">
        <v>52</v>
      </c>
      <c r="L112" t="s">
        <v>37</v>
      </c>
      <c r="M112" t="s">
        <v>617</v>
      </c>
      <c r="N112" s="4">
        <v>0</v>
      </c>
      <c r="O112" s="4">
        <v>0</v>
      </c>
      <c r="P112" t="s">
        <v>637</v>
      </c>
      <c r="Q112">
        <f>Table1_2[[#This Row],[Likes]]+Table1_2[[#This Row],[Shares]]+Table1_2[[#This Row],[Comments]]</f>
        <v>2282</v>
      </c>
      <c r="R112" s="12">
        <f>(Table1_2[[#This Row],[Likes]]+Table1_2[[#This Row],[Shares]]+Table1_2[[#This Row],[Comments]])/Table1_2[[#This Row],[Impressions]]</f>
        <v>9.2298980747451867E-2</v>
      </c>
      <c r="S112" s="4" t="str">
        <f>_xlfn.XLOOKUP(Table1_2[[#This Row],[Campaign_Name]],'Campaign Metadata'!A:A,'Campaign Metadata'!B:B,"not found",0)</f>
        <v>not found</v>
      </c>
      <c r="T112" s="4" t="str">
        <f>_xlfn.XLOOKUP(Table1_2[[#This Row],[Campaign_Name]],'Campaign Metadata'!A:A,'Campaign Metadata'!C:C,"not found",0)</f>
        <v>not found</v>
      </c>
      <c r="U112" t="str">
        <f>IF(AND(Table1_2[[#This Row],[Date]]&gt;=Table1_2[[#This Row],[Campaign Start Date2]],Table1_2[[#This Row],[Date]]&lt;=Table1_2[[#This Row],[Campaign End Date3]]),"During Campaign","Before Campaign")</f>
        <v>Before Campaign</v>
      </c>
      <c r="V112" s="30" t="str">
        <f>_xlfn.XLOOKUP(Table1_2[[#This Row],[Campaign_Name]],'Campaign Metadata'!A:A,'Campaign Metadata'!E:E,"Not Available",0)</f>
        <v>Not Available</v>
      </c>
      <c r="W112" t="e">
        <f>Table1_2[[#This Row],[Engagement]]/Table1_2[[#This Row],[Campaign Budget]]</f>
        <v>#VALUE!</v>
      </c>
      <c r="X112">
        <f>_xlfn.XLOOKUP(Table1_2[[#This Row],[Platform]],'Engagement Summary'!B:B,'Engagement Summary'!H:H,"Not Available",0)</f>
        <v>1090</v>
      </c>
      <c r="Y112">
        <f>WEEKNUM(Table1_2[[#This Row],[Date]])</f>
        <v>7</v>
      </c>
      <c r="Z112">
        <f>_xlfn.XLOOKUP(Table1_2[[#This Row],[Platform]],'Engagement Summary'!B:B,'Engagement Summary'!G:G,"Notavailable",0)</f>
        <v>30671</v>
      </c>
    </row>
    <row r="113" spans="1:26" x14ac:dyDescent="0.3">
      <c r="A113" t="s">
        <v>250</v>
      </c>
      <c r="B113" t="s">
        <v>27</v>
      </c>
      <c r="C113" s="4">
        <v>45583</v>
      </c>
      <c r="D113" t="s">
        <v>74</v>
      </c>
      <c r="E113" t="s">
        <v>219</v>
      </c>
      <c r="F113">
        <v>4450</v>
      </c>
      <c r="G113">
        <v>983</v>
      </c>
      <c r="H113">
        <v>143</v>
      </c>
      <c r="I113">
        <v>75650</v>
      </c>
      <c r="J113">
        <v>75008</v>
      </c>
      <c r="K113">
        <v>12</v>
      </c>
      <c r="L113" t="s">
        <v>62</v>
      </c>
      <c r="M113" t="s">
        <v>31</v>
      </c>
      <c r="N113" s="4">
        <v>45651</v>
      </c>
      <c r="O113" s="4">
        <v>45667</v>
      </c>
      <c r="P113" t="s">
        <v>637</v>
      </c>
      <c r="Q113">
        <f>Table1_2[[#This Row],[Likes]]+Table1_2[[#This Row],[Shares]]+Table1_2[[#This Row],[Comments]]</f>
        <v>5576</v>
      </c>
      <c r="R113" s="12">
        <f>(Table1_2[[#This Row],[Likes]]+Table1_2[[#This Row],[Shares]]+Table1_2[[#This Row],[Comments]])/Table1_2[[#This Row],[Impressions]]</f>
        <v>7.3707865168539333E-2</v>
      </c>
      <c r="S113" s="4">
        <f>_xlfn.XLOOKUP(Table1_2[[#This Row],[Campaign_Name]],'Campaign Metadata'!A:A,'Campaign Metadata'!B:B,"not found",0)</f>
        <v>45651</v>
      </c>
      <c r="T113" s="4">
        <f>_xlfn.XLOOKUP(Table1_2[[#This Row],[Campaign_Name]],'Campaign Metadata'!A:A,'Campaign Metadata'!C:C,"not found",0)</f>
        <v>45667</v>
      </c>
      <c r="U113" t="str">
        <f>IF(AND(Table1_2[[#This Row],[Date]]&gt;=Table1_2[[#This Row],[Campaign Start Date2]],Table1_2[[#This Row],[Date]]&lt;=Table1_2[[#This Row],[Campaign End Date3]]),"During Campaign","Before Campaign")</f>
        <v>Before Campaign</v>
      </c>
      <c r="V113" s="30">
        <f>_xlfn.XLOOKUP(Table1_2[[#This Row],[Campaign_Name]],'Campaign Metadata'!A:A,'Campaign Metadata'!E:E,"Not Available",0)</f>
        <v>250000</v>
      </c>
      <c r="W113">
        <f>Table1_2[[#This Row],[Engagement]]/Table1_2[[#This Row],[Campaign Budget]]</f>
        <v>2.2304000000000001E-2</v>
      </c>
      <c r="X113">
        <f>_xlfn.XLOOKUP(Table1_2[[#This Row],[Platform]],'Engagement Summary'!B:B,'Engagement Summary'!H:H,"Not Available",0)</f>
        <v>1090</v>
      </c>
      <c r="Y113">
        <f>WEEKNUM(Table1_2[[#This Row],[Date]])</f>
        <v>42</v>
      </c>
      <c r="Z113">
        <f>_xlfn.XLOOKUP(Table1_2[[#This Row],[Platform]],'Engagement Summary'!B:B,'Engagement Summary'!G:G,"Notavailable",0)</f>
        <v>30671</v>
      </c>
    </row>
    <row r="114" spans="1:26" x14ac:dyDescent="0.3">
      <c r="A114" t="s">
        <v>251</v>
      </c>
      <c r="B114" t="s">
        <v>14</v>
      </c>
      <c r="C114" s="4">
        <v>45553</v>
      </c>
      <c r="D114" t="s">
        <v>16</v>
      </c>
      <c r="E114" t="s">
        <v>17</v>
      </c>
      <c r="F114">
        <v>1000</v>
      </c>
      <c r="G114">
        <v>978</v>
      </c>
      <c r="H114">
        <v>162</v>
      </c>
      <c r="I114">
        <v>6000</v>
      </c>
      <c r="J114">
        <v>5221</v>
      </c>
      <c r="K114">
        <v>223</v>
      </c>
      <c r="L114" t="s">
        <v>37</v>
      </c>
      <c r="M114" t="s">
        <v>25</v>
      </c>
      <c r="N114" s="4">
        <v>45566</v>
      </c>
      <c r="O114" s="4">
        <v>45596</v>
      </c>
      <c r="P114" t="s">
        <v>637</v>
      </c>
      <c r="Q114">
        <f>Table1_2[[#This Row],[Likes]]+Table1_2[[#This Row],[Shares]]+Table1_2[[#This Row],[Comments]]</f>
        <v>2140</v>
      </c>
      <c r="R114" s="12">
        <f>(Table1_2[[#This Row],[Likes]]+Table1_2[[#This Row],[Shares]]+Table1_2[[#This Row],[Comments]])/Table1_2[[#This Row],[Impressions]]</f>
        <v>0.35666666666666669</v>
      </c>
      <c r="S114" s="4">
        <f>_xlfn.XLOOKUP(Table1_2[[#This Row],[Campaign_Name]],'Campaign Metadata'!A:A,'Campaign Metadata'!B:B,"not found",0)</f>
        <v>45566</v>
      </c>
      <c r="T114" s="4">
        <f>_xlfn.XLOOKUP(Table1_2[[#This Row],[Campaign_Name]],'Campaign Metadata'!A:A,'Campaign Metadata'!C:C,"not found",0)</f>
        <v>45596</v>
      </c>
      <c r="U114" t="str">
        <f>IF(AND(Table1_2[[#This Row],[Date]]&gt;=Table1_2[[#This Row],[Campaign Start Date2]],Table1_2[[#This Row],[Date]]&lt;=Table1_2[[#This Row],[Campaign End Date3]]),"During Campaign","Before Campaign")</f>
        <v>Before Campaign</v>
      </c>
      <c r="V114" s="30">
        <f>_xlfn.XLOOKUP(Table1_2[[#This Row],[Campaign_Name]],'Campaign Metadata'!A:A,'Campaign Metadata'!E:E,"Not Available",0)</f>
        <v>200000</v>
      </c>
      <c r="W114">
        <f>Table1_2[[#This Row],[Engagement]]/Table1_2[[#This Row],[Campaign Budget]]</f>
        <v>1.0699999999999999E-2</v>
      </c>
      <c r="X114">
        <f>_xlfn.XLOOKUP(Table1_2[[#This Row],[Platform]],'Engagement Summary'!B:B,'Engagement Summary'!H:H,"Not Available",0)</f>
        <v>415</v>
      </c>
      <c r="Y114">
        <f>WEEKNUM(Table1_2[[#This Row],[Date]])</f>
        <v>38</v>
      </c>
      <c r="Z114">
        <f>_xlfn.XLOOKUP(Table1_2[[#This Row],[Platform]],'Engagement Summary'!B:B,'Engagement Summary'!G:G,"Notavailable",0)</f>
        <v>26752</v>
      </c>
    </row>
    <row r="115" spans="1:26" x14ac:dyDescent="0.3">
      <c r="A115" t="s">
        <v>253</v>
      </c>
      <c r="B115" t="s">
        <v>43</v>
      </c>
      <c r="C115" s="4">
        <v>45454</v>
      </c>
      <c r="D115" t="s">
        <v>52</v>
      </c>
      <c r="E115" t="s">
        <v>59</v>
      </c>
      <c r="F115">
        <v>3689</v>
      </c>
      <c r="G115">
        <v>48</v>
      </c>
      <c r="H115">
        <v>306</v>
      </c>
      <c r="I115">
        <v>40579</v>
      </c>
      <c r="J115">
        <v>39588</v>
      </c>
      <c r="K115">
        <v>212</v>
      </c>
      <c r="L115" t="s">
        <v>37</v>
      </c>
      <c r="M115" t="s">
        <v>25</v>
      </c>
      <c r="N115" s="4">
        <v>45566</v>
      </c>
      <c r="O115" s="4">
        <v>45596</v>
      </c>
      <c r="P115" t="s">
        <v>637</v>
      </c>
      <c r="Q115">
        <f>Table1_2[[#This Row],[Likes]]+Table1_2[[#This Row],[Shares]]+Table1_2[[#This Row],[Comments]]</f>
        <v>4043</v>
      </c>
      <c r="R115" s="12">
        <f>(Table1_2[[#This Row],[Likes]]+Table1_2[[#This Row],[Shares]]+Table1_2[[#This Row],[Comments]])/Table1_2[[#This Row],[Impressions]]</f>
        <v>9.9632815002833983E-2</v>
      </c>
      <c r="S115" s="4">
        <f>_xlfn.XLOOKUP(Table1_2[[#This Row],[Campaign_Name]],'Campaign Metadata'!A:A,'Campaign Metadata'!B:B,"not found",0)</f>
        <v>45566</v>
      </c>
      <c r="T115" s="4">
        <f>_xlfn.XLOOKUP(Table1_2[[#This Row],[Campaign_Name]],'Campaign Metadata'!A:A,'Campaign Metadata'!C:C,"not found",0)</f>
        <v>45596</v>
      </c>
      <c r="U115" t="str">
        <f>IF(AND(Table1_2[[#This Row],[Date]]&gt;=Table1_2[[#This Row],[Campaign Start Date2]],Table1_2[[#This Row],[Date]]&lt;=Table1_2[[#This Row],[Campaign End Date3]]),"During Campaign","Before Campaign")</f>
        <v>Before Campaign</v>
      </c>
      <c r="V115" s="30">
        <f>_xlfn.XLOOKUP(Table1_2[[#This Row],[Campaign_Name]],'Campaign Metadata'!A:A,'Campaign Metadata'!E:E,"Not Available",0)</f>
        <v>200000</v>
      </c>
      <c r="W115">
        <f>Table1_2[[#This Row],[Engagement]]/Table1_2[[#This Row],[Campaign Budget]]</f>
        <v>2.0215E-2</v>
      </c>
      <c r="X115">
        <f>_xlfn.XLOOKUP(Table1_2[[#This Row],[Platform]],'Engagement Summary'!B:B,'Engagement Summary'!H:H,"Not Available",0)</f>
        <v>1002</v>
      </c>
      <c r="Y115">
        <f>WEEKNUM(Table1_2[[#This Row],[Date]])</f>
        <v>24</v>
      </c>
      <c r="Z115">
        <f>_xlfn.XLOOKUP(Table1_2[[#This Row],[Platform]],'Engagement Summary'!B:B,'Engagement Summary'!G:G,"Notavailable",0)</f>
        <v>9566</v>
      </c>
    </row>
    <row r="116" spans="1:26" x14ac:dyDescent="0.3">
      <c r="A116" t="s">
        <v>255</v>
      </c>
      <c r="B116" t="s">
        <v>27</v>
      </c>
      <c r="C116" s="4">
        <v>45739</v>
      </c>
      <c r="D116" t="s">
        <v>35</v>
      </c>
      <c r="E116" t="s">
        <v>154</v>
      </c>
      <c r="F116">
        <v>3655</v>
      </c>
      <c r="G116">
        <v>568</v>
      </c>
      <c r="H116">
        <v>286</v>
      </c>
      <c r="I116">
        <v>32895</v>
      </c>
      <c r="J116">
        <v>32015</v>
      </c>
      <c r="K116">
        <v>199</v>
      </c>
      <c r="L116" t="s">
        <v>30</v>
      </c>
      <c r="M116" t="s">
        <v>31</v>
      </c>
      <c r="N116" s="4">
        <v>45651</v>
      </c>
      <c r="O116" s="4">
        <v>45667</v>
      </c>
      <c r="P116" t="s">
        <v>637</v>
      </c>
      <c r="Q116">
        <f>Table1_2[[#This Row],[Likes]]+Table1_2[[#This Row],[Shares]]+Table1_2[[#This Row],[Comments]]</f>
        <v>4509</v>
      </c>
      <c r="R116" s="12">
        <f>(Table1_2[[#This Row],[Likes]]+Table1_2[[#This Row],[Shares]]+Table1_2[[#This Row],[Comments]])/Table1_2[[#This Row],[Impressions]]</f>
        <v>0.13707250341997265</v>
      </c>
      <c r="S116" s="4">
        <f>_xlfn.XLOOKUP(Table1_2[[#This Row],[Campaign_Name]],'Campaign Metadata'!A:A,'Campaign Metadata'!B:B,"not found",0)</f>
        <v>45651</v>
      </c>
      <c r="T116" s="4">
        <f>_xlfn.XLOOKUP(Table1_2[[#This Row],[Campaign_Name]],'Campaign Metadata'!A:A,'Campaign Metadata'!C:C,"not found",0)</f>
        <v>45667</v>
      </c>
      <c r="U116" t="str">
        <f>IF(AND(Table1_2[[#This Row],[Date]]&gt;=Table1_2[[#This Row],[Campaign Start Date2]],Table1_2[[#This Row],[Date]]&lt;=Table1_2[[#This Row],[Campaign End Date3]]),"During Campaign","Before Campaign")</f>
        <v>Before Campaign</v>
      </c>
      <c r="V116" s="30">
        <f>_xlfn.XLOOKUP(Table1_2[[#This Row],[Campaign_Name]],'Campaign Metadata'!A:A,'Campaign Metadata'!E:E,"Not Available",0)</f>
        <v>250000</v>
      </c>
      <c r="W116">
        <f>Table1_2[[#This Row],[Engagement]]/Table1_2[[#This Row],[Campaign Budget]]</f>
        <v>1.8036E-2</v>
      </c>
      <c r="X116">
        <f>_xlfn.XLOOKUP(Table1_2[[#This Row],[Platform]],'Engagement Summary'!B:B,'Engagement Summary'!H:H,"Not Available",0)</f>
        <v>1090</v>
      </c>
      <c r="Y116">
        <f>WEEKNUM(Table1_2[[#This Row],[Date]])</f>
        <v>13</v>
      </c>
      <c r="Z116">
        <f>_xlfn.XLOOKUP(Table1_2[[#This Row],[Platform]],'Engagement Summary'!B:B,'Engagement Summary'!G:G,"Notavailable",0)</f>
        <v>30671</v>
      </c>
    </row>
    <row r="117" spans="1:26" x14ac:dyDescent="0.3">
      <c r="A117" t="s">
        <v>257</v>
      </c>
      <c r="B117" t="s">
        <v>33</v>
      </c>
      <c r="C117" s="4">
        <v>45457</v>
      </c>
      <c r="D117" t="s">
        <v>45</v>
      </c>
      <c r="E117" t="s">
        <v>88</v>
      </c>
      <c r="F117">
        <v>498</v>
      </c>
      <c r="G117">
        <v>38</v>
      </c>
      <c r="H117">
        <v>42</v>
      </c>
      <c r="I117">
        <v>4482</v>
      </c>
      <c r="J117">
        <v>3647</v>
      </c>
      <c r="K117">
        <v>32</v>
      </c>
      <c r="L117" t="s">
        <v>62</v>
      </c>
      <c r="M117" t="s">
        <v>19</v>
      </c>
      <c r="N117" s="4">
        <v>45458</v>
      </c>
      <c r="O117" s="4">
        <v>45488</v>
      </c>
      <c r="P117" t="s">
        <v>637</v>
      </c>
      <c r="Q117">
        <f>Table1_2[[#This Row],[Likes]]+Table1_2[[#This Row],[Shares]]+Table1_2[[#This Row],[Comments]]</f>
        <v>578</v>
      </c>
      <c r="R117" s="16">
        <f>(Table1_2[[#This Row],[Likes]]+Table1_2[[#This Row],[Shares]]+Table1_2[[#This Row],[Comments]])/Table1_2[[#This Row],[Impressions]]</f>
        <v>0.12896028558679162</v>
      </c>
      <c r="S117" s="4">
        <f>_xlfn.XLOOKUP(Table1_2[[#This Row],[Campaign_Name]],'Campaign Metadata'!A:A,'Campaign Metadata'!B:B,"not found",0)</f>
        <v>45458</v>
      </c>
      <c r="T117" s="4">
        <f>_xlfn.XLOOKUP(Table1_2[[#This Row],[Campaign_Name]],'Campaign Metadata'!A:A,'Campaign Metadata'!C:C,"not found",0)</f>
        <v>45488</v>
      </c>
      <c r="U117" t="str">
        <f>IF(AND(Table1_2[[#This Row],[Date]]&gt;=Table1_2[[#This Row],[Campaign Start Date2]],Table1_2[[#This Row],[Date]]&lt;=Table1_2[[#This Row],[Campaign End Date3]]),"During Campaign","Before Campaign")</f>
        <v>Before Campaign</v>
      </c>
      <c r="V117" s="30">
        <f>_xlfn.XLOOKUP(Table1_2[[#This Row],[Campaign_Name]],'Campaign Metadata'!A:A,'Campaign Metadata'!E:E,"Not Available",0)</f>
        <v>150000</v>
      </c>
      <c r="W117">
        <f>Table1_2[[#This Row],[Engagement]]/Table1_2[[#This Row],[Campaign Budget]]</f>
        <v>3.8533333333333332E-3</v>
      </c>
      <c r="X117">
        <f>_xlfn.XLOOKUP(Table1_2[[#This Row],[Platform]],'Engagement Summary'!B:B,'Engagement Summary'!H:H,"Not Available",0)</f>
        <v>1047</v>
      </c>
      <c r="Y117">
        <f>WEEKNUM(Table1_2[[#This Row],[Date]])</f>
        <v>24</v>
      </c>
      <c r="Z117">
        <f>_xlfn.XLOOKUP(Table1_2[[#This Row],[Platform]],'Engagement Summary'!B:B,'Engagement Summary'!G:G,"Notavailable",0)</f>
        <v>5904</v>
      </c>
    </row>
    <row r="118" spans="1:26" x14ac:dyDescent="0.3">
      <c r="A118" t="s">
        <v>259</v>
      </c>
      <c r="B118" t="s">
        <v>33</v>
      </c>
      <c r="C118" s="4">
        <v>45692</v>
      </c>
      <c r="D118" t="s">
        <v>52</v>
      </c>
      <c r="E118" t="s">
        <v>215</v>
      </c>
      <c r="F118">
        <v>4619</v>
      </c>
      <c r="G118">
        <v>821</v>
      </c>
      <c r="H118">
        <v>499</v>
      </c>
      <c r="I118">
        <v>69285</v>
      </c>
      <c r="J118">
        <v>69141</v>
      </c>
      <c r="K118">
        <v>298</v>
      </c>
      <c r="L118" t="s">
        <v>30</v>
      </c>
      <c r="M118" t="s">
        <v>38</v>
      </c>
      <c r="N118" s="4">
        <v>45717</v>
      </c>
      <c r="O118" s="4">
        <v>45747</v>
      </c>
      <c r="P118" t="s">
        <v>637</v>
      </c>
      <c r="Q118">
        <f>Table1_2[[#This Row],[Likes]]+Table1_2[[#This Row],[Shares]]+Table1_2[[#This Row],[Comments]]</f>
        <v>5939</v>
      </c>
      <c r="R118" s="12">
        <f>(Table1_2[[#This Row],[Likes]]+Table1_2[[#This Row],[Shares]]+Table1_2[[#This Row],[Comments]])/Table1_2[[#This Row],[Impressions]]</f>
        <v>8.5718409468138843E-2</v>
      </c>
      <c r="S118" s="4">
        <f>_xlfn.XLOOKUP(Table1_2[[#This Row],[Campaign_Name]],'Campaign Metadata'!A:A,'Campaign Metadata'!B:B,"not found",0)</f>
        <v>45717</v>
      </c>
      <c r="T118" s="4">
        <f>_xlfn.XLOOKUP(Table1_2[[#This Row],[Campaign_Name]],'Campaign Metadata'!A:A,'Campaign Metadata'!C:C,"not found",0)</f>
        <v>45747</v>
      </c>
      <c r="U118" t="str">
        <f>IF(AND(Table1_2[[#This Row],[Date]]&gt;=Table1_2[[#This Row],[Campaign Start Date2]],Table1_2[[#This Row],[Date]]&lt;=Table1_2[[#This Row],[Campaign End Date3]]),"During Campaign","Before Campaign")</f>
        <v>Before Campaign</v>
      </c>
      <c r="V118" s="30">
        <f>_xlfn.XLOOKUP(Table1_2[[#This Row],[Campaign_Name]],'Campaign Metadata'!A:A,'Campaign Metadata'!E:E,"Not Available",0)</f>
        <v>180000</v>
      </c>
      <c r="W118">
        <f>Table1_2[[#This Row],[Engagement]]/Table1_2[[#This Row],[Campaign Budget]]</f>
        <v>3.2994444444444444E-2</v>
      </c>
      <c r="X118">
        <f>_xlfn.XLOOKUP(Table1_2[[#This Row],[Platform]],'Engagement Summary'!B:B,'Engagement Summary'!H:H,"Not Available",0)</f>
        <v>1047</v>
      </c>
      <c r="Y118">
        <f>WEEKNUM(Table1_2[[#This Row],[Date]])</f>
        <v>6</v>
      </c>
      <c r="Z118">
        <f>_xlfn.XLOOKUP(Table1_2[[#This Row],[Platform]],'Engagement Summary'!B:B,'Engagement Summary'!G:G,"Notavailable",0)</f>
        <v>5904</v>
      </c>
    </row>
    <row r="119" spans="1:26" x14ac:dyDescent="0.3">
      <c r="A119" t="s">
        <v>261</v>
      </c>
      <c r="B119" t="s">
        <v>27</v>
      </c>
      <c r="C119" s="4">
        <v>45464</v>
      </c>
      <c r="D119" t="s">
        <v>52</v>
      </c>
      <c r="E119" t="s">
        <v>53</v>
      </c>
      <c r="F119">
        <v>4832</v>
      </c>
      <c r="G119">
        <v>893</v>
      </c>
      <c r="H119">
        <v>10</v>
      </c>
      <c r="I119">
        <v>91808</v>
      </c>
      <c r="J119">
        <v>91296</v>
      </c>
      <c r="K119">
        <v>182</v>
      </c>
      <c r="L119" t="s">
        <v>30</v>
      </c>
      <c r="M119" t="s">
        <v>617</v>
      </c>
      <c r="N119" s="4">
        <v>0</v>
      </c>
      <c r="O119" s="4">
        <v>0</v>
      </c>
      <c r="P119" t="s">
        <v>637</v>
      </c>
      <c r="Q119">
        <f>Table1_2[[#This Row],[Likes]]+Table1_2[[#This Row],[Shares]]+Table1_2[[#This Row],[Comments]]</f>
        <v>5735</v>
      </c>
      <c r="R119" s="12">
        <f>(Table1_2[[#This Row],[Likes]]+Table1_2[[#This Row],[Shares]]+Table1_2[[#This Row],[Comments]])/Table1_2[[#This Row],[Impressions]]</f>
        <v>6.2467323109097243E-2</v>
      </c>
      <c r="S119" s="4" t="str">
        <f>_xlfn.XLOOKUP(Table1_2[[#This Row],[Campaign_Name]],'Campaign Metadata'!A:A,'Campaign Metadata'!B:B,"not found",0)</f>
        <v>not found</v>
      </c>
      <c r="T119" s="4" t="str">
        <f>_xlfn.XLOOKUP(Table1_2[[#This Row],[Campaign_Name]],'Campaign Metadata'!A:A,'Campaign Metadata'!C:C,"not found",0)</f>
        <v>not found</v>
      </c>
      <c r="U119" t="str">
        <f>IF(AND(Table1_2[[#This Row],[Date]]&gt;=Table1_2[[#This Row],[Campaign Start Date2]],Table1_2[[#This Row],[Date]]&lt;=Table1_2[[#This Row],[Campaign End Date3]]),"During Campaign","Before Campaign")</f>
        <v>Before Campaign</v>
      </c>
      <c r="V119" s="30" t="str">
        <f>_xlfn.XLOOKUP(Table1_2[[#This Row],[Campaign_Name]],'Campaign Metadata'!A:A,'Campaign Metadata'!E:E,"Not Available",0)</f>
        <v>Not Available</v>
      </c>
      <c r="W119" t="e">
        <f>Table1_2[[#This Row],[Engagement]]/Table1_2[[#This Row],[Campaign Budget]]</f>
        <v>#VALUE!</v>
      </c>
      <c r="X119">
        <f>_xlfn.XLOOKUP(Table1_2[[#This Row],[Platform]],'Engagement Summary'!B:B,'Engagement Summary'!H:H,"Not Available",0)</f>
        <v>1090</v>
      </c>
      <c r="Y119">
        <f>WEEKNUM(Table1_2[[#This Row],[Date]])</f>
        <v>25</v>
      </c>
      <c r="Z119">
        <f>_xlfn.XLOOKUP(Table1_2[[#This Row],[Platform]],'Engagement Summary'!B:B,'Engagement Summary'!G:G,"Notavailable",0)</f>
        <v>30671</v>
      </c>
    </row>
    <row r="120" spans="1:26" x14ac:dyDescent="0.3">
      <c r="A120" t="s">
        <v>263</v>
      </c>
      <c r="B120" t="s">
        <v>14</v>
      </c>
      <c r="C120" s="4">
        <v>45741</v>
      </c>
      <c r="D120" t="s">
        <v>74</v>
      </c>
      <c r="E120" t="s">
        <v>145</v>
      </c>
      <c r="F120">
        <v>4050</v>
      </c>
      <c r="G120">
        <v>871</v>
      </c>
      <c r="H120">
        <v>347</v>
      </c>
      <c r="I120">
        <v>52650</v>
      </c>
      <c r="J120">
        <v>51755</v>
      </c>
      <c r="K120">
        <v>209</v>
      </c>
      <c r="L120" t="s">
        <v>30</v>
      </c>
      <c r="M120" t="s">
        <v>25</v>
      </c>
      <c r="N120" s="4">
        <v>45566</v>
      </c>
      <c r="O120" s="4">
        <v>45596</v>
      </c>
      <c r="P120" t="s">
        <v>637</v>
      </c>
      <c r="Q120">
        <f>Table1_2[[#This Row],[Likes]]+Table1_2[[#This Row],[Shares]]+Table1_2[[#This Row],[Comments]]</f>
        <v>5268</v>
      </c>
      <c r="R120" s="12">
        <f>(Table1_2[[#This Row],[Likes]]+Table1_2[[#This Row],[Shares]]+Table1_2[[#This Row],[Comments]])/Table1_2[[#This Row],[Impressions]]</f>
        <v>0.10005698005698006</v>
      </c>
      <c r="S120" s="4">
        <f>_xlfn.XLOOKUP(Table1_2[[#This Row],[Campaign_Name]],'Campaign Metadata'!A:A,'Campaign Metadata'!B:B,"not found",0)</f>
        <v>45566</v>
      </c>
      <c r="T120" s="4">
        <f>_xlfn.XLOOKUP(Table1_2[[#This Row],[Campaign_Name]],'Campaign Metadata'!A:A,'Campaign Metadata'!C:C,"not found",0)</f>
        <v>45596</v>
      </c>
      <c r="U120" t="str">
        <f>IF(AND(Table1_2[[#This Row],[Date]]&gt;=Table1_2[[#This Row],[Campaign Start Date2]],Table1_2[[#This Row],[Date]]&lt;=Table1_2[[#This Row],[Campaign End Date3]]),"During Campaign","Before Campaign")</f>
        <v>Before Campaign</v>
      </c>
      <c r="V120" s="30">
        <f>_xlfn.XLOOKUP(Table1_2[[#This Row],[Campaign_Name]],'Campaign Metadata'!A:A,'Campaign Metadata'!E:E,"Not Available",0)</f>
        <v>200000</v>
      </c>
      <c r="W120">
        <f>Table1_2[[#This Row],[Engagement]]/Table1_2[[#This Row],[Campaign Budget]]</f>
        <v>2.6339999999999999E-2</v>
      </c>
      <c r="X120">
        <f>_xlfn.XLOOKUP(Table1_2[[#This Row],[Platform]],'Engagement Summary'!B:B,'Engagement Summary'!H:H,"Not Available",0)</f>
        <v>415</v>
      </c>
      <c r="Y120">
        <f>WEEKNUM(Table1_2[[#This Row],[Date]])</f>
        <v>13</v>
      </c>
      <c r="Z120">
        <f>_xlfn.XLOOKUP(Table1_2[[#This Row],[Platform]],'Engagement Summary'!B:B,'Engagement Summary'!G:G,"Notavailable",0)</f>
        <v>26752</v>
      </c>
    </row>
    <row r="121" spans="1:26" x14ac:dyDescent="0.3">
      <c r="A121" t="s">
        <v>265</v>
      </c>
      <c r="B121" t="s">
        <v>14</v>
      </c>
      <c r="C121" s="4">
        <v>45512</v>
      </c>
      <c r="D121" t="s">
        <v>35</v>
      </c>
      <c r="E121" t="s">
        <v>149</v>
      </c>
      <c r="F121">
        <v>3649</v>
      </c>
      <c r="G121">
        <v>215</v>
      </c>
      <c r="H121">
        <v>413</v>
      </c>
      <c r="I121">
        <v>25543</v>
      </c>
      <c r="J121">
        <v>24963</v>
      </c>
      <c r="K121">
        <v>167</v>
      </c>
      <c r="L121" t="s">
        <v>62</v>
      </c>
      <c r="M121" t="s">
        <v>31</v>
      </c>
      <c r="N121" s="4">
        <v>45651</v>
      </c>
      <c r="O121" s="4">
        <v>45667</v>
      </c>
      <c r="P121" t="s">
        <v>637</v>
      </c>
      <c r="Q121">
        <f>Table1_2[[#This Row],[Likes]]+Table1_2[[#This Row],[Shares]]+Table1_2[[#This Row],[Comments]]</f>
        <v>4277</v>
      </c>
      <c r="R121" s="12">
        <f>(Table1_2[[#This Row],[Likes]]+Table1_2[[#This Row],[Shares]]+Table1_2[[#This Row],[Comments]])/Table1_2[[#This Row],[Impressions]]</f>
        <v>0.16744313510550835</v>
      </c>
      <c r="S121" s="4">
        <f>_xlfn.XLOOKUP(Table1_2[[#This Row],[Campaign_Name]],'Campaign Metadata'!A:A,'Campaign Metadata'!B:B,"not found",0)</f>
        <v>45651</v>
      </c>
      <c r="T121" s="4">
        <f>_xlfn.XLOOKUP(Table1_2[[#This Row],[Campaign_Name]],'Campaign Metadata'!A:A,'Campaign Metadata'!C:C,"not found",0)</f>
        <v>45667</v>
      </c>
      <c r="U121" t="str">
        <f>IF(AND(Table1_2[[#This Row],[Date]]&gt;=Table1_2[[#This Row],[Campaign Start Date2]],Table1_2[[#This Row],[Date]]&lt;=Table1_2[[#This Row],[Campaign End Date3]]),"During Campaign","Before Campaign")</f>
        <v>Before Campaign</v>
      </c>
      <c r="V121" s="30">
        <f>_xlfn.XLOOKUP(Table1_2[[#This Row],[Campaign_Name]],'Campaign Metadata'!A:A,'Campaign Metadata'!E:E,"Not Available",0)</f>
        <v>250000</v>
      </c>
      <c r="W121">
        <f>Table1_2[[#This Row],[Engagement]]/Table1_2[[#This Row],[Campaign Budget]]</f>
        <v>1.7108000000000002E-2</v>
      </c>
      <c r="X121">
        <f>_xlfn.XLOOKUP(Table1_2[[#This Row],[Platform]],'Engagement Summary'!B:B,'Engagement Summary'!H:H,"Not Available",0)</f>
        <v>415</v>
      </c>
      <c r="Y121">
        <f>WEEKNUM(Table1_2[[#This Row],[Date]])</f>
        <v>32</v>
      </c>
      <c r="Z121">
        <f>_xlfn.XLOOKUP(Table1_2[[#This Row],[Platform]],'Engagement Summary'!B:B,'Engagement Summary'!G:G,"Notavailable",0)</f>
        <v>26752</v>
      </c>
    </row>
    <row r="122" spans="1:26" x14ac:dyDescent="0.3">
      <c r="A122" t="s">
        <v>267</v>
      </c>
      <c r="B122" t="s">
        <v>33</v>
      </c>
      <c r="C122" s="4">
        <v>45502</v>
      </c>
      <c r="D122" t="s">
        <v>16</v>
      </c>
      <c r="E122" t="s">
        <v>82</v>
      </c>
      <c r="F122">
        <v>3523</v>
      </c>
      <c r="G122">
        <v>753</v>
      </c>
      <c r="H122">
        <v>482</v>
      </c>
      <c r="I122">
        <v>38753</v>
      </c>
      <c r="J122">
        <v>38579</v>
      </c>
      <c r="K122">
        <v>270</v>
      </c>
      <c r="L122" t="s">
        <v>37</v>
      </c>
      <c r="M122" t="s">
        <v>25</v>
      </c>
      <c r="N122" s="4">
        <v>45566</v>
      </c>
      <c r="O122" s="4">
        <v>45596</v>
      </c>
      <c r="P122" t="s">
        <v>637</v>
      </c>
      <c r="Q122">
        <f>Table1_2[[#This Row],[Likes]]+Table1_2[[#This Row],[Shares]]+Table1_2[[#This Row],[Comments]]</f>
        <v>4758</v>
      </c>
      <c r="R122" s="12">
        <f>(Table1_2[[#This Row],[Likes]]+Table1_2[[#This Row],[Shares]]+Table1_2[[#This Row],[Comments]])/Table1_2[[#This Row],[Impressions]]</f>
        <v>0.12277759141227776</v>
      </c>
      <c r="S122" s="4">
        <f>_xlfn.XLOOKUP(Table1_2[[#This Row],[Campaign_Name]],'Campaign Metadata'!A:A,'Campaign Metadata'!B:B,"not found",0)</f>
        <v>45566</v>
      </c>
      <c r="T122" s="4">
        <f>_xlfn.XLOOKUP(Table1_2[[#This Row],[Campaign_Name]],'Campaign Metadata'!A:A,'Campaign Metadata'!C:C,"not found",0)</f>
        <v>45596</v>
      </c>
      <c r="U122" t="str">
        <f>IF(AND(Table1_2[[#This Row],[Date]]&gt;=Table1_2[[#This Row],[Campaign Start Date2]],Table1_2[[#This Row],[Date]]&lt;=Table1_2[[#This Row],[Campaign End Date3]]),"During Campaign","Before Campaign")</f>
        <v>Before Campaign</v>
      </c>
      <c r="V122" s="30">
        <f>_xlfn.XLOOKUP(Table1_2[[#This Row],[Campaign_Name]],'Campaign Metadata'!A:A,'Campaign Metadata'!E:E,"Not Available",0)</f>
        <v>200000</v>
      </c>
      <c r="W122">
        <f>Table1_2[[#This Row],[Engagement]]/Table1_2[[#This Row],[Campaign Budget]]</f>
        <v>2.3789999999999999E-2</v>
      </c>
      <c r="X122">
        <f>_xlfn.XLOOKUP(Table1_2[[#This Row],[Platform]],'Engagement Summary'!B:B,'Engagement Summary'!H:H,"Not Available",0)</f>
        <v>1047</v>
      </c>
      <c r="Y122">
        <f>WEEKNUM(Table1_2[[#This Row],[Date]])</f>
        <v>31</v>
      </c>
      <c r="Z122">
        <f>_xlfn.XLOOKUP(Table1_2[[#This Row],[Platform]],'Engagement Summary'!B:B,'Engagement Summary'!G:G,"Notavailable",0)</f>
        <v>5904</v>
      </c>
    </row>
    <row r="123" spans="1:26" x14ac:dyDescent="0.3">
      <c r="A123" t="s">
        <v>269</v>
      </c>
      <c r="B123" t="s">
        <v>27</v>
      </c>
      <c r="C123" s="4">
        <v>45619</v>
      </c>
      <c r="D123" t="s">
        <v>52</v>
      </c>
      <c r="E123" t="s">
        <v>53</v>
      </c>
      <c r="F123">
        <v>2719</v>
      </c>
      <c r="G123">
        <v>17</v>
      </c>
      <c r="H123">
        <v>285</v>
      </c>
      <c r="I123">
        <v>40785</v>
      </c>
      <c r="J123">
        <v>40281</v>
      </c>
      <c r="K123">
        <v>40</v>
      </c>
      <c r="L123" t="s">
        <v>30</v>
      </c>
      <c r="M123" t="s">
        <v>25</v>
      </c>
      <c r="N123" s="4">
        <v>45566</v>
      </c>
      <c r="O123" s="4">
        <v>45596</v>
      </c>
      <c r="P123" t="s">
        <v>637</v>
      </c>
      <c r="Q123">
        <f>Table1_2[[#This Row],[Likes]]+Table1_2[[#This Row],[Shares]]+Table1_2[[#This Row],[Comments]]</f>
        <v>3021</v>
      </c>
      <c r="R123" s="12">
        <f>(Table1_2[[#This Row],[Likes]]+Table1_2[[#This Row],[Shares]]+Table1_2[[#This Row],[Comments]])/Table1_2[[#This Row],[Impressions]]</f>
        <v>7.4071349760941527E-2</v>
      </c>
      <c r="S123" s="4">
        <f>_xlfn.XLOOKUP(Table1_2[[#This Row],[Campaign_Name]],'Campaign Metadata'!A:A,'Campaign Metadata'!B:B,"not found",0)</f>
        <v>45566</v>
      </c>
      <c r="T123" s="4">
        <f>_xlfn.XLOOKUP(Table1_2[[#This Row],[Campaign_Name]],'Campaign Metadata'!A:A,'Campaign Metadata'!C:C,"not found",0)</f>
        <v>45596</v>
      </c>
      <c r="U123" t="str">
        <f>IF(AND(Table1_2[[#This Row],[Date]]&gt;=Table1_2[[#This Row],[Campaign Start Date2]],Table1_2[[#This Row],[Date]]&lt;=Table1_2[[#This Row],[Campaign End Date3]]),"During Campaign","Before Campaign")</f>
        <v>Before Campaign</v>
      </c>
      <c r="V123" s="30">
        <f>_xlfn.XLOOKUP(Table1_2[[#This Row],[Campaign_Name]],'Campaign Metadata'!A:A,'Campaign Metadata'!E:E,"Not Available",0)</f>
        <v>200000</v>
      </c>
      <c r="W123">
        <f>Table1_2[[#This Row],[Engagement]]/Table1_2[[#This Row],[Campaign Budget]]</f>
        <v>1.5105E-2</v>
      </c>
      <c r="X123">
        <f>_xlfn.XLOOKUP(Table1_2[[#This Row],[Platform]],'Engagement Summary'!B:B,'Engagement Summary'!H:H,"Not Available",0)</f>
        <v>1090</v>
      </c>
      <c r="Y123">
        <f>WEEKNUM(Table1_2[[#This Row],[Date]])</f>
        <v>47</v>
      </c>
      <c r="Z123">
        <f>_xlfn.XLOOKUP(Table1_2[[#This Row],[Platform]],'Engagement Summary'!B:B,'Engagement Summary'!G:G,"Notavailable",0)</f>
        <v>30671</v>
      </c>
    </row>
    <row r="124" spans="1:26" x14ac:dyDescent="0.3">
      <c r="A124" t="s">
        <v>271</v>
      </c>
      <c r="B124" t="s">
        <v>14</v>
      </c>
      <c r="C124" s="4">
        <v>45570</v>
      </c>
      <c r="D124" t="s">
        <v>35</v>
      </c>
      <c r="E124" t="s">
        <v>149</v>
      </c>
      <c r="F124">
        <v>1957</v>
      </c>
      <c r="G124">
        <v>877</v>
      </c>
      <c r="H124">
        <v>238</v>
      </c>
      <c r="I124">
        <v>17613</v>
      </c>
      <c r="J124">
        <v>16865</v>
      </c>
      <c r="K124">
        <v>297</v>
      </c>
      <c r="L124" t="s">
        <v>62</v>
      </c>
      <c r="M124" t="s">
        <v>31</v>
      </c>
      <c r="N124" s="4">
        <v>45651</v>
      </c>
      <c r="O124" s="4">
        <v>45667</v>
      </c>
      <c r="P124" t="s">
        <v>637</v>
      </c>
      <c r="Q124">
        <f>Table1_2[[#This Row],[Likes]]+Table1_2[[#This Row],[Shares]]+Table1_2[[#This Row],[Comments]]</f>
        <v>3072</v>
      </c>
      <c r="R124" s="12">
        <f>(Table1_2[[#This Row],[Likes]]+Table1_2[[#This Row],[Shares]]+Table1_2[[#This Row],[Comments]])/Table1_2[[#This Row],[Impressions]]</f>
        <v>0.17441662408448305</v>
      </c>
      <c r="S124" s="4">
        <f>_xlfn.XLOOKUP(Table1_2[[#This Row],[Campaign_Name]],'Campaign Metadata'!A:A,'Campaign Metadata'!B:B,"not found",0)</f>
        <v>45651</v>
      </c>
      <c r="T124" s="4">
        <f>_xlfn.XLOOKUP(Table1_2[[#This Row],[Campaign_Name]],'Campaign Metadata'!A:A,'Campaign Metadata'!C:C,"not found",0)</f>
        <v>45667</v>
      </c>
      <c r="U124" t="str">
        <f>IF(AND(Table1_2[[#This Row],[Date]]&gt;=Table1_2[[#This Row],[Campaign Start Date2]],Table1_2[[#This Row],[Date]]&lt;=Table1_2[[#This Row],[Campaign End Date3]]),"During Campaign","Before Campaign")</f>
        <v>Before Campaign</v>
      </c>
      <c r="V124" s="30">
        <f>_xlfn.XLOOKUP(Table1_2[[#This Row],[Campaign_Name]],'Campaign Metadata'!A:A,'Campaign Metadata'!E:E,"Not Available",0)</f>
        <v>250000</v>
      </c>
      <c r="W124">
        <f>Table1_2[[#This Row],[Engagement]]/Table1_2[[#This Row],[Campaign Budget]]</f>
        <v>1.2288E-2</v>
      </c>
      <c r="X124">
        <f>_xlfn.XLOOKUP(Table1_2[[#This Row],[Platform]],'Engagement Summary'!B:B,'Engagement Summary'!H:H,"Not Available",0)</f>
        <v>415</v>
      </c>
      <c r="Y124">
        <f>WEEKNUM(Table1_2[[#This Row],[Date]])</f>
        <v>40</v>
      </c>
      <c r="Z124">
        <f>_xlfn.XLOOKUP(Table1_2[[#This Row],[Platform]],'Engagement Summary'!B:B,'Engagement Summary'!G:G,"Notavailable",0)</f>
        <v>26752</v>
      </c>
    </row>
    <row r="125" spans="1:26" x14ac:dyDescent="0.3">
      <c r="A125" t="s">
        <v>273</v>
      </c>
      <c r="B125" t="s">
        <v>14</v>
      </c>
      <c r="C125" s="4">
        <v>45567</v>
      </c>
      <c r="D125" t="s">
        <v>45</v>
      </c>
      <c r="E125" t="s">
        <v>49</v>
      </c>
      <c r="F125">
        <v>4419</v>
      </c>
      <c r="G125">
        <v>236</v>
      </c>
      <c r="H125">
        <v>369</v>
      </c>
      <c r="I125">
        <v>44190</v>
      </c>
      <c r="J125">
        <v>43582</v>
      </c>
      <c r="K125">
        <v>10</v>
      </c>
      <c r="L125" t="s">
        <v>37</v>
      </c>
      <c r="M125" t="s">
        <v>19</v>
      </c>
      <c r="N125" s="4">
        <v>45458</v>
      </c>
      <c r="O125" s="4">
        <v>45488</v>
      </c>
      <c r="P125" t="s">
        <v>637</v>
      </c>
      <c r="Q125">
        <f>Table1_2[[#This Row],[Likes]]+Table1_2[[#This Row],[Shares]]+Table1_2[[#This Row],[Comments]]</f>
        <v>5024</v>
      </c>
      <c r="R125" s="12">
        <f>(Table1_2[[#This Row],[Likes]]+Table1_2[[#This Row],[Shares]]+Table1_2[[#This Row],[Comments]])/Table1_2[[#This Row],[Impressions]]</f>
        <v>0.11369088028965829</v>
      </c>
      <c r="S125" s="4">
        <f>_xlfn.XLOOKUP(Table1_2[[#This Row],[Campaign_Name]],'Campaign Metadata'!A:A,'Campaign Metadata'!B:B,"not found",0)</f>
        <v>45458</v>
      </c>
      <c r="T125" s="4">
        <f>_xlfn.XLOOKUP(Table1_2[[#This Row],[Campaign_Name]],'Campaign Metadata'!A:A,'Campaign Metadata'!C:C,"not found",0)</f>
        <v>45488</v>
      </c>
      <c r="U125" t="str">
        <f>IF(AND(Table1_2[[#This Row],[Date]]&gt;=Table1_2[[#This Row],[Campaign Start Date2]],Table1_2[[#This Row],[Date]]&lt;=Table1_2[[#This Row],[Campaign End Date3]]),"During Campaign","Before Campaign")</f>
        <v>Before Campaign</v>
      </c>
      <c r="V125" s="30">
        <f>_xlfn.XLOOKUP(Table1_2[[#This Row],[Campaign_Name]],'Campaign Metadata'!A:A,'Campaign Metadata'!E:E,"Not Available",0)</f>
        <v>150000</v>
      </c>
      <c r="W125">
        <f>Table1_2[[#This Row],[Engagement]]/Table1_2[[#This Row],[Campaign Budget]]</f>
        <v>3.3493333333333333E-2</v>
      </c>
      <c r="X125">
        <f>_xlfn.XLOOKUP(Table1_2[[#This Row],[Platform]],'Engagement Summary'!B:B,'Engagement Summary'!H:H,"Not Available",0)</f>
        <v>415</v>
      </c>
      <c r="Y125">
        <f>WEEKNUM(Table1_2[[#This Row],[Date]])</f>
        <v>40</v>
      </c>
      <c r="Z125">
        <f>_xlfn.XLOOKUP(Table1_2[[#This Row],[Platform]],'Engagement Summary'!B:B,'Engagement Summary'!G:G,"Notavailable",0)</f>
        <v>26752</v>
      </c>
    </row>
    <row r="126" spans="1:26" x14ac:dyDescent="0.3">
      <c r="A126" t="s">
        <v>275</v>
      </c>
      <c r="B126" t="s">
        <v>14</v>
      </c>
      <c r="C126" s="4">
        <v>45610</v>
      </c>
      <c r="D126" t="s">
        <v>35</v>
      </c>
      <c r="E126" t="s">
        <v>149</v>
      </c>
      <c r="F126">
        <v>4000</v>
      </c>
      <c r="G126">
        <v>689</v>
      </c>
      <c r="H126">
        <v>488</v>
      </c>
      <c r="I126">
        <v>40000</v>
      </c>
      <c r="J126">
        <v>39569</v>
      </c>
      <c r="K126">
        <v>44</v>
      </c>
      <c r="L126" t="s">
        <v>62</v>
      </c>
      <c r="M126" t="s">
        <v>19</v>
      </c>
      <c r="N126" s="4">
        <v>45458</v>
      </c>
      <c r="O126" s="4">
        <v>45488</v>
      </c>
      <c r="P126" t="s">
        <v>637</v>
      </c>
      <c r="Q126">
        <f>Table1_2[[#This Row],[Likes]]+Table1_2[[#This Row],[Shares]]+Table1_2[[#This Row],[Comments]]</f>
        <v>5177</v>
      </c>
      <c r="R126" s="12">
        <f>(Table1_2[[#This Row],[Likes]]+Table1_2[[#This Row],[Shares]]+Table1_2[[#This Row],[Comments]])/Table1_2[[#This Row],[Impressions]]</f>
        <v>0.12942500000000001</v>
      </c>
      <c r="S126" s="4">
        <f>_xlfn.XLOOKUP(Table1_2[[#This Row],[Campaign_Name]],'Campaign Metadata'!A:A,'Campaign Metadata'!B:B,"not found",0)</f>
        <v>45458</v>
      </c>
      <c r="T126" s="4">
        <f>_xlfn.XLOOKUP(Table1_2[[#This Row],[Campaign_Name]],'Campaign Metadata'!A:A,'Campaign Metadata'!C:C,"not found",0)</f>
        <v>45488</v>
      </c>
      <c r="U126" t="str">
        <f>IF(AND(Table1_2[[#This Row],[Date]]&gt;=Table1_2[[#This Row],[Campaign Start Date2]],Table1_2[[#This Row],[Date]]&lt;=Table1_2[[#This Row],[Campaign End Date3]]),"During Campaign","Before Campaign")</f>
        <v>Before Campaign</v>
      </c>
      <c r="V126" s="30">
        <f>_xlfn.XLOOKUP(Table1_2[[#This Row],[Campaign_Name]],'Campaign Metadata'!A:A,'Campaign Metadata'!E:E,"Not Available",0)</f>
        <v>150000</v>
      </c>
      <c r="W126">
        <f>Table1_2[[#This Row],[Engagement]]/Table1_2[[#This Row],[Campaign Budget]]</f>
        <v>3.4513333333333333E-2</v>
      </c>
      <c r="X126">
        <f>_xlfn.XLOOKUP(Table1_2[[#This Row],[Platform]],'Engagement Summary'!B:B,'Engagement Summary'!H:H,"Not Available",0)</f>
        <v>415</v>
      </c>
      <c r="Y126">
        <f>WEEKNUM(Table1_2[[#This Row],[Date]])</f>
        <v>46</v>
      </c>
      <c r="Z126">
        <f>_xlfn.XLOOKUP(Table1_2[[#This Row],[Platform]],'Engagement Summary'!B:B,'Engagement Summary'!G:G,"Notavailable",0)</f>
        <v>26752</v>
      </c>
    </row>
    <row r="127" spans="1:26" x14ac:dyDescent="0.3">
      <c r="A127" t="s">
        <v>277</v>
      </c>
      <c r="B127" t="s">
        <v>14</v>
      </c>
      <c r="C127" s="4">
        <v>45788</v>
      </c>
      <c r="D127" t="s">
        <v>52</v>
      </c>
      <c r="E127" t="s">
        <v>132</v>
      </c>
      <c r="F127">
        <v>2493</v>
      </c>
      <c r="G127">
        <v>97</v>
      </c>
      <c r="H127">
        <v>44</v>
      </c>
      <c r="I127">
        <v>42381</v>
      </c>
      <c r="J127">
        <v>41991</v>
      </c>
      <c r="K127">
        <v>242</v>
      </c>
      <c r="L127" t="s">
        <v>30</v>
      </c>
      <c r="M127" t="s">
        <v>38</v>
      </c>
      <c r="N127" s="4">
        <v>45717</v>
      </c>
      <c r="O127" s="4">
        <v>45747</v>
      </c>
      <c r="P127" t="s">
        <v>637</v>
      </c>
      <c r="Q127">
        <f>Table1_2[[#This Row],[Likes]]+Table1_2[[#This Row],[Shares]]+Table1_2[[#This Row],[Comments]]</f>
        <v>2634</v>
      </c>
      <c r="R127" s="12">
        <f>(Table1_2[[#This Row],[Likes]]+Table1_2[[#This Row],[Shares]]+Table1_2[[#This Row],[Comments]])/Table1_2[[#This Row],[Impressions]]</f>
        <v>6.2150491965739366E-2</v>
      </c>
      <c r="S127" s="4">
        <f>_xlfn.XLOOKUP(Table1_2[[#This Row],[Campaign_Name]],'Campaign Metadata'!A:A,'Campaign Metadata'!B:B,"not found",0)</f>
        <v>45717</v>
      </c>
      <c r="T127" s="4">
        <f>_xlfn.XLOOKUP(Table1_2[[#This Row],[Campaign_Name]],'Campaign Metadata'!A:A,'Campaign Metadata'!C:C,"not found",0)</f>
        <v>45747</v>
      </c>
      <c r="U127" t="str">
        <f>IF(AND(Table1_2[[#This Row],[Date]]&gt;=Table1_2[[#This Row],[Campaign Start Date2]],Table1_2[[#This Row],[Date]]&lt;=Table1_2[[#This Row],[Campaign End Date3]]),"During Campaign","Before Campaign")</f>
        <v>Before Campaign</v>
      </c>
      <c r="V127" s="30">
        <f>_xlfn.XLOOKUP(Table1_2[[#This Row],[Campaign_Name]],'Campaign Metadata'!A:A,'Campaign Metadata'!E:E,"Not Available",0)</f>
        <v>180000</v>
      </c>
      <c r="W127">
        <f>Table1_2[[#This Row],[Engagement]]/Table1_2[[#This Row],[Campaign Budget]]</f>
        <v>1.4633333333333333E-2</v>
      </c>
      <c r="X127">
        <f>_xlfn.XLOOKUP(Table1_2[[#This Row],[Platform]],'Engagement Summary'!B:B,'Engagement Summary'!H:H,"Not Available",0)</f>
        <v>415</v>
      </c>
      <c r="Y127">
        <f>WEEKNUM(Table1_2[[#This Row],[Date]])</f>
        <v>20</v>
      </c>
      <c r="Z127">
        <f>_xlfn.XLOOKUP(Table1_2[[#This Row],[Platform]],'Engagement Summary'!B:B,'Engagement Summary'!G:G,"Notavailable",0)</f>
        <v>26752</v>
      </c>
    </row>
    <row r="128" spans="1:26" x14ac:dyDescent="0.3">
      <c r="A128" t="s">
        <v>277</v>
      </c>
      <c r="B128" t="s">
        <v>14</v>
      </c>
      <c r="C128" s="4">
        <v>45788</v>
      </c>
      <c r="D128" t="s">
        <v>52</v>
      </c>
      <c r="E128" t="s">
        <v>132</v>
      </c>
      <c r="F128">
        <v>2493</v>
      </c>
      <c r="G128">
        <v>97</v>
      </c>
      <c r="H128">
        <v>44</v>
      </c>
      <c r="I128">
        <v>42381</v>
      </c>
      <c r="J128">
        <v>41991</v>
      </c>
      <c r="K128">
        <v>242</v>
      </c>
      <c r="L128" t="s">
        <v>615</v>
      </c>
      <c r="M128" t="s">
        <v>38</v>
      </c>
      <c r="N128" s="4">
        <v>45717</v>
      </c>
      <c r="O128" s="4">
        <v>45747</v>
      </c>
      <c r="P128" t="s">
        <v>637</v>
      </c>
      <c r="Q128">
        <f>Table1_2[[#This Row],[Likes]]+Table1_2[[#This Row],[Shares]]+Table1_2[[#This Row],[Comments]]</f>
        <v>2634</v>
      </c>
      <c r="R128" s="12">
        <f>(Table1_2[[#This Row],[Likes]]+Table1_2[[#This Row],[Shares]]+Table1_2[[#This Row],[Comments]])/Table1_2[[#This Row],[Impressions]]</f>
        <v>6.2150491965739366E-2</v>
      </c>
      <c r="S128" s="4">
        <f>_xlfn.XLOOKUP(Table1_2[[#This Row],[Campaign_Name]],'Campaign Metadata'!A:A,'Campaign Metadata'!B:B,"not found",0)</f>
        <v>45717</v>
      </c>
      <c r="T128" s="4">
        <f>_xlfn.XLOOKUP(Table1_2[[#This Row],[Campaign_Name]],'Campaign Metadata'!A:A,'Campaign Metadata'!C:C,"not found",0)</f>
        <v>45747</v>
      </c>
      <c r="U128" t="str">
        <f>IF(AND(Table1_2[[#This Row],[Date]]&gt;=Table1_2[[#This Row],[Campaign Start Date2]],Table1_2[[#This Row],[Date]]&lt;=Table1_2[[#This Row],[Campaign End Date3]]),"During Campaign","Before Campaign")</f>
        <v>Before Campaign</v>
      </c>
      <c r="V128" s="30">
        <f>_xlfn.XLOOKUP(Table1_2[[#This Row],[Campaign_Name]],'Campaign Metadata'!A:A,'Campaign Metadata'!E:E,"Not Available",0)</f>
        <v>180000</v>
      </c>
      <c r="W128">
        <f>Table1_2[[#This Row],[Engagement]]/Table1_2[[#This Row],[Campaign Budget]]</f>
        <v>1.4633333333333333E-2</v>
      </c>
      <c r="X128">
        <f>_xlfn.XLOOKUP(Table1_2[[#This Row],[Platform]],'Engagement Summary'!B:B,'Engagement Summary'!H:H,"Not Available",0)</f>
        <v>415</v>
      </c>
      <c r="Y128">
        <f>WEEKNUM(Table1_2[[#This Row],[Date]])</f>
        <v>20</v>
      </c>
      <c r="Z128">
        <f>_xlfn.XLOOKUP(Table1_2[[#This Row],[Platform]],'Engagement Summary'!B:B,'Engagement Summary'!G:G,"Notavailable",0)</f>
        <v>26752</v>
      </c>
    </row>
    <row r="129" spans="1:26" x14ac:dyDescent="0.3">
      <c r="A129" t="s">
        <v>279</v>
      </c>
      <c r="B129" t="s">
        <v>27</v>
      </c>
      <c r="C129" s="4">
        <v>45734</v>
      </c>
      <c r="D129" t="s">
        <v>16</v>
      </c>
      <c r="E129" t="s">
        <v>29</v>
      </c>
      <c r="F129">
        <v>3704</v>
      </c>
      <c r="G129">
        <v>186</v>
      </c>
      <c r="H129">
        <v>458</v>
      </c>
      <c r="I129">
        <v>25928</v>
      </c>
      <c r="J129">
        <v>25081</v>
      </c>
      <c r="K129">
        <v>131</v>
      </c>
      <c r="L129" t="s">
        <v>30</v>
      </c>
      <c r="M129" t="s">
        <v>617</v>
      </c>
      <c r="N129" s="4">
        <v>0</v>
      </c>
      <c r="O129" s="4">
        <v>0</v>
      </c>
      <c r="P129" t="s">
        <v>637</v>
      </c>
      <c r="Q129">
        <f>Table1_2[[#This Row],[Likes]]+Table1_2[[#This Row],[Shares]]+Table1_2[[#This Row],[Comments]]</f>
        <v>4348</v>
      </c>
      <c r="R129" s="12">
        <f>(Table1_2[[#This Row],[Likes]]+Table1_2[[#This Row],[Shares]]+Table1_2[[#This Row],[Comments]])/Table1_2[[#This Row],[Impressions]]</f>
        <v>0.16769515581610614</v>
      </c>
      <c r="S129" s="4" t="str">
        <f>_xlfn.XLOOKUP(Table1_2[[#This Row],[Campaign_Name]],'Campaign Metadata'!A:A,'Campaign Metadata'!B:B,"not found",0)</f>
        <v>not found</v>
      </c>
      <c r="T129" s="4" t="str">
        <f>_xlfn.XLOOKUP(Table1_2[[#This Row],[Campaign_Name]],'Campaign Metadata'!A:A,'Campaign Metadata'!C:C,"not found",0)</f>
        <v>not found</v>
      </c>
      <c r="U129" t="str">
        <f>IF(AND(Table1_2[[#This Row],[Date]]&gt;=Table1_2[[#This Row],[Campaign Start Date2]],Table1_2[[#This Row],[Date]]&lt;=Table1_2[[#This Row],[Campaign End Date3]]),"During Campaign","Before Campaign")</f>
        <v>Before Campaign</v>
      </c>
      <c r="V129" s="30" t="str">
        <f>_xlfn.XLOOKUP(Table1_2[[#This Row],[Campaign_Name]],'Campaign Metadata'!A:A,'Campaign Metadata'!E:E,"Not Available",0)</f>
        <v>Not Available</v>
      </c>
      <c r="W129" t="e">
        <f>Table1_2[[#This Row],[Engagement]]/Table1_2[[#This Row],[Campaign Budget]]</f>
        <v>#VALUE!</v>
      </c>
      <c r="X129">
        <f>_xlfn.XLOOKUP(Table1_2[[#This Row],[Platform]],'Engagement Summary'!B:B,'Engagement Summary'!H:H,"Not Available",0)</f>
        <v>1090</v>
      </c>
      <c r="Y129">
        <f>WEEKNUM(Table1_2[[#This Row],[Date]])</f>
        <v>12</v>
      </c>
      <c r="Z129">
        <f>_xlfn.XLOOKUP(Table1_2[[#This Row],[Platform]],'Engagement Summary'!B:B,'Engagement Summary'!G:G,"Notavailable",0)</f>
        <v>30671</v>
      </c>
    </row>
    <row r="130" spans="1:26" x14ac:dyDescent="0.3">
      <c r="A130" t="s">
        <v>281</v>
      </c>
      <c r="B130" t="s">
        <v>14</v>
      </c>
      <c r="C130" s="4">
        <v>45600</v>
      </c>
      <c r="D130" t="s">
        <v>52</v>
      </c>
      <c r="E130" t="s">
        <v>132</v>
      </c>
      <c r="F130">
        <v>1606</v>
      </c>
      <c r="G130">
        <v>451</v>
      </c>
      <c r="H130">
        <v>405</v>
      </c>
      <c r="I130">
        <v>20878</v>
      </c>
      <c r="J130">
        <v>20190</v>
      </c>
      <c r="K130">
        <v>219</v>
      </c>
      <c r="L130" t="s">
        <v>37</v>
      </c>
      <c r="M130" t="s">
        <v>38</v>
      </c>
      <c r="N130" s="4">
        <v>45717</v>
      </c>
      <c r="O130" s="4">
        <v>45747</v>
      </c>
      <c r="P130" t="s">
        <v>637</v>
      </c>
      <c r="Q130">
        <f>Table1_2[[#This Row],[Likes]]+Table1_2[[#This Row],[Shares]]+Table1_2[[#This Row],[Comments]]</f>
        <v>2462</v>
      </c>
      <c r="R130" s="12">
        <f>(Table1_2[[#This Row],[Likes]]+Table1_2[[#This Row],[Shares]]+Table1_2[[#This Row],[Comments]])/Table1_2[[#This Row],[Impressions]]</f>
        <v>0.11792317271769326</v>
      </c>
      <c r="S130" s="4">
        <f>_xlfn.XLOOKUP(Table1_2[[#This Row],[Campaign_Name]],'Campaign Metadata'!A:A,'Campaign Metadata'!B:B,"not found",0)</f>
        <v>45717</v>
      </c>
      <c r="T130" s="4">
        <f>_xlfn.XLOOKUP(Table1_2[[#This Row],[Campaign_Name]],'Campaign Metadata'!A:A,'Campaign Metadata'!C:C,"not found",0)</f>
        <v>45747</v>
      </c>
      <c r="U130" t="str">
        <f>IF(AND(Table1_2[[#This Row],[Date]]&gt;=Table1_2[[#This Row],[Campaign Start Date2]],Table1_2[[#This Row],[Date]]&lt;=Table1_2[[#This Row],[Campaign End Date3]]),"During Campaign","Before Campaign")</f>
        <v>Before Campaign</v>
      </c>
      <c r="V130" s="30">
        <f>_xlfn.XLOOKUP(Table1_2[[#This Row],[Campaign_Name]],'Campaign Metadata'!A:A,'Campaign Metadata'!E:E,"Not Available",0)</f>
        <v>180000</v>
      </c>
      <c r="W130">
        <f>Table1_2[[#This Row],[Engagement]]/Table1_2[[#This Row],[Campaign Budget]]</f>
        <v>1.3677777777777778E-2</v>
      </c>
      <c r="X130">
        <f>_xlfn.XLOOKUP(Table1_2[[#This Row],[Platform]],'Engagement Summary'!B:B,'Engagement Summary'!H:H,"Not Available",0)</f>
        <v>415</v>
      </c>
      <c r="Y130">
        <f>WEEKNUM(Table1_2[[#This Row],[Date]])</f>
        <v>45</v>
      </c>
      <c r="Z130">
        <f>_xlfn.XLOOKUP(Table1_2[[#This Row],[Platform]],'Engagement Summary'!B:B,'Engagement Summary'!G:G,"Notavailable",0)</f>
        <v>26752</v>
      </c>
    </row>
    <row r="131" spans="1:26" x14ac:dyDescent="0.3">
      <c r="A131" t="s">
        <v>283</v>
      </c>
      <c r="B131" t="s">
        <v>43</v>
      </c>
      <c r="C131" s="4">
        <v>45600</v>
      </c>
      <c r="D131" t="s">
        <v>52</v>
      </c>
      <c r="E131" t="s">
        <v>59</v>
      </c>
      <c r="F131">
        <v>4551</v>
      </c>
      <c r="G131">
        <v>714</v>
      </c>
      <c r="H131">
        <v>207</v>
      </c>
      <c r="I131">
        <v>68265</v>
      </c>
      <c r="J131">
        <v>67754</v>
      </c>
      <c r="K131">
        <v>57</v>
      </c>
      <c r="L131" t="s">
        <v>62</v>
      </c>
      <c r="M131" t="s">
        <v>31</v>
      </c>
      <c r="N131" s="4">
        <v>45651</v>
      </c>
      <c r="O131" s="4">
        <v>45667</v>
      </c>
      <c r="P131" t="s">
        <v>637</v>
      </c>
      <c r="Q131">
        <f>Table1_2[[#This Row],[Likes]]+Table1_2[[#This Row],[Shares]]+Table1_2[[#This Row],[Comments]]</f>
        <v>5472</v>
      </c>
      <c r="R131" s="12">
        <f>(Table1_2[[#This Row],[Likes]]+Table1_2[[#This Row],[Shares]]+Table1_2[[#This Row],[Comments]])/Table1_2[[#This Row],[Impressions]]</f>
        <v>8.0158206987475278E-2</v>
      </c>
      <c r="S131" s="4">
        <f>_xlfn.XLOOKUP(Table1_2[[#This Row],[Campaign_Name]],'Campaign Metadata'!A:A,'Campaign Metadata'!B:B,"not found",0)</f>
        <v>45651</v>
      </c>
      <c r="T131" s="4">
        <f>_xlfn.XLOOKUP(Table1_2[[#This Row],[Campaign_Name]],'Campaign Metadata'!A:A,'Campaign Metadata'!C:C,"not found",0)</f>
        <v>45667</v>
      </c>
      <c r="U131" t="str">
        <f>IF(AND(Table1_2[[#This Row],[Date]]&gt;=Table1_2[[#This Row],[Campaign Start Date2]],Table1_2[[#This Row],[Date]]&lt;=Table1_2[[#This Row],[Campaign End Date3]]),"During Campaign","Before Campaign")</f>
        <v>Before Campaign</v>
      </c>
      <c r="V131" s="30">
        <f>_xlfn.XLOOKUP(Table1_2[[#This Row],[Campaign_Name]],'Campaign Metadata'!A:A,'Campaign Metadata'!E:E,"Not Available",0)</f>
        <v>250000</v>
      </c>
      <c r="W131">
        <f>Table1_2[[#This Row],[Engagement]]/Table1_2[[#This Row],[Campaign Budget]]</f>
        <v>2.1888000000000001E-2</v>
      </c>
      <c r="X131">
        <f>_xlfn.XLOOKUP(Table1_2[[#This Row],[Platform]],'Engagement Summary'!B:B,'Engagement Summary'!H:H,"Not Available",0)</f>
        <v>1002</v>
      </c>
      <c r="Y131">
        <f>WEEKNUM(Table1_2[[#This Row],[Date]])</f>
        <v>45</v>
      </c>
      <c r="Z131">
        <f>_xlfn.XLOOKUP(Table1_2[[#This Row],[Platform]],'Engagement Summary'!B:B,'Engagement Summary'!G:G,"Notavailable",0)</f>
        <v>9566</v>
      </c>
    </row>
    <row r="132" spans="1:26" x14ac:dyDescent="0.3">
      <c r="A132" t="s">
        <v>284</v>
      </c>
      <c r="B132" t="s">
        <v>33</v>
      </c>
      <c r="C132" s="4">
        <v>45695</v>
      </c>
      <c r="D132" t="s">
        <v>16</v>
      </c>
      <c r="E132" t="s">
        <v>82</v>
      </c>
      <c r="F132">
        <v>1970</v>
      </c>
      <c r="G132">
        <v>675</v>
      </c>
      <c r="H132">
        <v>478</v>
      </c>
      <c r="I132">
        <v>9850</v>
      </c>
      <c r="J132">
        <v>8924</v>
      </c>
      <c r="K132">
        <v>117</v>
      </c>
      <c r="L132" t="s">
        <v>62</v>
      </c>
      <c r="M132" t="s">
        <v>617</v>
      </c>
      <c r="N132" s="4">
        <v>0</v>
      </c>
      <c r="O132" s="4">
        <v>0</v>
      </c>
      <c r="P132" t="s">
        <v>637</v>
      </c>
      <c r="Q132">
        <f>Table1_2[[#This Row],[Likes]]+Table1_2[[#This Row],[Shares]]+Table1_2[[#This Row],[Comments]]</f>
        <v>3123</v>
      </c>
      <c r="R132" s="12">
        <f>(Table1_2[[#This Row],[Likes]]+Table1_2[[#This Row],[Shares]]+Table1_2[[#This Row],[Comments]])/Table1_2[[#This Row],[Impressions]]</f>
        <v>0.31705583756345179</v>
      </c>
      <c r="S132" s="4" t="str">
        <f>_xlfn.XLOOKUP(Table1_2[[#This Row],[Campaign_Name]],'Campaign Metadata'!A:A,'Campaign Metadata'!B:B,"not found",0)</f>
        <v>not found</v>
      </c>
      <c r="T132" s="4" t="str">
        <f>_xlfn.XLOOKUP(Table1_2[[#This Row],[Campaign_Name]],'Campaign Metadata'!A:A,'Campaign Metadata'!C:C,"not found",0)</f>
        <v>not found</v>
      </c>
      <c r="U132" t="str">
        <f>IF(AND(Table1_2[[#This Row],[Date]]&gt;=Table1_2[[#This Row],[Campaign Start Date2]],Table1_2[[#This Row],[Date]]&lt;=Table1_2[[#This Row],[Campaign End Date3]]),"During Campaign","Before Campaign")</f>
        <v>Before Campaign</v>
      </c>
      <c r="V132" s="30" t="str">
        <f>_xlfn.XLOOKUP(Table1_2[[#This Row],[Campaign_Name]],'Campaign Metadata'!A:A,'Campaign Metadata'!E:E,"Not Available",0)</f>
        <v>Not Available</v>
      </c>
      <c r="W132" t="e">
        <f>Table1_2[[#This Row],[Engagement]]/Table1_2[[#This Row],[Campaign Budget]]</f>
        <v>#VALUE!</v>
      </c>
      <c r="X132">
        <f>_xlfn.XLOOKUP(Table1_2[[#This Row],[Platform]],'Engagement Summary'!B:B,'Engagement Summary'!H:H,"Not Available",0)</f>
        <v>1047</v>
      </c>
      <c r="Y132">
        <f>WEEKNUM(Table1_2[[#This Row],[Date]])</f>
        <v>6</v>
      </c>
      <c r="Z132">
        <f>_xlfn.XLOOKUP(Table1_2[[#This Row],[Platform]],'Engagement Summary'!B:B,'Engagement Summary'!G:G,"Notavailable",0)</f>
        <v>5904</v>
      </c>
    </row>
    <row r="133" spans="1:26" x14ac:dyDescent="0.3">
      <c r="A133" t="s">
        <v>286</v>
      </c>
      <c r="B133" t="s">
        <v>43</v>
      </c>
      <c r="C133" s="4">
        <v>45586</v>
      </c>
      <c r="D133" t="s">
        <v>35</v>
      </c>
      <c r="E133" t="s">
        <v>71</v>
      </c>
      <c r="F133">
        <v>780</v>
      </c>
      <c r="G133">
        <v>928</v>
      </c>
      <c r="H133">
        <v>301</v>
      </c>
      <c r="I133">
        <v>8580</v>
      </c>
      <c r="J133">
        <v>8081</v>
      </c>
      <c r="K133">
        <v>91</v>
      </c>
      <c r="L133" t="s">
        <v>37</v>
      </c>
      <c r="M133" t="s">
        <v>31</v>
      </c>
      <c r="N133" s="4">
        <v>45651</v>
      </c>
      <c r="O133" s="4">
        <v>45667</v>
      </c>
      <c r="P133" t="s">
        <v>637</v>
      </c>
      <c r="Q133">
        <f>Table1_2[[#This Row],[Likes]]+Table1_2[[#This Row],[Shares]]+Table1_2[[#This Row],[Comments]]</f>
        <v>2009</v>
      </c>
      <c r="R133" s="12">
        <f>(Table1_2[[#This Row],[Likes]]+Table1_2[[#This Row],[Shares]]+Table1_2[[#This Row],[Comments]])/Table1_2[[#This Row],[Impressions]]</f>
        <v>0.23414918414918415</v>
      </c>
      <c r="S133" s="4">
        <f>_xlfn.XLOOKUP(Table1_2[[#This Row],[Campaign_Name]],'Campaign Metadata'!A:A,'Campaign Metadata'!B:B,"not found",0)</f>
        <v>45651</v>
      </c>
      <c r="T133" s="4">
        <f>_xlfn.XLOOKUP(Table1_2[[#This Row],[Campaign_Name]],'Campaign Metadata'!A:A,'Campaign Metadata'!C:C,"not found",0)</f>
        <v>45667</v>
      </c>
      <c r="U133" t="str">
        <f>IF(AND(Table1_2[[#This Row],[Date]]&gt;=Table1_2[[#This Row],[Campaign Start Date2]],Table1_2[[#This Row],[Date]]&lt;=Table1_2[[#This Row],[Campaign End Date3]]),"During Campaign","Before Campaign")</f>
        <v>Before Campaign</v>
      </c>
      <c r="V133" s="30">
        <f>_xlfn.XLOOKUP(Table1_2[[#This Row],[Campaign_Name]],'Campaign Metadata'!A:A,'Campaign Metadata'!E:E,"Not Available",0)</f>
        <v>250000</v>
      </c>
      <c r="W133">
        <f>Table1_2[[#This Row],[Engagement]]/Table1_2[[#This Row],[Campaign Budget]]</f>
        <v>8.0359999999999997E-3</v>
      </c>
      <c r="X133">
        <f>_xlfn.XLOOKUP(Table1_2[[#This Row],[Platform]],'Engagement Summary'!B:B,'Engagement Summary'!H:H,"Not Available",0)</f>
        <v>1002</v>
      </c>
      <c r="Y133">
        <f>WEEKNUM(Table1_2[[#This Row],[Date]])</f>
        <v>43</v>
      </c>
      <c r="Z133">
        <f>_xlfn.XLOOKUP(Table1_2[[#This Row],[Platform]],'Engagement Summary'!B:B,'Engagement Summary'!G:G,"Notavailable",0)</f>
        <v>9566</v>
      </c>
    </row>
    <row r="134" spans="1:26" x14ac:dyDescent="0.3">
      <c r="A134" t="s">
        <v>287</v>
      </c>
      <c r="B134" t="s">
        <v>33</v>
      </c>
      <c r="C134" s="4">
        <v>45502</v>
      </c>
      <c r="D134" t="s">
        <v>35</v>
      </c>
      <c r="E134" t="s">
        <v>36</v>
      </c>
      <c r="F134">
        <v>498</v>
      </c>
      <c r="G134">
        <v>701</v>
      </c>
      <c r="H134">
        <v>412</v>
      </c>
      <c r="I134">
        <v>4980</v>
      </c>
      <c r="J134">
        <v>4185</v>
      </c>
      <c r="K134">
        <v>185</v>
      </c>
      <c r="L134" t="s">
        <v>62</v>
      </c>
      <c r="M134" t="s">
        <v>617</v>
      </c>
      <c r="N134" s="4">
        <v>0</v>
      </c>
      <c r="O134" s="4">
        <v>0</v>
      </c>
      <c r="P134" t="s">
        <v>637</v>
      </c>
      <c r="Q134">
        <f>Table1_2[[#This Row],[Likes]]+Table1_2[[#This Row],[Shares]]+Table1_2[[#This Row],[Comments]]</f>
        <v>1611</v>
      </c>
      <c r="R134" s="12">
        <f>(Table1_2[[#This Row],[Likes]]+Table1_2[[#This Row],[Shares]]+Table1_2[[#This Row],[Comments]])/Table1_2[[#This Row],[Impressions]]</f>
        <v>0.32349397590361445</v>
      </c>
      <c r="S134" s="4" t="str">
        <f>_xlfn.XLOOKUP(Table1_2[[#This Row],[Campaign_Name]],'Campaign Metadata'!A:A,'Campaign Metadata'!B:B,"not found",0)</f>
        <v>not found</v>
      </c>
      <c r="T134" s="4" t="str">
        <f>_xlfn.XLOOKUP(Table1_2[[#This Row],[Campaign_Name]],'Campaign Metadata'!A:A,'Campaign Metadata'!C:C,"not found",0)</f>
        <v>not found</v>
      </c>
      <c r="U134" t="str">
        <f>IF(AND(Table1_2[[#This Row],[Date]]&gt;=Table1_2[[#This Row],[Campaign Start Date2]],Table1_2[[#This Row],[Date]]&lt;=Table1_2[[#This Row],[Campaign End Date3]]),"During Campaign","Before Campaign")</f>
        <v>Before Campaign</v>
      </c>
      <c r="V134" s="30" t="str">
        <f>_xlfn.XLOOKUP(Table1_2[[#This Row],[Campaign_Name]],'Campaign Metadata'!A:A,'Campaign Metadata'!E:E,"Not Available",0)</f>
        <v>Not Available</v>
      </c>
      <c r="W134" t="e">
        <f>Table1_2[[#This Row],[Engagement]]/Table1_2[[#This Row],[Campaign Budget]]</f>
        <v>#VALUE!</v>
      </c>
      <c r="X134">
        <f>_xlfn.XLOOKUP(Table1_2[[#This Row],[Platform]],'Engagement Summary'!B:B,'Engagement Summary'!H:H,"Not Available",0)</f>
        <v>1047</v>
      </c>
      <c r="Y134">
        <f>WEEKNUM(Table1_2[[#This Row],[Date]])</f>
        <v>31</v>
      </c>
      <c r="Z134">
        <f>_xlfn.XLOOKUP(Table1_2[[#This Row],[Platform]],'Engagement Summary'!B:B,'Engagement Summary'!G:G,"Notavailable",0)</f>
        <v>5904</v>
      </c>
    </row>
    <row r="135" spans="1:26" x14ac:dyDescent="0.3">
      <c r="A135" t="s">
        <v>288</v>
      </c>
      <c r="B135" t="s">
        <v>33</v>
      </c>
      <c r="C135" s="4">
        <v>45567</v>
      </c>
      <c r="D135" t="s">
        <v>22</v>
      </c>
      <c r="E135" t="s">
        <v>113</v>
      </c>
      <c r="F135">
        <v>3432</v>
      </c>
      <c r="G135">
        <v>869</v>
      </c>
      <c r="H135">
        <v>123</v>
      </c>
      <c r="I135">
        <v>54912</v>
      </c>
      <c r="J135">
        <v>53916</v>
      </c>
      <c r="K135">
        <v>264</v>
      </c>
      <c r="L135" t="s">
        <v>37</v>
      </c>
      <c r="M135" t="s">
        <v>25</v>
      </c>
      <c r="N135" s="4">
        <v>45566</v>
      </c>
      <c r="O135" s="4">
        <v>45596</v>
      </c>
      <c r="P135" t="s">
        <v>637</v>
      </c>
      <c r="Q135">
        <f>Table1_2[[#This Row],[Likes]]+Table1_2[[#This Row],[Shares]]+Table1_2[[#This Row],[Comments]]</f>
        <v>4424</v>
      </c>
      <c r="R135" s="12">
        <f>(Table1_2[[#This Row],[Likes]]+Table1_2[[#This Row],[Shares]]+Table1_2[[#This Row],[Comments]])/Table1_2[[#This Row],[Impressions]]</f>
        <v>8.0565268065268064E-2</v>
      </c>
      <c r="S135" s="4">
        <f>_xlfn.XLOOKUP(Table1_2[[#This Row],[Campaign_Name]],'Campaign Metadata'!A:A,'Campaign Metadata'!B:B,"not found",0)</f>
        <v>45566</v>
      </c>
      <c r="T135" s="4">
        <f>_xlfn.XLOOKUP(Table1_2[[#This Row],[Campaign_Name]],'Campaign Metadata'!A:A,'Campaign Metadata'!C:C,"not found",0)</f>
        <v>45596</v>
      </c>
      <c r="U135" t="str">
        <f>IF(AND(Table1_2[[#This Row],[Date]]&gt;=Table1_2[[#This Row],[Campaign Start Date2]],Table1_2[[#This Row],[Date]]&lt;=Table1_2[[#This Row],[Campaign End Date3]]),"During Campaign","Before Campaign")</f>
        <v>During Campaign</v>
      </c>
      <c r="V135" s="30">
        <f>_xlfn.XLOOKUP(Table1_2[[#This Row],[Campaign_Name]],'Campaign Metadata'!A:A,'Campaign Metadata'!E:E,"Not Available",0)</f>
        <v>200000</v>
      </c>
      <c r="W135">
        <f>Table1_2[[#This Row],[Engagement]]/Table1_2[[#This Row],[Campaign Budget]]</f>
        <v>2.2120000000000001E-2</v>
      </c>
      <c r="X135">
        <f>_xlfn.XLOOKUP(Table1_2[[#This Row],[Platform]],'Engagement Summary'!B:B,'Engagement Summary'!H:H,"Not Available",0)</f>
        <v>1047</v>
      </c>
      <c r="Y135">
        <f>WEEKNUM(Table1_2[[#This Row],[Date]])</f>
        <v>40</v>
      </c>
      <c r="Z135">
        <f>_xlfn.XLOOKUP(Table1_2[[#This Row],[Platform]],'Engagement Summary'!B:B,'Engagement Summary'!G:G,"Notavailable",0)</f>
        <v>5904</v>
      </c>
    </row>
    <row r="136" spans="1:26" x14ac:dyDescent="0.3">
      <c r="A136" t="s">
        <v>289</v>
      </c>
      <c r="B136" t="s">
        <v>33</v>
      </c>
      <c r="C136" s="4">
        <v>45457</v>
      </c>
      <c r="D136" t="s">
        <v>35</v>
      </c>
      <c r="E136" t="s">
        <v>36</v>
      </c>
      <c r="F136">
        <v>4363</v>
      </c>
      <c r="G136">
        <v>649</v>
      </c>
      <c r="H136">
        <v>140</v>
      </c>
      <c r="I136">
        <v>21815</v>
      </c>
      <c r="J136">
        <v>21481</v>
      </c>
      <c r="K136">
        <v>157</v>
      </c>
      <c r="L136" t="s">
        <v>37</v>
      </c>
      <c r="M136" t="s">
        <v>19</v>
      </c>
      <c r="N136" s="4">
        <v>45458</v>
      </c>
      <c r="O136" s="4">
        <v>45488</v>
      </c>
      <c r="P136" t="s">
        <v>637</v>
      </c>
      <c r="Q136">
        <f>Table1_2[[#This Row],[Likes]]+Table1_2[[#This Row],[Shares]]+Table1_2[[#This Row],[Comments]]</f>
        <v>5152</v>
      </c>
      <c r="R136" s="16">
        <f>(Table1_2[[#This Row],[Likes]]+Table1_2[[#This Row],[Shares]]+Table1_2[[#This Row],[Comments]])/Table1_2[[#This Row],[Impressions]]</f>
        <v>0.23616777446710979</v>
      </c>
      <c r="S136" s="4">
        <f>_xlfn.XLOOKUP(Table1_2[[#This Row],[Campaign_Name]],'Campaign Metadata'!A:A,'Campaign Metadata'!B:B,"not found",0)</f>
        <v>45458</v>
      </c>
      <c r="T136" s="4">
        <f>_xlfn.XLOOKUP(Table1_2[[#This Row],[Campaign_Name]],'Campaign Metadata'!A:A,'Campaign Metadata'!C:C,"not found",0)</f>
        <v>45488</v>
      </c>
      <c r="U136" t="str">
        <f>IF(AND(Table1_2[[#This Row],[Date]]&gt;=Table1_2[[#This Row],[Campaign Start Date2]],Table1_2[[#This Row],[Date]]&lt;=Table1_2[[#This Row],[Campaign End Date3]]),"During Campaign","Before Campaign")</f>
        <v>Before Campaign</v>
      </c>
      <c r="V136" s="30">
        <f>_xlfn.XLOOKUP(Table1_2[[#This Row],[Campaign_Name]],'Campaign Metadata'!A:A,'Campaign Metadata'!E:E,"Not Available",0)</f>
        <v>150000</v>
      </c>
      <c r="W136">
        <f>Table1_2[[#This Row],[Engagement]]/Table1_2[[#This Row],[Campaign Budget]]</f>
        <v>3.4346666666666664E-2</v>
      </c>
      <c r="X136">
        <f>_xlfn.XLOOKUP(Table1_2[[#This Row],[Platform]],'Engagement Summary'!B:B,'Engagement Summary'!H:H,"Not Available",0)</f>
        <v>1047</v>
      </c>
      <c r="Y136">
        <f>WEEKNUM(Table1_2[[#This Row],[Date]])</f>
        <v>24</v>
      </c>
      <c r="Z136">
        <f>_xlfn.XLOOKUP(Table1_2[[#This Row],[Platform]],'Engagement Summary'!B:B,'Engagement Summary'!G:G,"Notavailable",0)</f>
        <v>5904</v>
      </c>
    </row>
    <row r="137" spans="1:26" x14ac:dyDescent="0.3">
      <c r="A137" t="s">
        <v>290</v>
      </c>
      <c r="B137" t="s">
        <v>27</v>
      </c>
      <c r="C137" s="4">
        <v>45753</v>
      </c>
      <c r="D137" t="s">
        <v>45</v>
      </c>
      <c r="E137" t="s">
        <v>68</v>
      </c>
      <c r="F137">
        <v>736</v>
      </c>
      <c r="G137">
        <v>771</v>
      </c>
      <c r="H137">
        <v>225</v>
      </c>
      <c r="I137">
        <v>5152</v>
      </c>
      <c r="J137">
        <v>4706</v>
      </c>
      <c r="K137">
        <v>19</v>
      </c>
      <c r="L137" t="s">
        <v>37</v>
      </c>
      <c r="M137" t="s">
        <v>19</v>
      </c>
      <c r="N137" s="4">
        <v>45458</v>
      </c>
      <c r="O137" s="4">
        <v>45488</v>
      </c>
      <c r="P137" t="s">
        <v>637</v>
      </c>
      <c r="Q137">
        <f>Table1_2[[#This Row],[Likes]]+Table1_2[[#This Row],[Shares]]+Table1_2[[#This Row],[Comments]]</f>
        <v>1732</v>
      </c>
      <c r="R137" s="12">
        <f>(Table1_2[[#This Row],[Likes]]+Table1_2[[#This Row],[Shares]]+Table1_2[[#This Row],[Comments]])/Table1_2[[#This Row],[Impressions]]</f>
        <v>0.33618012422360249</v>
      </c>
      <c r="S137" s="4">
        <f>_xlfn.XLOOKUP(Table1_2[[#This Row],[Campaign_Name]],'Campaign Metadata'!A:A,'Campaign Metadata'!B:B,"not found",0)</f>
        <v>45458</v>
      </c>
      <c r="T137" s="4">
        <f>_xlfn.XLOOKUP(Table1_2[[#This Row],[Campaign_Name]],'Campaign Metadata'!A:A,'Campaign Metadata'!C:C,"not found",0)</f>
        <v>45488</v>
      </c>
      <c r="U137" t="str">
        <f>IF(AND(Table1_2[[#This Row],[Date]]&gt;=Table1_2[[#This Row],[Campaign Start Date2]],Table1_2[[#This Row],[Date]]&lt;=Table1_2[[#This Row],[Campaign End Date3]]),"During Campaign","Before Campaign")</f>
        <v>Before Campaign</v>
      </c>
      <c r="V137" s="30">
        <f>_xlfn.XLOOKUP(Table1_2[[#This Row],[Campaign_Name]],'Campaign Metadata'!A:A,'Campaign Metadata'!E:E,"Not Available",0)</f>
        <v>150000</v>
      </c>
      <c r="W137">
        <f>Table1_2[[#This Row],[Engagement]]/Table1_2[[#This Row],[Campaign Budget]]</f>
        <v>1.1546666666666667E-2</v>
      </c>
      <c r="X137">
        <f>_xlfn.XLOOKUP(Table1_2[[#This Row],[Platform]],'Engagement Summary'!B:B,'Engagement Summary'!H:H,"Not Available",0)</f>
        <v>1090</v>
      </c>
      <c r="Y137">
        <f>WEEKNUM(Table1_2[[#This Row],[Date]])</f>
        <v>15</v>
      </c>
      <c r="Z137">
        <f>_xlfn.XLOOKUP(Table1_2[[#This Row],[Platform]],'Engagement Summary'!B:B,'Engagement Summary'!G:G,"Notavailable",0)</f>
        <v>30671</v>
      </c>
    </row>
    <row r="138" spans="1:26" x14ac:dyDescent="0.3">
      <c r="A138" t="s">
        <v>292</v>
      </c>
      <c r="B138" t="s">
        <v>14</v>
      </c>
      <c r="C138" s="4">
        <v>45543</v>
      </c>
      <c r="D138" t="s">
        <v>45</v>
      </c>
      <c r="E138" t="s">
        <v>49</v>
      </c>
      <c r="F138">
        <v>3811</v>
      </c>
      <c r="G138">
        <v>866</v>
      </c>
      <c r="H138">
        <v>216</v>
      </c>
      <c r="I138">
        <v>34299</v>
      </c>
      <c r="J138">
        <v>34088</v>
      </c>
      <c r="K138">
        <v>233</v>
      </c>
      <c r="L138" t="s">
        <v>30</v>
      </c>
      <c r="M138" t="s">
        <v>38</v>
      </c>
      <c r="N138" s="4">
        <v>45717</v>
      </c>
      <c r="O138" s="4">
        <v>45747</v>
      </c>
      <c r="P138" t="s">
        <v>637</v>
      </c>
      <c r="Q138">
        <f>Table1_2[[#This Row],[Likes]]+Table1_2[[#This Row],[Shares]]+Table1_2[[#This Row],[Comments]]</f>
        <v>4893</v>
      </c>
      <c r="R138" s="12">
        <f>(Table1_2[[#This Row],[Likes]]+Table1_2[[#This Row],[Shares]]+Table1_2[[#This Row],[Comments]])/Table1_2[[#This Row],[Impressions]]</f>
        <v>0.14265722032712325</v>
      </c>
      <c r="S138" s="4">
        <f>_xlfn.XLOOKUP(Table1_2[[#This Row],[Campaign_Name]],'Campaign Metadata'!A:A,'Campaign Metadata'!B:B,"not found",0)</f>
        <v>45717</v>
      </c>
      <c r="T138" s="4">
        <f>_xlfn.XLOOKUP(Table1_2[[#This Row],[Campaign_Name]],'Campaign Metadata'!A:A,'Campaign Metadata'!C:C,"not found",0)</f>
        <v>45747</v>
      </c>
      <c r="U138" t="str">
        <f>IF(AND(Table1_2[[#This Row],[Date]]&gt;=Table1_2[[#This Row],[Campaign Start Date2]],Table1_2[[#This Row],[Date]]&lt;=Table1_2[[#This Row],[Campaign End Date3]]),"During Campaign","Before Campaign")</f>
        <v>Before Campaign</v>
      </c>
      <c r="V138" s="30">
        <f>_xlfn.XLOOKUP(Table1_2[[#This Row],[Campaign_Name]],'Campaign Metadata'!A:A,'Campaign Metadata'!E:E,"Not Available",0)</f>
        <v>180000</v>
      </c>
      <c r="W138">
        <f>Table1_2[[#This Row],[Engagement]]/Table1_2[[#This Row],[Campaign Budget]]</f>
        <v>2.7183333333333334E-2</v>
      </c>
      <c r="X138">
        <f>_xlfn.XLOOKUP(Table1_2[[#This Row],[Platform]],'Engagement Summary'!B:B,'Engagement Summary'!H:H,"Not Available",0)</f>
        <v>415</v>
      </c>
      <c r="Y138">
        <f>WEEKNUM(Table1_2[[#This Row],[Date]])</f>
        <v>37</v>
      </c>
      <c r="Z138">
        <f>_xlfn.XLOOKUP(Table1_2[[#This Row],[Platform]],'Engagement Summary'!B:B,'Engagement Summary'!G:G,"Notavailable",0)</f>
        <v>26752</v>
      </c>
    </row>
    <row r="139" spans="1:26" x14ac:dyDescent="0.3">
      <c r="A139" t="s">
        <v>294</v>
      </c>
      <c r="B139" t="s">
        <v>33</v>
      </c>
      <c r="C139" s="4">
        <v>45744</v>
      </c>
      <c r="D139" t="s">
        <v>45</v>
      </c>
      <c r="E139" t="s">
        <v>88</v>
      </c>
      <c r="F139">
        <v>4158</v>
      </c>
      <c r="G139">
        <v>167</v>
      </c>
      <c r="H139">
        <v>241</v>
      </c>
      <c r="I139">
        <v>45738</v>
      </c>
      <c r="J139">
        <v>45183</v>
      </c>
      <c r="K139">
        <v>142</v>
      </c>
      <c r="L139" t="s">
        <v>62</v>
      </c>
      <c r="M139" t="s">
        <v>617</v>
      </c>
      <c r="N139" s="4">
        <v>0</v>
      </c>
      <c r="O139" s="4">
        <v>0</v>
      </c>
      <c r="P139" t="s">
        <v>637</v>
      </c>
      <c r="Q139">
        <f>Table1_2[[#This Row],[Likes]]+Table1_2[[#This Row],[Shares]]+Table1_2[[#This Row],[Comments]]</f>
        <v>4566</v>
      </c>
      <c r="R139" s="12">
        <f>(Table1_2[[#This Row],[Likes]]+Table1_2[[#This Row],[Shares]]+Table1_2[[#This Row],[Comments]])/Table1_2[[#This Row],[Impressions]]</f>
        <v>9.9829463465827106E-2</v>
      </c>
      <c r="S139" s="4" t="str">
        <f>_xlfn.XLOOKUP(Table1_2[[#This Row],[Campaign_Name]],'Campaign Metadata'!A:A,'Campaign Metadata'!B:B,"not found",0)</f>
        <v>not found</v>
      </c>
      <c r="T139" s="4" t="str">
        <f>_xlfn.XLOOKUP(Table1_2[[#This Row],[Campaign_Name]],'Campaign Metadata'!A:A,'Campaign Metadata'!C:C,"not found",0)</f>
        <v>not found</v>
      </c>
      <c r="U139" t="str">
        <f>IF(AND(Table1_2[[#This Row],[Date]]&gt;=Table1_2[[#This Row],[Campaign Start Date2]],Table1_2[[#This Row],[Date]]&lt;=Table1_2[[#This Row],[Campaign End Date3]]),"During Campaign","Before Campaign")</f>
        <v>Before Campaign</v>
      </c>
      <c r="V139" s="30" t="str">
        <f>_xlfn.XLOOKUP(Table1_2[[#This Row],[Campaign_Name]],'Campaign Metadata'!A:A,'Campaign Metadata'!E:E,"Not Available",0)</f>
        <v>Not Available</v>
      </c>
      <c r="W139" t="e">
        <f>Table1_2[[#This Row],[Engagement]]/Table1_2[[#This Row],[Campaign Budget]]</f>
        <v>#VALUE!</v>
      </c>
      <c r="X139">
        <f>_xlfn.XLOOKUP(Table1_2[[#This Row],[Platform]],'Engagement Summary'!B:B,'Engagement Summary'!H:H,"Not Available",0)</f>
        <v>1047</v>
      </c>
      <c r="Y139">
        <f>WEEKNUM(Table1_2[[#This Row],[Date]])</f>
        <v>13</v>
      </c>
      <c r="Z139">
        <f>_xlfn.XLOOKUP(Table1_2[[#This Row],[Platform]],'Engagement Summary'!B:B,'Engagement Summary'!G:G,"Notavailable",0)</f>
        <v>5904</v>
      </c>
    </row>
    <row r="140" spans="1:26" x14ac:dyDescent="0.3">
      <c r="A140" t="s">
        <v>295</v>
      </c>
      <c r="B140" t="s">
        <v>43</v>
      </c>
      <c r="C140" s="4">
        <v>45684</v>
      </c>
      <c r="D140" t="s">
        <v>16</v>
      </c>
      <c r="E140" t="s">
        <v>65</v>
      </c>
      <c r="F140">
        <v>3452</v>
      </c>
      <c r="G140">
        <v>652</v>
      </c>
      <c r="H140">
        <v>442</v>
      </c>
      <c r="I140">
        <v>65588</v>
      </c>
      <c r="J140">
        <v>65049</v>
      </c>
      <c r="K140">
        <v>158</v>
      </c>
      <c r="L140" t="s">
        <v>62</v>
      </c>
      <c r="M140" t="s">
        <v>31</v>
      </c>
      <c r="N140" s="4">
        <v>45651</v>
      </c>
      <c r="O140" s="4">
        <v>45667</v>
      </c>
      <c r="P140" t="s">
        <v>637</v>
      </c>
      <c r="Q140">
        <f>Table1_2[[#This Row],[Likes]]+Table1_2[[#This Row],[Shares]]+Table1_2[[#This Row],[Comments]]</f>
        <v>4546</v>
      </c>
      <c r="R140" s="12">
        <f>(Table1_2[[#This Row],[Likes]]+Table1_2[[#This Row],[Shares]]+Table1_2[[#This Row],[Comments]])/Table1_2[[#This Row],[Impressions]]</f>
        <v>6.9311459413307311E-2</v>
      </c>
      <c r="S140" s="4">
        <f>_xlfn.XLOOKUP(Table1_2[[#This Row],[Campaign_Name]],'Campaign Metadata'!A:A,'Campaign Metadata'!B:B,"not found",0)</f>
        <v>45651</v>
      </c>
      <c r="T140" s="4">
        <f>_xlfn.XLOOKUP(Table1_2[[#This Row],[Campaign_Name]],'Campaign Metadata'!A:A,'Campaign Metadata'!C:C,"not found",0)</f>
        <v>45667</v>
      </c>
      <c r="U140" t="str">
        <f>IF(AND(Table1_2[[#This Row],[Date]]&gt;=Table1_2[[#This Row],[Campaign Start Date2]],Table1_2[[#This Row],[Date]]&lt;=Table1_2[[#This Row],[Campaign End Date3]]),"During Campaign","Before Campaign")</f>
        <v>Before Campaign</v>
      </c>
      <c r="V140" s="30">
        <f>_xlfn.XLOOKUP(Table1_2[[#This Row],[Campaign_Name]],'Campaign Metadata'!A:A,'Campaign Metadata'!E:E,"Not Available",0)</f>
        <v>250000</v>
      </c>
      <c r="W140">
        <f>Table1_2[[#This Row],[Engagement]]/Table1_2[[#This Row],[Campaign Budget]]</f>
        <v>1.8183999999999999E-2</v>
      </c>
      <c r="X140">
        <f>_xlfn.XLOOKUP(Table1_2[[#This Row],[Platform]],'Engagement Summary'!B:B,'Engagement Summary'!H:H,"Not Available",0)</f>
        <v>1002</v>
      </c>
      <c r="Y140">
        <f>WEEKNUM(Table1_2[[#This Row],[Date]])</f>
        <v>5</v>
      </c>
      <c r="Z140">
        <f>_xlfn.XLOOKUP(Table1_2[[#This Row],[Platform]],'Engagement Summary'!B:B,'Engagement Summary'!G:G,"Notavailable",0)</f>
        <v>9566</v>
      </c>
    </row>
    <row r="141" spans="1:26" x14ac:dyDescent="0.3">
      <c r="A141" t="s">
        <v>296</v>
      </c>
      <c r="B141" t="s">
        <v>14</v>
      </c>
      <c r="C141" s="4">
        <v>45667</v>
      </c>
      <c r="D141" t="s">
        <v>52</v>
      </c>
      <c r="E141" t="s">
        <v>132</v>
      </c>
      <c r="F141">
        <v>3092</v>
      </c>
      <c r="G141">
        <v>106</v>
      </c>
      <c r="H141">
        <v>291</v>
      </c>
      <c r="I141">
        <v>27828</v>
      </c>
      <c r="J141">
        <v>27217</v>
      </c>
      <c r="K141">
        <v>102</v>
      </c>
      <c r="L141" t="s">
        <v>62</v>
      </c>
      <c r="M141" t="s">
        <v>617</v>
      </c>
      <c r="N141" s="4">
        <v>0</v>
      </c>
      <c r="O141" s="4">
        <v>0</v>
      </c>
      <c r="P141" t="s">
        <v>637</v>
      </c>
      <c r="Q141">
        <f>Table1_2[[#This Row],[Likes]]+Table1_2[[#This Row],[Shares]]+Table1_2[[#This Row],[Comments]]</f>
        <v>3489</v>
      </c>
      <c r="R141" s="12">
        <f>(Table1_2[[#This Row],[Likes]]+Table1_2[[#This Row],[Shares]]+Table1_2[[#This Row],[Comments]])/Table1_2[[#This Row],[Impressions]]</f>
        <v>0.12537731780940059</v>
      </c>
      <c r="S141" s="4" t="str">
        <f>_xlfn.XLOOKUP(Table1_2[[#This Row],[Campaign_Name]],'Campaign Metadata'!A:A,'Campaign Metadata'!B:B,"not found",0)</f>
        <v>not found</v>
      </c>
      <c r="T141" s="4" t="str">
        <f>_xlfn.XLOOKUP(Table1_2[[#This Row],[Campaign_Name]],'Campaign Metadata'!A:A,'Campaign Metadata'!C:C,"not found",0)</f>
        <v>not found</v>
      </c>
      <c r="U141" t="str">
        <f>IF(AND(Table1_2[[#This Row],[Date]]&gt;=Table1_2[[#This Row],[Campaign Start Date2]],Table1_2[[#This Row],[Date]]&lt;=Table1_2[[#This Row],[Campaign End Date3]]),"During Campaign","Before Campaign")</f>
        <v>Before Campaign</v>
      </c>
      <c r="V141" s="30" t="str">
        <f>_xlfn.XLOOKUP(Table1_2[[#This Row],[Campaign_Name]],'Campaign Metadata'!A:A,'Campaign Metadata'!E:E,"Not Available",0)</f>
        <v>Not Available</v>
      </c>
      <c r="W141" t="e">
        <f>Table1_2[[#This Row],[Engagement]]/Table1_2[[#This Row],[Campaign Budget]]</f>
        <v>#VALUE!</v>
      </c>
      <c r="X141">
        <f>_xlfn.XLOOKUP(Table1_2[[#This Row],[Platform]],'Engagement Summary'!B:B,'Engagement Summary'!H:H,"Not Available",0)</f>
        <v>415</v>
      </c>
      <c r="Y141">
        <f>WEEKNUM(Table1_2[[#This Row],[Date]])</f>
        <v>2</v>
      </c>
      <c r="Z141">
        <f>_xlfn.XLOOKUP(Table1_2[[#This Row],[Platform]],'Engagement Summary'!B:B,'Engagement Summary'!G:G,"Notavailable",0)</f>
        <v>26752</v>
      </c>
    </row>
    <row r="142" spans="1:26" x14ac:dyDescent="0.3">
      <c r="A142" t="s">
        <v>297</v>
      </c>
      <c r="B142" t="s">
        <v>14</v>
      </c>
      <c r="C142" s="4">
        <v>45494</v>
      </c>
      <c r="D142" t="s">
        <v>22</v>
      </c>
      <c r="E142" t="s">
        <v>23</v>
      </c>
      <c r="F142">
        <v>2147</v>
      </c>
      <c r="G142">
        <v>430</v>
      </c>
      <c r="H142">
        <v>393</v>
      </c>
      <c r="I142">
        <v>17176</v>
      </c>
      <c r="J142">
        <v>16483</v>
      </c>
      <c r="K142">
        <v>170</v>
      </c>
      <c r="L142" t="s">
        <v>30</v>
      </c>
      <c r="M142" t="s">
        <v>617</v>
      </c>
      <c r="N142" s="4">
        <v>0</v>
      </c>
      <c r="O142" s="4">
        <v>0</v>
      </c>
      <c r="P142" t="s">
        <v>637</v>
      </c>
      <c r="Q142">
        <f>Table1_2[[#This Row],[Likes]]+Table1_2[[#This Row],[Shares]]+Table1_2[[#This Row],[Comments]]</f>
        <v>2970</v>
      </c>
      <c r="R142" s="12">
        <f>(Table1_2[[#This Row],[Likes]]+Table1_2[[#This Row],[Shares]]+Table1_2[[#This Row],[Comments]])/Table1_2[[#This Row],[Impressions]]</f>
        <v>0.17291569632044715</v>
      </c>
      <c r="S142" s="4" t="str">
        <f>_xlfn.XLOOKUP(Table1_2[[#This Row],[Campaign_Name]],'Campaign Metadata'!A:A,'Campaign Metadata'!B:B,"not found",0)</f>
        <v>not found</v>
      </c>
      <c r="T142" s="4" t="str">
        <f>_xlfn.XLOOKUP(Table1_2[[#This Row],[Campaign_Name]],'Campaign Metadata'!A:A,'Campaign Metadata'!C:C,"not found",0)</f>
        <v>not found</v>
      </c>
      <c r="U142" t="str">
        <f>IF(AND(Table1_2[[#This Row],[Date]]&gt;=Table1_2[[#This Row],[Campaign Start Date2]],Table1_2[[#This Row],[Date]]&lt;=Table1_2[[#This Row],[Campaign End Date3]]),"During Campaign","Before Campaign")</f>
        <v>Before Campaign</v>
      </c>
      <c r="V142" s="30" t="str">
        <f>_xlfn.XLOOKUP(Table1_2[[#This Row],[Campaign_Name]],'Campaign Metadata'!A:A,'Campaign Metadata'!E:E,"Not Available",0)</f>
        <v>Not Available</v>
      </c>
      <c r="W142" t="e">
        <f>Table1_2[[#This Row],[Engagement]]/Table1_2[[#This Row],[Campaign Budget]]</f>
        <v>#VALUE!</v>
      </c>
      <c r="X142">
        <f>_xlfn.XLOOKUP(Table1_2[[#This Row],[Platform]],'Engagement Summary'!B:B,'Engagement Summary'!H:H,"Not Available",0)</f>
        <v>415</v>
      </c>
      <c r="Y142">
        <f>WEEKNUM(Table1_2[[#This Row],[Date]])</f>
        <v>30</v>
      </c>
      <c r="Z142">
        <f>_xlfn.XLOOKUP(Table1_2[[#This Row],[Platform]],'Engagement Summary'!B:B,'Engagement Summary'!G:G,"Notavailable",0)</f>
        <v>26752</v>
      </c>
    </row>
    <row r="143" spans="1:26" x14ac:dyDescent="0.3">
      <c r="A143" t="s">
        <v>298</v>
      </c>
      <c r="B143" t="s">
        <v>27</v>
      </c>
      <c r="C143" s="4">
        <v>45564</v>
      </c>
      <c r="D143" t="s">
        <v>16</v>
      </c>
      <c r="E143" t="s">
        <v>29</v>
      </c>
      <c r="F143">
        <v>2936</v>
      </c>
      <c r="G143">
        <v>439</v>
      </c>
      <c r="H143">
        <v>44</v>
      </c>
      <c r="I143">
        <v>38168</v>
      </c>
      <c r="J143">
        <v>37571</v>
      </c>
      <c r="K143">
        <v>22</v>
      </c>
      <c r="L143" t="s">
        <v>37</v>
      </c>
      <c r="M143" t="s">
        <v>38</v>
      </c>
      <c r="N143" s="4">
        <v>45717</v>
      </c>
      <c r="O143" s="4">
        <v>45747</v>
      </c>
      <c r="P143" t="s">
        <v>637</v>
      </c>
      <c r="Q143">
        <f>Table1_2[[#This Row],[Likes]]+Table1_2[[#This Row],[Shares]]+Table1_2[[#This Row],[Comments]]</f>
        <v>3419</v>
      </c>
      <c r="R143" s="12">
        <f>(Table1_2[[#This Row],[Likes]]+Table1_2[[#This Row],[Shares]]+Table1_2[[#This Row],[Comments]])/Table1_2[[#This Row],[Impressions]]</f>
        <v>8.9577656675749323E-2</v>
      </c>
      <c r="S143" s="4">
        <f>_xlfn.XLOOKUP(Table1_2[[#This Row],[Campaign_Name]],'Campaign Metadata'!A:A,'Campaign Metadata'!B:B,"not found",0)</f>
        <v>45717</v>
      </c>
      <c r="T143" s="4">
        <f>_xlfn.XLOOKUP(Table1_2[[#This Row],[Campaign_Name]],'Campaign Metadata'!A:A,'Campaign Metadata'!C:C,"not found",0)</f>
        <v>45747</v>
      </c>
      <c r="U143" t="str">
        <f>IF(AND(Table1_2[[#This Row],[Date]]&gt;=Table1_2[[#This Row],[Campaign Start Date2]],Table1_2[[#This Row],[Date]]&lt;=Table1_2[[#This Row],[Campaign End Date3]]),"During Campaign","Before Campaign")</f>
        <v>Before Campaign</v>
      </c>
      <c r="V143" s="30">
        <f>_xlfn.XLOOKUP(Table1_2[[#This Row],[Campaign_Name]],'Campaign Metadata'!A:A,'Campaign Metadata'!E:E,"Not Available",0)</f>
        <v>180000</v>
      </c>
      <c r="W143">
        <f>Table1_2[[#This Row],[Engagement]]/Table1_2[[#This Row],[Campaign Budget]]</f>
        <v>1.8994444444444446E-2</v>
      </c>
      <c r="X143">
        <f>_xlfn.XLOOKUP(Table1_2[[#This Row],[Platform]],'Engagement Summary'!B:B,'Engagement Summary'!H:H,"Not Available",0)</f>
        <v>1090</v>
      </c>
      <c r="Y143">
        <f>WEEKNUM(Table1_2[[#This Row],[Date]])</f>
        <v>40</v>
      </c>
      <c r="Z143">
        <f>_xlfn.XLOOKUP(Table1_2[[#This Row],[Platform]],'Engagement Summary'!B:B,'Engagement Summary'!G:G,"Notavailable",0)</f>
        <v>30671</v>
      </c>
    </row>
    <row r="144" spans="1:26" x14ac:dyDescent="0.3">
      <c r="A144" t="s">
        <v>300</v>
      </c>
      <c r="B144" t="s">
        <v>33</v>
      </c>
      <c r="C144" s="4">
        <v>45586</v>
      </c>
      <c r="D144" t="s">
        <v>16</v>
      </c>
      <c r="E144" t="s">
        <v>82</v>
      </c>
      <c r="F144">
        <v>4840</v>
      </c>
      <c r="G144">
        <v>658</v>
      </c>
      <c r="H144">
        <v>211</v>
      </c>
      <c r="I144">
        <v>43560</v>
      </c>
      <c r="J144">
        <v>43225</v>
      </c>
      <c r="K144">
        <v>57</v>
      </c>
      <c r="L144" t="s">
        <v>62</v>
      </c>
      <c r="M144" t="s">
        <v>31</v>
      </c>
      <c r="N144" s="4">
        <v>45651</v>
      </c>
      <c r="O144" s="4">
        <v>45667</v>
      </c>
      <c r="P144" t="s">
        <v>637</v>
      </c>
      <c r="Q144">
        <f>Table1_2[[#This Row],[Likes]]+Table1_2[[#This Row],[Shares]]+Table1_2[[#This Row],[Comments]]</f>
        <v>5709</v>
      </c>
      <c r="R144" s="12">
        <f>(Table1_2[[#This Row],[Likes]]+Table1_2[[#This Row],[Shares]]+Table1_2[[#This Row],[Comments]])/Table1_2[[#This Row],[Impressions]]</f>
        <v>0.13106060606060607</v>
      </c>
      <c r="S144" s="4">
        <f>_xlfn.XLOOKUP(Table1_2[[#This Row],[Campaign_Name]],'Campaign Metadata'!A:A,'Campaign Metadata'!B:B,"not found",0)</f>
        <v>45651</v>
      </c>
      <c r="T144" s="4">
        <f>_xlfn.XLOOKUP(Table1_2[[#This Row],[Campaign_Name]],'Campaign Metadata'!A:A,'Campaign Metadata'!C:C,"not found",0)</f>
        <v>45667</v>
      </c>
      <c r="U144" t="str">
        <f>IF(AND(Table1_2[[#This Row],[Date]]&gt;=Table1_2[[#This Row],[Campaign Start Date2]],Table1_2[[#This Row],[Date]]&lt;=Table1_2[[#This Row],[Campaign End Date3]]),"During Campaign","Before Campaign")</f>
        <v>Before Campaign</v>
      </c>
      <c r="V144" s="30">
        <f>_xlfn.XLOOKUP(Table1_2[[#This Row],[Campaign_Name]],'Campaign Metadata'!A:A,'Campaign Metadata'!E:E,"Not Available",0)</f>
        <v>250000</v>
      </c>
      <c r="W144">
        <f>Table1_2[[#This Row],[Engagement]]/Table1_2[[#This Row],[Campaign Budget]]</f>
        <v>2.2835999999999999E-2</v>
      </c>
      <c r="X144">
        <f>_xlfn.XLOOKUP(Table1_2[[#This Row],[Platform]],'Engagement Summary'!B:B,'Engagement Summary'!H:H,"Not Available",0)</f>
        <v>1047</v>
      </c>
      <c r="Y144">
        <f>WEEKNUM(Table1_2[[#This Row],[Date]])</f>
        <v>43</v>
      </c>
      <c r="Z144">
        <f>_xlfn.XLOOKUP(Table1_2[[#This Row],[Platform]],'Engagement Summary'!B:B,'Engagement Summary'!G:G,"Notavailable",0)</f>
        <v>5904</v>
      </c>
    </row>
    <row r="145" spans="1:26" x14ac:dyDescent="0.3">
      <c r="A145" t="s">
        <v>301</v>
      </c>
      <c r="B145" t="s">
        <v>33</v>
      </c>
      <c r="C145" s="4">
        <v>45720</v>
      </c>
      <c r="D145" t="s">
        <v>35</v>
      </c>
      <c r="E145" t="s">
        <v>36</v>
      </c>
      <c r="F145">
        <v>1947</v>
      </c>
      <c r="G145">
        <v>842</v>
      </c>
      <c r="H145">
        <v>101</v>
      </c>
      <c r="I145">
        <v>21417</v>
      </c>
      <c r="J145">
        <v>20967</v>
      </c>
      <c r="K145">
        <v>186</v>
      </c>
      <c r="L145" t="s">
        <v>62</v>
      </c>
      <c r="M145" t="s">
        <v>25</v>
      </c>
      <c r="N145" s="4">
        <v>45566</v>
      </c>
      <c r="O145" s="4">
        <v>45596</v>
      </c>
      <c r="P145" t="s">
        <v>637</v>
      </c>
      <c r="Q145">
        <f>Table1_2[[#This Row],[Likes]]+Table1_2[[#This Row],[Shares]]+Table1_2[[#This Row],[Comments]]</f>
        <v>2890</v>
      </c>
      <c r="R145" s="12">
        <f>(Table1_2[[#This Row],[Likes]]+Table1_2[[#This Row],[Shares]]+Table1_2[[#This Row],[Comments]])/Table1_2[[#This Row],[Impressions]]</f>
        <v>0.13493953401503478</v>
      </c>
      <c r="S145" s="4">
        <f>_xlfn.XLOOKUP(Table1_2[[#This Row],[Campaign_Name]],'Campaign Metadata'!A:A,'Campaign Metadata'!B:B,"not found",0)</f>
        <v>45566</v>
      </c>
      <c r="T145" s="4">
        <f>_xlfn.XLOOKUP(Table1_2[[#This Row],[Campaign_Name]],'Campaign Metadata'!A:A,'Campaign Metadata'!C:C,"not found",0)</f>
        <v>45596</v>
      </c>
      <c r="U145" t="str">
        <f>IF(AND(Table1_2[[#This Row],[Date]]&gt;=Table1_2[[#This Row],[Campaign Start Date2]],Table1_2[[#This Row],[Date]]&lt;=Table1_2[[#This Row],[Campaign End Date3]]),"During Campaign","Before Campaign")</f>
        <v>Before Campaign</v>
      </c>
      <c r="V145" s="30">
        <f>_xlfn.XLOOKUP(Table1_2[[#This Row],[Campaign_Name]],'Campaign Metadata'!A:A,'Campaign Metadata'!E:E,"Not Available",0)</f>
        <v>200000</v>
      </c>
      <c r="W145">
        <f>Table1_2[[#This Row],[Engagement]]/Table1_2[[#This Row],[Campaign Budget]]</f>
        <v>1.4449999999999999E-2</v>
      </c>
      <c r="X145">
        <f>_xlfn.XLOOKUP(Table1_2[[#This Row],[Platform]],'Engagement Summary'!B:B,'Engagement Summary'!H:H,"Not Available",0)</f>
        <v>1047</v>
      </c>
      <c r="Y145">
        <f>WEEKNUM(Table1_2[[#This Row],[Date]])</f>
        <v>10</v>
      </c>
      <c r="Z145">
        <f>_xlfn.XLOOKUP(Table1_2[[#This Row],[Platform]],'Engagement Summary'!B:B,'Engagement Summary'!G:G,"Notavailable",0)</f>
        <v>5904</v>
      </c>
    </row>
    <row r="146" spans="1:26" x14ac:dyDescent="0.3">
      <c r="A146" t="s">
        <v>302</v>
      </c>
      <c r="B146" t="s">
        <v>43</v>
      </c>
      <c r="C146" s="4">
        <v>45694</v>
      </c>
      <c r="D146" t="s">
        <v>52</v>
      </c>
      <c r="E146" t="s">
        <v>59</v>
      </c>
      <c r="F146">
        <v>2072</v>
      </c>
      <c r="G146">
        <v>532</v>
      </c>
      <c r="H146">
        <v>71</v>
      </c>
      <c r="I146">
        <v>37296</v>
      </c>
      <c r="J146">
        <v>36467</v>
      </c>
      <c r="K146">
        <v>25</v>
      </c>
      <c r="L146" t="s">
        <v>30</v>
      </c>
      <c r="M146" t="s">
        <v>38</v>
      </c>
      <c r="N146" s="4">
        <v>45717</v>
      </c>
      <c r="O146" s="4">
        <v>45747</v>
      </c>
      <c r="P146" t="s">
        <v>637</v>
      </c>
      <c r="Q146">
        <f>Table1_2[[#This Row],[Likes]]+Table1_2[[#This Row],[Shares]]+Table1_2[[#This Row],[Comments]]</f>
        <v>2675</v>
      </c>
      <c r="R146" s="12">
        <f>(Table1_2[[#This Row],[Likes]]+Table1_2[[#This Row],[Shares]]+Table1_2[[#This Row],[Comments]])/Table1_2[[#This Row],[Impressions]]</f>
        <v>7.172350922350923E-2</v>
      </c>
      <c r="S146" s="4">
        <f>_xlfn.XLOOKUP(Table1_2[[#This Row],[Campaign_Name]],'Campaign Metadata'!A:A,'Campaign Metadata'!B:B,"not found",0)</f>
        <v>45717</v>
      </c>
      <c r="T146" s="4">
        <f>_xlfn.XLOOKUP(Table1_2[[#This Row],[Campaign_Name]],'Campaign Metadata'!A:A,'Campaign Metadata'!C:C,"not found",0)</f>
        <v>45747</v>
      </c>
      <c r="U146" t="str">
        <f>IF(AND(Table1_2[[#This Row],[Date]]&gt;=Table1_2[[#This Row],[Campaign Start Date2]],Table1_2[[#This Row],[Date]]&lt;=Table1_2[[#This Row],[Campaign End Date3]]),"During Campaign","Before Campaign")</f>
        <v>Before Campaign</v>
      </c>
      <c r="V146" s="30">
        <f>_xlfn.XLOOKUP(Table1_2[[#This Row],[Campaign_Name]],'Campaign Metadata'!A:A,'Campaign Metadata'!E:E,"Not Available",0)</f>
        <v>180000</v>
      </c>
      <c r="W146">
        <f>Table1_2[[#This Row],[Engagement]]/Table1_2[[#This Row],[Campaign Budget]]</f>
        <v>1.4861111111111111E-2</v>
      </c>
      <c r="X146">
        <f>_xlfn.XLOOKUP(Table1_2[[#This Row],[Platform]],'Engagement Summary'!B:B,'Engagement Summary'!H:H,"Not Available",0)</f>
        <v>1002</v>
      </c>
      <c r="Y146">
        <f>WEEKNUM(Table1_2[[#This Row],[Date]])</f>
        <v>6</v>
      </c>
      <c r="Z146">
        <f>_xlfn.XLOOKUP(Table1_2[[#This Row],[Platform]],'Engagement Summary'!B:B,'Engagement Summary'!G:G,"Notavailable",0)</f>
        <v>9566</v>
      </c>
    </row>
    <row r="147" spans="1:26" x14ac:dyDescent="0.3">
      <c r="A147" t="s">
        <v>304</v>
      </c>
      <c r="B147" t="s">
        <v>14</v>
      </c>
      <c r="C147" s="4">
        <v>45771</v>
      </c>
      <c r="D147" t="s">
        <v>16</v>
      </c>
      <c r="E147" t="s">
        <v>17</v>
      </c>
      <c r="F147">
        <v>3731</v>
      </c>
      <c r="G147">
        <v>115</v>
      </c>
      <c r="H147">
        <v>135</v>
      </c>
      <c r="I147">
        <v>55965</v>
      </c>
      <c r="J147">
        <v>55436</v>
      </c>
      <c r="K147">
        <v>103</v>
      </c>
      <c r="L147" t="s">
        <v>30</v>
      </c>
      <c r="M147" t="s">
        <v>19</v>
      </c>
      <c r="N147" s="4">
        <v>45458</v>
      </c>
      <c r="O147" s="4">
        <v>45488</v>
      </c>
      <c r="P147" t="s">
        <v>637</v>
      </c>
      <c r="Q147">
        <f>Table1_2[[#This Row],[Likes]]+Table1_2[[#This Row],[Shares]]+Table1_2[[#This Row],[Comments]]</f>
        <v>3981</v>
      </c>
      <c r="R147" s="12">
        <f>(Table1_2[[#This Row],[Likes]]+Table1_2[[#This Row],[Shares]]+Table1_2[[#This Row],[Comments]])/Table1_2[[#This Row],[Impressions]]</f>
        <v>7.1133744304476013E-2</v>
      </c>
      <c r="S147" s="4">
        <f>_xlfn.XLOOKUP(Table1_2[[#This Row],[Campaign_Name]],'Campaign Metadata'!A:A,'Campaign Metadata'!B:B,"not found",0)</f>
        <v>45458</v>
      </c>
      <c r="T147" s="4">
        <f>_xlfn.XLOOKUP(Table1_2[[#This Row],[Campaign_Name]],'Campaign Metadata'!A:A,'Campaign Metadata'!C:C,"not found",0)</f>
        <v>45488</v>
      </c>
      <c r="U147" t="str">
        <f>IF(AND(Table1_2[[#This Row],[Date]]&gt;=Table1_2[[#This Row],[Campaign Start Date2]],Table1_2[[#This Row],[Date]]&lt;=Table1_2[[#This Row],[Campaign End Date3]]),"During Campaign","Before Campaign")</f>
        <v>Before Campaign</v>
      </c>
      <c r="V147" s="30">
        <f>_xlfn.XLOOKUP(Table1_2[[#This Row],[Campaign_Name]],'Campaign Metadata'!A:A,'Campaign Metadata'!E:E,"Not Available",0)</f>
        <v>150000</v>
      </c>
      <c r="W147">
        <f>Table1_2[[#This Row],[Engagement]]/Table1_2[[#This Row],[Campaign Budget]]</f>
        <v>2.6540000000000001E-2</v>
      </c>
      <c r="X147">
        <f>_xlfn.XLOOKUP(Table1_2[[#This Row],[Platform]],'Engagement Summary'!B:B,'Engagement Summary'!H:H,"Not Available",0)</f>
        <v>415</v>
      </c>
      <c r="Y147">
        <f>WEEKNUM(Table1_2[[#This Row],[Date]])</f>
        <v>17</v>
      </c>
      <c r="Z147">
        <f>_xlfn.XLOOKUP(Table1_2[[#This Row],[Platform]],'Engagement Summary'!B:B,'Engagement Summary'!G:G,"Notavailable",0)</f>
        <v>26752</v>
      </c>
    </row>
    <row r="148" spans="1:26" x14ac:dyDescent="0.3">
      <c r="A148" t="s">
        <v>306</v>
      </c>
      <c r="B148" t="s">
        <v>43</v>
      </c>
      <c r="C148" s="4">
        <v>45624</v>
      </c>
      <c r="D148" t="s">
        <v>22</v>
      </c>
      <c r="E148" t="s">
        <v>56</v>
      </c>
      <c r="F148">
        <v>4213</v>
      </c>
      <c r="G148">
        <v>253</v>
      </c>
      <c r="H148">
        <v>434</v>
      </c>
      <c r="I148">
        <v>75834</v>
      </c>
      <c r="J148">
        <v>75437</v>
      </c>
      <c r="K148">
        <v>272</v>
      </c>
      <c r="L148" t="s">
        <v>62</v>
      </c>
      <c r="M148" t="s">
        <v>38</v>
      </c>
      <c r="N148" s="4">
        <v>45717</v>
      </c>
      <c r="O148" s="4">
        <v>45747</v>
      </c>
      <c r="P148" t="s">
        <v>637</v>
      </c>
      <c r="Q148">
        <f>Table1_2[[#This Row],[Likes]]+Table1_2[[#This Row],[Shares]]+Table1_2[[#This Row],[Comments]]</f>
        <v>4900</v>
      </c>
      <c r="R148" s="12">
        <f>(Table1_2[[#This Row],[Likes]]+Table1_2[[#This Row],[Shares]]+Table1_2[[#This Row],[Comments]])/Table1_2[[#This Row],[Impressions]]</f>
        <v>6.461481657304112E-2</v>
      </c>
      <c r="S148" s="4">
        <f>_xlfn.XLOOKUP(Table1_2[[#This Row],[Campaign_Name]],'Campaign Metadata'!A:A,'Campaign Metadata'!B:B,"not found",0)</f>
        <v>45717</v>
      </c>
      <c r="T148" s="4">
        <f>_xlfn.XLOOKUP(Table1_2[[#This Row],[Campaign_Name]],'Campaign Metadata'!A:A,'Campaign Metadata'!C:C,"not found",0)</f>
        <v>45747</v>
      </c>
      <c r="U148" t="str">
        <f>IF(AND(Table1_2[[#This Row],[Date]]&gt;=Table1_2[[#This Row],[Campaign Start Date2]],Table1_2[[#This Row],[Date]]&lt;=Table1_2[[#This Row],[Campaign End Date3]]),"During Campaign","Before Campaign")</f>
        <v>Before Campaign</v>
      </c>
      <c r="V148" s="30">
        <f>_xlfn.XLOOKUP(Table1_2[[#This Row],[Campaign_Name]],'Campaign Metadata'!A:A,'Campaign Metadata'!E:E,"Not Available",0)</f>
        <v>180000</v>
      </c>
      <c r="W148">
        <f>Table1_2[[#This Row],[Engagement]]/Table1_2[[#This Row],[Campaign Budget]]</f>
        <v>2.7222222222222221E-2</v>
      </c>
      <c r="X148">
        <f>_xlfn.XLOOKUP(Table1_2[[#This Row],[Platform]],'Engagement Summary'!B:B,'Engagement Summary'!H:H,"Not Available",0)</f>
        <v>1002</v>
      </c>
      <c r="Y148">
        <f>WEEKNUM(Table1_2[[#This Row],[Date]])</f>
        <v>48</v>
      </c>
      <c r="Z148">
        <f>_xlfn.XLOOKUP(Table1_2[[#This Row],[Platform]],'Engagement Summary'!B:B,'Engagement Summary'!G:G,"Notavailable",0)</f>
        <v>9566</v>
      </c>
    </row>
    <row r="149" spans="1:26" x14ac:dyDescent="0.3">
      <c r="A149" t="s">
        <v>308</v>
      </c>
      <c r="B149" t="s">
        <v>33</v>
      </c>
      <c r="C149" s="4">
        <v>45484</v>
      </c>
      <c r="D149" t="s">
        <v>22</v>
      </c>
      <c r="E149" t="s">
        <v>113</v>
      </c>
      <c r="F149">
        <v>3134</v>
      </c>
      <c r="G149">
        <v>888</v>
      </c>
      <c r="H149">
        <v>444</v>
      </c>
      <c r="I149">
        <v>21938</v>
      </c>
      <c r="J149">
        <v>21337</v>
      </c>
      <c r="K149">
        <v>130</v>
      </c>
      <c r="L149" t="s">
        <v>37</v>
      </c>
      <c r="M149" t="s">
        <v>38</v>
      </c>
      <c r="N149" s="4">
        <v>45717</v>
      </c>
      <c r="O149" s="4">
        <v>45747</v>
      </c>
      <c r="P149" t="s">
        <v>637</v>
      </c>
      <c r="Q149">
        <f>Table1_2[[#This Row],[Likes]]+Table1_2[[#This Row],[Shares]]+Table1_2[[#This Row],[Comments]]</f>
        <v>4466</v>
      </c>
      <c r="R149" s="12">
        <f>(Table1_2[[#This Row],[Likes]]+Table1_2[[#This Row],[Shares]]+Table1_2[[#This Row],[Comments]])/Table1_2[[#This Row],[Impressions]]</f>
        <v>0.20357370772176134</v>
      </c>
      <c r="S149" s="4">
        <f>_xlfn.XLOOKUP(Table1_2[[#This Row],[Campaign_Name]],'Campaign Metadata'!A:A,'Campaign Metadata'!B:B,"not found",0)</f>
        <v>45717</v>
      </c>
      <c r="T149" s="4">
        <f>_xlfn.XLOOKUP(Table1_2[[#This Row],[Campaign_Name]],'Campaign Metadata'!A:A,'Campaign Metadata'!C:C,"not found",0)</f>
        <v>45747</v>
      </c>
      <c r="U149" t="str">
        <f>IF(AND(Table1_2[[#This Row],[Date]]&gt;=Table1_2[[#This Row],[Campaign Start Date2]],Table1_2[[#This Row],[Date]]&lt;=Table1_2[[#This Row],[Campaign End Date3]]),"During Campaign","Before Campaign")</f>
        <v>Before Campaign</v>
      </c>
      <c r="V149" s="30">
        <f>_xlfn.XLOOKUP(Table1_2[[#This Row],[Campaign_Name]],'Campaign Metadata'!A:A,'Campaign Metadata'!E:E,"Not Available",0)</f>
        <v>180000</v>
      </c>
      <c r="W149">
        <f>Table1_2[[#This Row],[Engagement]]/Table1_2[[#This Row],[Campaign Budget]]</f>
        <v>2.481111111111111E-2</v>
      </c>
      <c r="X149">
        <f>_xlfn.XLOOKUP(Table1_2[[#This Row],[Platform]],'Engagement Summary'!B:B,'Engagement Summary'!H:H,"Not Available",0)</f>
        <v>1047</v>
      </c>
      <c r="Y149">
        <f>WEEKNUM(Table1_2[[#This Row],[Date]])</f>
        <v>28</v>
      </c>
      <c r="Z149">
        <f>_xlfn.XLOOKUP(Table1_2[[#This Row],[Platform]],'Engagement Summary'!B:B,'Engagement Summary'!G:G,"Notavailable",0)</f>
        <v>5904</v>
      </c>
    </row>
    <row r="150" spans="1:26" x14ac:dyDescent="0.3">
      <c r="A150" t="s">
        <v>310</v>
      </c>
      <c r="B150" t="s">
        <v>43</v>
      </c>
      <c r="C150" s="4">
        <v>45504</v>
      </c>
      <c r="D150" t="s">
        <v>74</v>
      </c>
      <c r="E150" t="s">
        <v>75</v>
      </c>
      <c r="F150">
        <v>3008</v>
      </c>
      <c r="G150">
        <v>94</v>
      </c>
      <c r="H150">
        <v>37</v>
      </c>
      <c r="I150">
        <v>15040</v>
      </c>
      <c r="J150">
        <v>14639</v>
      </c>
      <c r="K150">
        <v>277</v>
      </c>
      <c r="L150" t="s">
        <v>62</v>
      </c>
      <c r="M150" t="s">
        <v>617</v>
      </c>
      <c r="N150" s="4">
        <v>0</v>
      </c>
      <c r="O150" s="4">
        <v>0</v>
      </c>
      <c r="P150" t="s">
        <v>637</v>
      </c>
      <c r="Q150">
        <f>Table1_2[[#This Row],[Likes]]+Table1_2[[#This Row],[Shares]]+Table1_2[[#This Row],[Comments]]</f>
        <v>3139</v>
      </c>
      <c r="R150" s="12">
        <f>(Table1_2[[#This Row],[Likes]]+Table1_2[[#This Row],[Shares]]+Table1_2[[#This Row],[Comments]])/Table1_2[[#This Row],[Impressions]]</f>
        <v>0.20871010638297871</v>
      </c>
      <c r="S150" s="4" t="str">
        <f>_xlfn.XLOOKUP(Table1_2[[#This Row],[Campaign_Name]],'Campaign Metadata'!A:A,'Campaign Metadata'!B:B,"not found",0)</f>
        <v>not found</v>
      </c>
      <c r="T150" s="4" t="str">
        <f>_xlfn.XLOOKUP(Table1_2[[#This Row],[Campaign_Name]],'Campaign Metadata'!A:A,'Campaign Metadata'!C:C,"not found",0)</f>
        <v>not found</v>
      </c>
      <c r="U150" t="str">
        <f>IF(AND(Table1_2[[#This Row],[Date]]&gt;=Table1_2[[#This Row],[Campaign Start Date2]],Table1_2[[#This Row],[Date]]&lt;=Table1_2[[#This Row],[Campaign End Date3]]),"During Campaign","Before Campaign")</f>
        <v>Before Campaign</v>
      </c>
      <c r="V150" s="30" t="str">
        <f>_xlfn.XLOOKUP(Table1_2[[#This Row],[Campaign_Name]],'Campaign Metadata'!A:A,'Campaign Metadata'!E:E,"Not Available",0)</f>
        <v>Not Available</v>
      </c>
      <c r="W150" t="e">
        <f>Table1_2[[#This Row],[Engagement]]/Table1_2[[#This Row],[Campaign Budget]]</f>
        <v>#VALUE!</v>
      </c>
      <c r="X150">
        <f>_xlfn.XLOOKUP(Table1_2[[#This Row],[Platform]],'Engagement Summary'!B:B,'Engagement Summary'!H:H,"Not Available",0)</f>
        <v>1002</v>
      </c>
      <c r="Y150">
        <f>WEEKNUM(Table1_2[[#This Row],[Date]])</f>
        <v>31</v>
      </c>
      <c r="Z150">
        <f>_xlfn.XLOOKUP(Table1_2[[#This Row],[Platform]],'Engagement Summary'!B:B,'Engagement Summary'!G:G,"Notavailable",0)</f>
        <v>9566</v>
      </c>
    </row>
    <row r="151" spans="1:26" x14ac:dyDescent="0.3">
      <c r="A151" t="s">
        <v>311</v>
      </c>
      <c r="B151" t="s">
        <v>14</v>
      </c>
      <c r="C151" s="4">
        <v>45745</v>
      </c>
      <c r="D151" t="s">
        <v>52</v>
      </c>
      <c r="E151" t="s">
        <v>132</v>
      </c>
      <c r="F151">
        <v>305</v>
      </c>
      <c r="G151">
        <v>187</v>
      </c>
      <c r="H151">
        <v>243</v>
      </c>
      <c r="I151">
        <v>4575</v>
      </c>
      <c r="J151">
        <v>3704</v>
      </c>
      <c r="K151">
        <v>234</v>
      </c>
      <c r="L151" t="s">
        <v>62</v>
      </c>
      <c r="M151" t="s">
        <v>31</v>
      </c>
      <c r="N151" s="4">
        <v>45651</v>
      </c>
      <c r="O151" s="4">
        <v>45667</v>
      </c>
      <c r="P151" t="s">
        <v>637</v>
      </c>
      <c r="Q151">
        <f>Table1_2[[#This Row],[Likes]]+Table1_2[[#This Row],[Shares]]+Table1_2[[#This Row],[Comments]]</f>
        <v>735</v>
      </c>
      <c r="R151" s="12">
        <f>(Table1_2[[#This Row],[Likes]]+Table1_2[[#This Row],[Shares]]+Table1_2[[#This Row],[Comments]])/Table1_2[[#This Row],[Impressions]]</f>
        <v>0.16065573770491803</v>
      </c>
      <c r="S151" s="4">
        <f>_xlfn.XLOOKUP(Table1_2[[#This Row],[Campaign_Name]],'Campaign Metadata'!A:A,'Campaign Metadata'!B:B,"not found",0)</f>
        <v>45651</v>
      </c>
      <c r="T151" s="4">
        <f>_xlfn.XLOOKUP(Table1_2[[#This Row],[Campaign_Name]],'Campaign Metadata'!A:A,'Campaign Metadata'!C:C,"not found",0)</f>
        <v>45667</v>
      </c>
      <c r="U151" t="str">
        <f>IF(AND(Table1_2[[#This Row],[Date]]&gt;=Table1_2[[#This Row],[Campaign Start Date2]],Table1_2[[#This Row],[Date]]&lt;=Table1_2[[#This Row],[Campaign End Date3]]),"During Campaign","Before Campaign")</f>
        <v>Before Campaign</v>
      </c>
      <c r="V151" s="30">
        <f>_xlfn.XLOOKUP(Table1_2[[#This Row],[Campaign_Name]],'Campaign Metadata'!A:A,'Campaign Metadata'!E:E,"Not Available",0)</f>
        <v>250000</v>
      </c>
      <c r="W151">
        <f>Table1_2[[#This Row],[Engagement]]/Table1_2[[#This Row],[Campaign Budget]]</f>
        <v>2.9399999999999999E-3</v>
      </c>
      <c r="X151">
        <f>_xlfn.XLOOKUP(Table1_2[[#This Row],[Platform]],'Engagement Summary'!B:B,'Engagement Summary'!H:H,"Not Available",0)</f>
        <v>415</v>
      </c>
      <c r="Y151">
        <f>WEEKNUM(Table1_2[[#This Row],[Date]])</f>
        <v>13</v>
      </c>
      <c r="Z151">
        <f>_xlfn.XLOOKUP(Table1_2[[#This Row],[Platform]],'Engagement Summary'!B:B,'Engagement Summary'!G:G,"Notavailable",0)</f>
        <v>26752</v>
      </c>
    </row>
    <row r="152" spans="1:26" x14ac:dyDescent="0.3">
      <c r="A152" t="s">
        <v>312</v>
      </c>
      <c r="B152" t="s">
        <v>27</v>
      </c>
      <c r="C152" s="4">
        <v>45594</v>
      </c>
      <c r="D152" t="s">
        <v>22</v>
      </c>
      <c r="E152" t="s">
        <v>104</v>
      </c>
      <c r="F152">
        <v>2746</v>
      </c>
      <c r="G152">
        <v>156</v>
      </c>
      <c r="H152">
        <v>203</v>
      </c>
      <c r="I152">
        <v>32952</v>
      </c>
      <c r="J152">
        <v>32147</v>
      </c>
      <c r="K152">
        <v>147</v>
      </c>
      <c r="L152" t="s">
        <v>37</v>
      </c>
      <c r="M152" t="s">
        <v>19</v>
      </c>
      <c r="N152" s="4">
        <v>45458</v>
      </c>
      <c r="O152" s="4">
        <v>45488</v>
      </c>
      <c r="P152" t="s">
        <v>637</v>
      </c>
      <c r="Q152">
        <f>Table1_2[[#This Row],[Likes]]+Table1_2[[#This Row],[Shares]]+Table1_2[[#This Row],[Comments]]</f>
        <v>3105</v>
      </c>
      <c r="R152" s="12">
        <f>(Table1_2[[#This Row],[Likes]]+Table1_2[[#This Row],[Shares]]+Table1_2[[#This Row],[Comments]])/Table1_2[[#This Row],[Impressions]]</f>
        <v>9.422796795338674E-2</v>
      </c>
      <c r="S152" s="4">
        <f>_xlfn.XLOOKUP(Table1_2[[#This Row],[Campaign_Name]],'Campaign Metadata'!A:A,'Campaign Metadata'!B:B,"not found",0)</f>
        <v>45458</v>
      </c>
      <c r="T152" s="4">
        <f>_xlfn.XLOOKUP(Table1_2[[#This Row],[Campaign_Name]],'Campaign Metadata'!A:A,'Campaign Metadata'!C:C,"not found",0)</f>
        <v>45488</v>
      </c>
      <c r="U152" t="str">
        <f>IF(AND(Table1_2[[#This Row],[Date]]&gt;=Table1_2[[#This Row],[Campaign Start Date2]],Table1_2[[#This Row],[Date]]&lt;=Table1_2[[#This Row],[Campaign End Date3]]),"During Campaign","Before Campaign")</f>
        <v>Before Campaign</v>
      </c>
      <c r="V152" s="30">
        <f>_xlfn.XLOOKUP(Table1_2[[#This Row],[Campaign_Name]],'Campaign Metadata'!A:A,'Campaign Metadata'!E:E,"Not Available",0)</f>
        <v>150000</v>
      </c>
      <c r="W152">
        <f>Table1_2[[#This Row],[Engagement]]/Table1_2[[#This Row],[Campaign Budget]]</f>
        <v>2.07E-2</v>
      </c>
      <c r="X152">
        <f>_xlfn.XLOOKUP(Table1_2[[#This Row],[Platform]],'Engagement Summary'!B:B,'Engagement Summary'!H:H,"Not Available",0)</f>
        <v>1090</v>
      </c>
      <c r="Y152">
        <f>WEEKNUM(Table1_2[[#This Row],[Date]])</f>
        <v>44</v>
      </c>
      <c r="Z152">
        <f>_xlfn.XLOOKUP(Table1_2[[#This Row],[Platform]],'Engagement Summary'!B:B,'Engagement Summary'!G:G,"Notavailable",0)</f>
        <v>30671</v>
      </c>
    </row>
    <row r="153" spans="1:26" x14ac:dyDescent="0.3">
      <c r="A153" t="s">
        <v>314</v>
      </c>
      <c r="B153" t="s">
        <v>43</v>
      </c>
      <c r="C153" s="4">
        <v>45488</v>
      </c>
      <c r="D153" t="s">
        <v>52</v>
      </c>
      <c r="E153" t="s">
        <v>59</v>
      </c>
      <c r="F153">
        <v>2291</v>
      </c>
      <c r="G153">
        <v>78</v>
      </c>
      <c r="H153">
        <v>485</v>
      </c>
      <c r="I153">
        <v>18328</v>
      </c>
      <c r="J153">
        <v>18101</v>
      </c>
      <c r="K153">
        <v>10</v>
      </c>
      <c r="L153" t="s">
        <v>37</v>
      </c>
      <c r="M153" t="s">
        <v>25</v>
      </c>
      <c r="N153" s="4">
        <v>45566</v>
      </c>
      <c r="O153" s="4">
        <v>45596</v>
      </c>
      <c r="P153" t="s">
        <v>637</v>
      </c>
      <c r="Q153">
        <f>Table1_2[[#This Row],[Likes]]+Table1_2[[#This Row],[Shares]]+Table1_2[[#This Row],[Comments]]</f>
        <v>2854</v>
      </c>
      <c r="R153" s="12">
        <f>(Table1_2[[#This Row],[Likes]]+Table1_2[[#This Row],[Shares]]+Table1_2[[#This Row],[Comments]])/Table1_2[[#This Row],[Impressions]]</f>
        <v>0.15571802706241816</v>
      </c>
      <c r="S153" s="4">
        <f>_xlfn.XLOOKUP(Table1_2[[#This Row],[Campaign_Name]],'Campaign Metadata'!A:A,'Campaign Metadata'!B:B,"not found",0)</f>
        <v>45566</v>
      </c>
      <c r="T153" s="4">
        <f>_xlfn.XLOOKUP(Table1_2[[#This Row],[Campaign_Name]],'Campaign Metadata'!A:A,'Campaign Metadata'!C:C,"not found",0)</f>
        <v>45596</v>
      </c>
      <c r="U153" t="str">
        <f>IF(AND(Table1_2[[#This Row],[Date]]&gt;=Table1_2[[#This Row],[Campaign Start Date2]],Table1_2[[#This Row],[Date]]&lt;=Table1_2[[#This Row],[Campaign End Date3]]),"During Campaign","Before Campaign")</f>
        <v>Before Campaign</v>
      </c>
      <c r="V153" s="30">
        <f>_xlfn.XLOOKUP(Table1_2[[#This Row],[Campaign_Name]],'Campaign Metadata'!A:A,'Campaign Metadata'!E:E,"Not Available",0)</f>
        <v>200000</v>
      </c>
      <c r="W153">
        <f>Table1_2[[#This Row],[Engagement]]/Table1_2[[#This Row],[Campaign Budget]]</f>
        <v>1.427E-2</v>
      </c>
      <c r="X153">
        <f>_xlfn.XLOOKUP(Table1_2[[#This Row],[Platform]],'Engagement Summary'!B:B,'Engagement Summary'!H:H,"Not Available",0)</f>
        <v>1002</v>
      </c>
      <c r="Y153">
        <f>WEEKNUM(Table1_2[[#This Row],[Date]])</f>
        <v>29</v>
      </c>
      <c r="Z153">
        <f>_xlfn.XLOOKUP(Table1_2[[#This Row],[Platform]],'Engagement Summary'!B:B,'Engagement Summary'!G:G,"Notavailable",0)</f>
        <v>9566</v>
      </c>
    </row>
    <row r="154" spans="1:26" x14ac:dyDescent="0.3">
      <c r="A154" t="s">
        <v>314</v>
      </c>
      <c r="B154" t="s">
        <v>43</v>
      </c>
      <c r="C154" s="4">
        <v>45488</v>
      </c>
      <c r="D154" t="s">
        <v>52</v>
      </c>
      <c r="E154" t="s">
        <v>59</v>
      </c>
      <c r="F154">
        <v>2291</v>
      </c>
      <c r="G154">
        <v>78</v>
      </c>
      <c r="H154">
        <v>485</v>
      </c>
      <c r="I154">
        <v>18328</v>
      </c>
      <c r="J154">
        <v>18101</v>
      </c>
      <c r="K154">
        <v>10</v>
      </c>
      <c r="L154" t="s">
        <v>603</v>
      </c>
      <c r="M154" t="s">
        <v>25</v>
      </c>
      <c r="N154" s="4">
        <v>45566</v>
      </c>
      <c r="O154" s="4">
        <v>45596</v>
      </c>
      <c r="P154" t="s">
        <v>637</v>
      </c>
      <c r="Q154">
        <f>Table1_2[[#This Row],[Likes]]+Table1_2[[#This Row],[Shares]]+Table1_2[[#This Row],[Comments]]</f>
        <v>2854</v>
      </c>
      <c r="R154" s="12">
        <f>(Table1_2[[#This Row],[Likes]]+Table1_2[[#This Row],[Shares]]+Table1_2[[#This Row],[Comments]])/Table1_2[[#This Row],[Impressions]]</f>
        <v>0.15571802706241816</v>
      </c>
      <c r="S154" s="4">
        <f>_xlfn.XLOOKUP(Table1_2[[#This Row],[Campaign_Name]],'Campaign Metadata'!A:A,'Campaign Metadata'!B:B,"not found",0)</f>
        <v>45566</v>
      </c>
      <c r="T154" s="4">
        <f>_xlfn.XLOOKUP(Table1_2[[#This Row],[Campaign_Name]],'Campaign Metadata'!A:A,'Campaign Metadata'!C:C,"not found",0)</f>
        <v>45596</v>
      </c>
      <c r="U154" t="str">
        <f>IF(AND(Table1_2[[#This Row],[Date]]&gt;=Table1_2[[#This Row],[Campaign Start Date2]],Table1_2[[#This Row],[Date]]&lt;=Table1_2[[#This Row],[Campaign End Date3]]),"During Campaign","Before Campaign")</f>
        <v>Before Campaign</v>
      </c>
      <c r="V154" s="30">
        <f>_xlfn.XLOOKUP(Table1_2[[#This Row],[Campaign_Name]],'Campaign Metadata'!A:A,'Campaign Metadata'!E:E,"Not Available",0)</f>
        <v>200000</v>
      </c>
      <c r="W154">
        <f>Table1_2[[#This Row],[Engagement]]/Table1_2[[#This Row],[Campaign Budget]]</f>
        <v>1.427E-2</v>
      </c>
      <c r="X154">
        <f>_xlfn.XLOOKUP(Table1_2[[#This Row],[Platform]],'Engagement Summary'!B:B,'Engagement Summary'!H:H,"Not Available",0)</f>
        <v>1002</v>
      </c>
      <c r="Y154">
        <f>WEEKNUM(Table1_2[[#This Row],[Date]])</f>
        <v>29</v>
      </c>
      <c r="Z154">
        <f>_xlfn.XLOOKUP(Table1_2[[#This Row],[Platform]],'Engagement Summary'!B:B,'Engagement Summary'!G:G,"Notavailable",0)</f>
        <v>9566</v>
      </c>
    </row>
    <row r="155" spans="1:26" x14ac:dyDescent="0.3">
      <c r="A155" t="s">
        <v>317</v>
      </c>
      <c r="B155" t="s">
        <v>14</v>
      </c>
      <c r="C155" s="4">
        <v>45535</v>
      </c>
      <c r="D155" t="s">
        <v>52</v>
      </c>
      <c r="E155" t="s">
        <v>132</v>
      </c>
      <c r="F155">
        <v>3170</v>
      </c>
      <c r="G155">
        <v>857</v>
      </c>
      <c r="H155">
        <v>379</v>
      </c>
      <c r="I155">
        <v>19020</v>
      </c>
      <c r="J155">
        <v>18559</v>
      </c>
      <c r="K155">
        <v>240</v>
      </c>
      <c r="L155" t="s">
        <v>62</v>
      </c>
      <c r="M155" t="s">
        <v>617</v>
      </c>
      <c r="N155" s="4">
        <v>0</v>
      </c>
      <c r="O155" s="4">
        <v>0</v>
      </c>
      <c r="P155" t="s">
        <v>637</v>
      </c>
      <c r="Q155">
        <f>Table1_2[[#This Row],[Likes]]+Table1_2[[#This Row],[Shares]]+Table1_2[[#This Row],[Comments]]</f>
        <v>4406</v>
      </c>
      <c r="R155" s="12">
        <f>(Table1_2[[#This Row],[Likes]]+Table1_2[[#This Row],[Shares]]+Table1_2[[#This Row],[Comments]])/Table1_2[[#This Row],[Impressions]]</f>
        <v>0.2316508937960042</v>
      </c>
      <c r="S155" s="4" t="str">
        <f>_xlfn.XLOOKUP(Table1_2[[#This Row],[Campaign_Name]],'Campaign Metadata'!A:A,'Campaign Metadata'!B:B,"not found",0)</f>
        <v>not found</v>
      </c>
      <c r="T155" s="4" t="str">
        <f>_xlfn.XLOOKUP(Table1_2[[#This Row],[Campaign_Name]],'Campaign Metadata'!A:A,'Campaign Metadata'!C:C,"not found",0)</f>
        <v>not found</v>
      </c>
      <c r="U155" t="str">
        <f>IF(AND(Table1_2[[#This Row],[Date]]&gt;=Table1_2[[#This Row],[Campaign Start Date2]],Table1_2[[#This Row],[Date]]&lt;=Table1_2[[#This Row],[Campaign End Date3]]),"During Campaign","Before Campaign")</f>
        <v>Before Campaign</v>
      </c>
      <c r="V155" s="30" t="str">
        <f>_xlfn.XLOOKUP(Table1_2[[#This Row],[Campaign_Name]],'Campaign Metadata'!A:A,'Campaign Metadata'!E:E,"Not Available",0)</f>
        <v>Not Available</v>
      </c>
      <c r="W155" t="e">
        <f>Table1_2[[#This Row],[Engagement]]/Table1_2[[#This Row],[Campaign Budget]]</f>
        <v>#VALUE!</v>
      </c>
      <c r="X155">
        <f>_xlfn.XLOOKUP(Table1_2[[#This Row],[Platform]],'Engagement Summary'!B:B,'Engagement Summary'!H:H,"Not Available",0)</f>
        <v>415</v>
      </c>
      <c r="Y155">
        <f>WEEKNUM(Table1_2[[#This Row],[Date]])</f>
        <v>35</v>
      </c>
      <c r="Z155">
        <f>_xlfn.XLOOKUP(Table1_2[[#This Row],[Platform]],'Engagement Summary'!B:B,'Engagement Summary'!G:G,"Notavailable",0)</f>
        <v>26752</v>
      </c>
    </row>
    <row r="156" spans="1:26" x14ac:dyDescent="0.3">
      <c r="A156" t="s">
        <v>319</v>
      </c>
      <c r="B156" t="s">
        <v>27</v>
      </c>
      <c r="C156" s="4">
        <v>45741</v>
      </c>
      <c r="D156" t="s">
        <v>35</v>
      </c>
      <c r="E156" t="s">
        <v>154</v>
      </c>
      <c r="F156">
        <v>2070</v>
      </c>
      <c r="G156">
        <v>275</v>
      </c>
      <c r="H156">
        <v>386</v>
      </c>
      <c r="I156">
        <v>39330</v>
      </c>
      <c r="J156">
        <v>38627</v>
      </c>
      <c r="K156">
        <v>114</v>
      </c>
      <c r="L156" t="s">
        <v>62</v>
      </c>
      <c r="M156" t="s">
        <v>38</v>
      </c>
      <c r="N156" s="4">
        <v>45717</v>
      </c>
      <c r="O156" s="4">
        <v>45747</v>
      </c>
      <c r="P156" t="s">
        <v>637</v>
      </c>
      <c r="Q156">
        <f>Table1_2[[#This Row],[Likes]]+Table1_2[[#This Row],[Shares]]+Table1_2[[#This Row],[Comments]]</f>
        <v>2731</v>
      </c>
      <c r="R156" s="12">
        <f>(Table1_2[[#This Row],[Likes]]+Table1_2[[#This Row],[Shares]]+Table1_2[[#This Row],[Comments]])/Table1_2[[#This Row],[Impressions]]</f>
        <v>6.9438087973557078E-2</v>
      </c>
      <c r="S156" s="4">
        <f>_xlfn.XLOOKUP(Table1_2[[#This Row],[Campaign_Name]],'Campaign Metadata'!A:A,'Campaign Metadata'!B:B,"not found",0)</f>
        <v>45717</v>
      </c>
      <c r="T156" s="4">
        <f>_xlfn.XLOOKUP(Table1_2[[#This Row],[Campaign_Name]],'Campaign Metadata'!A:A,'Campaign Metadata'!C:C,"not found",0)</f>
        <v>45747</v>
      </c>
      <c r="U156" t="str">
        <f>IF(AND(Table1_2[[#This Row],[Date]]&gt;=Table1_2[[#This Row],[Campaign Start Date2]],Table1_2[[#This Row],[Date]]&lt;=Table1_2[[#This Row],[Campaign End Date3]]),"During Campaign","Before Campaign")</f>
        <v>During Campaign</v>
      </c>
      <c r="V156" s="30">
        <f>_xlfn.XLOOKUP(Table1_2[[#This Row],[Campaign_Name]],'Campaign Metadata'!A:A,'Campaign Metadata'!E:E,"Not Available",0)</f>
        <v>180000</v>
      </c>
      <c r="W156">
        <f>Table1_2[[#This Row],[Engagement]]/Table1_2[[#This Row],[Campaign Budget]]</f>
        <v>1.5172222222222222E-2</v>
      </c>
      <c r="X156">
        <f>_xlfn.XLOOKUP(Table1_2[[#This Row],[Platform]],'Engagement Summary'!B:B,'Engagement Summary'!H:H,"Not Available",0)</f>
        <v>1090</v>
      </c>
      <c r="Y156">
        <f>WEEKNUM(Table1_2[[#This Row],[Date]])</f>
        <v>13</v>
      </c>
      <c r="Z156">
        <f>_xlfn.XLOOKUP(Table1_2[[#This Row],[Platform]],'Engagement Summary'!B:B,'Engagement Summary'!G:G,"Notavailable",0)</f>
        <v>30671</v>
      </c>
    </row>
    <row r="157" spans="1:26" x14ac:dyDescent="0.3">
      <c r="A157" t="s">
        <v>320</v>
      </c>
      <c r="B157" t="s">
        <v>27</v>
      </c>
      <c r="C157" s="4">
        <v>45567</v>
      </c>
      <c r="D157" t="s">
        <v>45</v>
      </c>
      <c r="E157" t="s">
        <v>68</v>
      </c>
      <c r="F157">
        <v>80</v>
      </c>
      <c r="G157">
        <v>362</v>
      </c>
      <c r="H157">
        <v>80</v>
      </c>
      <c r="I157">
        <v>1040</v>
      </c>
      <c r="J157">
        <v>349</v>
      </c>
      <c r="K157">
        <v>117</v>
      </c>
      <c r="L157" t="s">
        <v>30</v>
      </c>
      <c r="M157" t="s">
        <v>31</v>
      </c>
      <c r="N157" s="4">
        <v>45651</v>
      </c>
      <c r="O157" s="4">
        <v>45667</v>
      </c>
      <c r="P157" t="s">
        <v>637</v>
      </c>
      <c r="Q157">
        <f>Table1_2[[#This Row],[Likes]]+Table1_2[[#This Row],[Shares]]+Table1_2[[#This Row],[Comments]]</f>
        <v>522</v>
      </c>
      <c r="R157" s="12">
        <f>(Table1_2[[#This Row],[Likes]]+Table1_2[[#This Row],[Shares]]+Table1_2[[#This Row],[Comments]])/Table1_2[[#This Row],[Impressions]]</f>
        <v>0.50192307692307692</v>
      </c>
      <c r="S157" s="4">
        <f>_xlfn.XLOOKUP(Table1_2[[#This Row],[Campaign_Name]],'Campaign Metadata'!A:A,'Campaign Metadata'!B:B,"not found",0)</f>
        <v>45651</v>
      </c>
      <c r="T157" s="4">
        <f>_xlfn.XLOOKUP(Table1_2[[#This Row],[Campaign_Name]],'Campaign Metadata'!A:A,'Campaign Metadata'!C:C,"not found",0)</f>
        <v>45667</v>
      </c>
      <c r="U157" t="str">
        <f>IF(AND(Table1_2[[#This Row],[Date]]&gt;=Table1_2[[#This Row],[Campaign Start Date2]],Table1_2[[#This Row],[Date]]&lt;=Table1_2[[#This Row],[Campaign End Date3]]),"During Campaign","Before Campaign")</f>
        <v>Before Campaign</v>
      </c>
      <c r="V157" s="30">
        <f>_xlfn.XLOOKUP(Table1_2[[#This Row],[Campaign_Name]],'Campaign Metadata'!A:A,'Campaign Metadata'!E:E,"Not Available",0)</f>
        <v>250000</v>
      </c>
      <c r="W157">
        <f>Table1_2[[#This Row],[Engagement]]/Table1_2[[#This Row],[Campaign Budget]]</f>
        <v>2.088E-3</v>
      </c>
      <c r="X157">
        <f>_xlfn.XLOOKUP(Table1_2[[#This Row],[Platform]],'Engagement Summary'!B:B,'Engagement Summary'!H:H,"Not Available",0)</f>
        <v>1090</v>
      </c>
      <c r="Y157">
        <f>WEEKNUM(Table1_2[[#This Row],[Date]])</f>
        <v>40</v>
      </c>
      <c r="Z157">
        <f>_xlfn.XLOOKUP(Table1_2[[#This Row],[Platform]],'Engagement Summary'!B:B,'Engagement Summary'!G:G,"Notavailable",0)</f>
        <v>30671</v>
      </c>
    </row>
    <row r="158" spans="1:26" x14ac:dyDescent="0.3">
      <c r="A158" t="s">
        <v>321</v>
      </c>
      <c r="B158" t="s">
        <v>27</v>
      </c>
      <c r="C158" s="4">
        <v>45593</v>
      </c>
      <c r="D158" t="s">
        <v>35</v>
      </c>
      <c r="E158" t="s">
        <v>154</v>
      </c>
      <c r="F158">
        <v>4929</v>
      </c>
      <c r="G158">
        <v>749</v>
      </c>
      <c r="H158">
        <v>452</v>
      </c>
      <c r="I158">
        <v>93651</v>
      </c>
      <c r="J158">
        <v>92810</v>
      </c>
      <c r="K158">
        <v>66</v>
      </c>
      <c r="L158" t="s">
        <v>37</v>
      </c>
      <c r="M158" t="s">
        <v>38</v>
      </c>
      <c r="N158" s="4">
        <v>45717</v>
      </c>
      <c r="O158" s="4">
        <v>45747</v>
      </c>
      <c r="P158" t="s">
        <v>637</v>
      </c>
      <c r="Q158">
        <f>Table1_2[[#This Row],[Likes]]+Table1_2[[#This Row],[Shares]]+Table1_2[[#This Row],[Comments]]</f>
        <v>6130</v>
      </c>
      <c r="R158" s="12">
        <f>(Table1_2[[#This Row],[Likes]]+Table1_2[[#This Row],[Shares]]+Table1_2[[#This Row],[Comments]])/Table1_2[[#This Row],[Impressions]]</f>
        <v>6.5455787978772245E-2</v>
      </c>
      <c r="S158" s="4">
        <f>_xlfn.XLOOKUP(Table1_2[[#This Row],[Campaign_Name]],'Campaign Metadata'!A:A,'Campaign Metadata'!B:B,"not found",0)</f>
        <v>45717</v>
      </c>
      <c r="T158" s="4">
        <f>_xlfn.XLOOKUP(Table1_2[[#This Row],[Campaign_Name]],'Campaign Metadata'!A:A,'Campaign Metadata'!C:C,"not found",0)</f>
        <v>45747</v>
      </c>
      <c r="U158" t="str">
        <f>IF(AND(Table1_2[[#This Row],[Date]]&gt;=Table1_2[[#This Row],[Campaign Start Date2]],Table1_2[[#This Row],[Date]]&lt;=Table1_2[[#This Row],[Campaign End Date3]]),"During Campaign","Before Campaign")</f>
        <v>Before Campaign</v>
      </c>
      <c r="V158" s="30">
        <f>_xlfn.XLOOKUP(Table1_2[[#This Row],[Campaign_Name]],'Campaign Metadata'!A:A,'Campaign Metadata'!E:E,"Not Available",0)</f>
        <v>180000</v>
      </c>
      <c r="W158">
        <f>Table1_2[[#This Row],[Engagement]]/Table1_2[[#This Row],[Campaign Budget]]</f>
        <v>3.4055555555555554E-2</v>
      </c>
      <c r="X158">
        <f>_xlfn.XLOOKUP(Table1_2[[#This Row],[Platform]],'Engagement Summary'!B:B,'Engagement Summary'!H:H,"Not Available",0)</f>
        <v>1090</v>
      </c>
      <c r="Y158">
        <f>WEEKNUM(Table1_2[[#This Row],[Date]])</f>
        <v>44</v>
      </c>
      <c r="Z158">
        <f>_xlfn.XLOOKUP(Table1_2[[#This Row],[Platform]],'Engagement Summary'!B:B,'Engagement Summary'!G:G,"Notavailable",0)</f>
        <v>30671</v>
      </c>
    </row>
    <row r="159" spans="1:26" x14ac:dyDescent="0.3">
      <c r="A159" t="s">
        <v>322</v>
      </c>
      <c r="B159" t="s">
        <v>33</v>
      </c>
      <c r="C159" s="4">
        <v>45516</v>
      </c>
      <c r="D159" t="s">
        <v>45</v>
      </c>
      <c r="E159" t="s">
        <v>88</v>
      </c>
      <c r="F159">
        <v>1878</v>
      </c>
      <c r="G159">
        <v>62</v>
      </c>
      <c r="H159">
        <v>179</v>
      </c>
      <c r="I159">
        <v>37560</v>
      </c>
      <c r="J159">
        <v>36874</v>
      </c>
      <c r="K159">
        <v>142</v>
      </c>
      <c r="L159" t="s">
        <v>30</v>
      </c>
      <c r="M159" t="s">
        <v>38</v>
      </c>
      <c r="N159" s="4">
        <v>45717</v>
      </c>
      <c r="O159" s="4">
        <v>45747</v>
      </c>
      <c r="P159" t="s">
        <v>637</v>
      </c>
      <c r="Q159">
        <f>Table1_2[[#This Row],[Likes]]+Table1_2[[#This Row],[Shares]]+Table1_2[[#This Row],[Comments]]</f>
        <v>2119</v>
      </c>
      <c r="R159" s="12">
        <f>(Table1_2[[#This Row],[Likes]]+Table1_2[[#This Row],[Shares]]+Table1_2[[#This Row],[Comments]])/Table1_2[[#This Row],[Impressions]]</f>
        <v>5.6416400425985093E-2</v>
      </c>
      <c r="S159" s="4">
        <f>_xlfn.XLOOKUP(Table1_2[[#This Row],[Campaign_Name]],'Campaign Metadata'!A:A,'Campaign Metadata'!B:B,"not found",0)</f>
        <v>45717</v>
      </c>
      <c r="T159" s="4">
        <f>_xlfn.XLOOKUP(Table1_2[[#This Row],[Campaign_Name]],'Campaign Metadata'!A:A,'Campaign Metadata'!C:C,"not found",0)</f>
        <v>45747</v>
      </c>
      <c r="U159" t="str">
        <f>IF(AND(Table1_2[[#This Row],[Date]]&gt;=Table1_2[[#This Row],[Campaign Start Date2]],Table1_2[[#This Row],[Date]]&lt;=Table1_2[[#This Row],[Campaign End Date3]]),"During Campaign","Before Campaign")</f>
        <v>Before Campaign</v>
      </c>
      <c r="V159" s="30">
        <f>_xlfn.XLOOKUP(Table1_2[[#This Row],[Campaign_Name]],'Campaign Metadata'!A:A,'Campaign Metadata'!E:E,"Not Available",0)</f>
        <v>180000</v>
      </c>
      <c r="W159">
        <f>Table1_2[[#This Row],[Engagement]]/Table1_2[[#This Row],[Campaign Budget]]</f>
        <v>1.1772222222222222E-2</v>
      </c>
      <c r="X159">
        <f>_xlfn.XLOOKUP(Table1_2[[#This Row],[Platform]],'Engagement Summary'!B:B,'Engagement Summary'!H:H,"Not Available",0)</f>
        <v>1047</v>
      </c>
      <c r="Y159">
        <f>WEEKNUM(Table1_2[[#This Row],[Date]])</f>
        <v>33</v>
      </c>
      <c r="Z159">
        <f>_xlfn.XLOOKUP(Table1_2[[#This Row],[Platform]],'Engagement Summary'!B:B,'Engagement Summary'!G:G,"Notavailable",0)</f>
        <v>5904</v>
      </c>
    </row>
    <row r="160" spans="1:26" x14ac:dyDescent="0.3">
      <c r="A160" t="s">
        <v>323</v>
      </c>
      <c r="B160" t="s">
        <v>27</v>
      </c>
      <c r="C160" s="4">
        <v>45448</v>
      </c>
      <c r="D160" t="s">
        <v>16</v>
      </c>
      <c r="E160" t="s">
        <v>29</v>
      </c>
      <c r="F160">
        <v>3065</v>
      </c>
      <c r="G160">
        <v>772</v>
      </c>
      <c r="H160">
        <v>142</v>
      </c>
      <c r="I160">
        <v>18390</v>
      </c>
      <c r="J160">
        <v>17875</v>
      </c>
      <c r="K160">
        <v>200</v>
      </c>
      <c r="L160" t="s">
        <v>37</v>
      </c>
      <c r="M160" t="s">
        <v>617</v>
      </c>
      <c r="N160" s="4">
        <v>0</v>
      </c>
      <c r="O160" s="4">
        <v>0</v>
      </c>
      <c r="P160" t="s">
        <v>637</v>
      </c>
      <c r="Q160">
        <f>Table1_2[[#This Row],[Likes]]+Table1_2[[#This Row],[Shares]]+Table1_2[[#This Row],[Comments]]</f>
        <v>3979</v>
      </c>
      <c r="R160" s="12">
        <f>(Table1_2[[#This Row],[Likes]]+Table1_2[[#This Row],[Shares]]+Table1_2[[#This Row],[Comments]])/Table1_2[[#This Row],[Impressions]]</f>
        <v>0.21636759108210984</v>
      </c>
      <c r="S160" s="4" t="str">
        <f>_xlfn.XLOOKUP(Table1_2[[#This Row],[Campaign_Name]],'Campaign Metadata'!A:A,'Campaign Metadata'!B:B,"not found",0)</f>
        <v>not found</v>
      </c>
      <c r="T160" s="4" t="str">
        <f>_xlfn.XLOOKUP(Table1_2[[#This Row],[Campaign_Name]],'Campaign Metadata'!A:A,'Campaign Metadata'!C:C,"not found",0)</f>
        <v>not found</v>
      </c>
      <c r="U160" t="str">
        <f>IF(AND(Table1_2[[#This Row],[Date]]&gt;=Table1_2[[#This Row],[Campaign Start Date2]],Table1_2[[#This Row],[Date]]&lt;=Table1_2[[#This Row],[Campaign End Date3]]),"During Campaign","Before Campaign")</f>
        <v>Before Campaign</v>
      </c>
      <c r="V160" s="30" t="str">
        <f>_xlfn.XLOOKUP(Table1_2[[#This Row],[Campaign_Name]],'Campaign Metadata'!A:A,'Campaign Metadata'!E:E,"Not Available",0)</f>
        <v>Not Available</v>
      </c>
      <c r="W160" t="e">
        <f>Table1_2[[#This Row],[Engagement]]/Table1_2[[#This Row],[Campaign Budget]]</f>
        <v>#VALUE!</v>
      </c>
      <c r="X160">
        <f>_xlfn.XLOOKUP(Table1_2[[#This Row],[Platform]],'Engagement Summary'!B:B,'Engagement Summary'!H:H,"Not Available",0)</f>
        <v>1090</v>
      </c>
      <c r="Y160">
        <f>WEEKNUM(Table1_2[[#This Row],[Date]])</f>
        <v>23</v>
      </c>
      <c r="Z160">
        <f>_xlfn.XLOOKUP(Table1_2[[#This Row],[Platform]],'Engagement Summary'!B:B,'Engagement Summary'!G:G,"Notavailable",0)</f>
        <v>30671</v>
      </c>
    </row>
    <row r="161" spans="1:26" x14ac:dyDescent="0.3">
      <c r="A161" t="s">
        <v>323</v>
      </c>
      <c r="B161" t="s">
        <v>27</v>
      </c>
      <c r="C161" s="4">
        <v>45448</v>
      </c>
      <c r="D161" t="s">
        <v>16</v>
      </c>
      <c r="E161" t="s">
        <v>29</v>
      </c>
      <c r="F161">
        <v>3065</v>
      </c>
      <c r="G161">
        <v>772</v>
      </c>
      <c r="H161">
        <v>142</v>
      </c>
      <c r="I161">
        <v>18390</v>
      </c>
      <c r="J161">
        <v>17875</v>
      </c>
      <c r="K161">
        <v>200</v>
      </c>
      <c r="L161" t="s">
        <v>615</v>
      </c>
      <c r="M161" t="s">
        <v>617</v>
      </c>
      <c r="N161" s="4">
        <v>0</v>
      </c>
      <c r="O161" s="4">
        <v>0</v>
      </c>
      <c r="P161" t="s">
        <v>637</v>
      </c>
      <c r="Q161">
        <f>Table1_2[[#This Row],[Likes]]+Table1_2[[#This Row],[Shares]]+Table1_2[[#This Row],[Comments]]</f>
        <v>3979</v>
      </c>
      <c r="R161" s="12">
        <f>(Table1_2[[#This Row],[Likes]]+Table1_2[[#This Row],[Shares]]+Table1_2[[#This Row],[Comments]])/Table1_2[[#This Row],[Impressions]]</f>
        <v>0.21636759108210984</v>
      </c>
      <c r="S161" s="4" t="str">
        <f>_xlfn.XLOOKUP(Table1_2[[#This Row],[Campaign_Name]],'Campaign Metadata'!A:A,'Campaign Metadata'!B:B,"not found",0)</f>
        <v>not found</v>
      </c>
      <c r="T161" s="4" t="str">
        <f>_xlfn.XLOOKUP(Table1_2[[#This Row],[Campaign_Name]],'Campaign Metadata'!A:A,'Campaign Metadata'!C:C,"not found",0)</f>
        <v>not found</v>
      </c>
      <c r="U161" t="str">
        <f>IF(AND(Table1_2[[#This Row],[Date]]&gt;=Table1_2[[#This Row],[Campaign Start Date2]],Table1_2[[#This Row],[Date]]&lt;=Table1_2[[#This Row],[Campaign End Date3]]),"During Campaign","Before Campaign")</f>
        <v>Before Campaign</v>
      </c>
      <c r="V161" s="30" t="str">
        <f>_xlfn.XLOOKUP(Table1_2[[#This Row],[Campaign_Name]],'Campaign Metadata'!A:A,'Campaign Metadata'!E:E,"Not Available",0)</f>
        <v>Not Available</v>
      </c>
      <c r="W161" t="e">
        <f>Table1_2[[#This Row],[Engagement]]/Table1_2[[#This Row],[Campaign Budget]]</f>
        <v>#VALUE!</v>
      </c>
      <c r="X161">
        <f>_xlfn.XLOOKUP(Table1_2[[#This Row],[Platform]],'Engagement Summary'!B:B,'Engagement Summary'!H:H,"Not Available",0)</f>
        <v>1090</v>
      </c>
      <c r="Y161">
        <f>WEEKNUM(Table1_2[[#This Row],[Date]])</f>
        <v>23</v>
      </c>
      <c r="Z161">
        <f>_xlfn.XLOOKUP(Table1_2[[#This Row],[Platform]],'Engagement Summary'!B:B,'Engagement Summary'!G:G,"Notavailable",0)</f>
        <v>30671</v>
      </c>
    </row>
    <row r="162" spans="1:26" x14ac:dyDescent="0.3">
      <c r="A162" t="s">
        <v>326</v>
      </c>
      <c r="B162" t="s">
        <v>33</v>
      </c>
      <c r="C162" s="4">
        <v>45586</v>
      </c>
      <c r="D162" t="s">
        <v>16</v>
      </c>
      <c r="E162" t="s">
        <v>82</v>
      </c>
      <c r="F162">
        <v>3256</v>
      </c>
      <c r="G162">
        <v>459</v>
      </c>
      <c r="H162">
        <v>266</v>
      </c>
      <c r="I162">
        <v>26048</v>
      </c>
      <c r="J162">
        <v>25529</v>
      </c>
      <c r="K162">
        <v>143</v>
      </c>
      <c r="L162" t="s">
        <v>30</v>
      </c>
      <c r="M162" t="s">
        <v>25</v>
      </c>
      <c r="N162" s="4">
        <v>45566</v>
      </c>
      <c r="O162" s="4">
        <v>45596</v>
      </c>
      <c r="P162" t="s">
        <v>637</v>
      </c>
      <c r="Q162">
        <f>Table1_2[[#This Row],[Likes]]+Table1_2[[#This Row],[Shares]]+Table1_2[[#This Row],[Comments]]</f>
        <v>3981</v>
      </c>
      <c r="R162" s="12">
        <f>(Table1_2[[#This Row],[Likes]]+Table1_2[[#This Row],[Shares]]+Table1_2[[#This Row],[Comments]])/Table1_2[[#This Row],[Impressions]]</f>
        <v>0.15283323095823095</v>
      </c>
      <c r="S162" s="4">
        <f>_xlfn.XLOOKUP(Table1_2[[#This Row],[Campaign_Name]],'Campaign Metadata'!A:A,'Campaign Metadata'!B:B,"not found",0)</f>
        <v>45566</v>
      </c>
      <c r="T162" s="4">
        <f>_xlfn.XLOOKUP(Table1_2[[#This Row],[Campaign_Name]],'Campaign Metadata'!A:A,'Campaign Metadata'!C:C,"not found",0)</f>
        <v>45596</v>
      </c>
      <c r="U162" t="str">
        <f>IF(AND(Table1_2[[#This Row],[Date]]&gt;=Table1_2[[#This Row],[Campaign Start Date2]],Table1_2[[#This Row],[Date]]&lt;=Table1_2[[#This Row],[Campaign End Date3]]),"During Campaign","Before Campaign")</f>
        <v>During Campaign</v>
      </c>
      <c r="V162" s="30">
        <f>_xlfn.XLOOKUP(Table1_2[[#This Row],[Campaign_Name]],'Campaign Metadata'!A:A,'Campaign Metadata'!E:E,"Not Available",0)</f>
        <v>200000</v>
      </c>
      <c r="W162">
        <f>Table1_2[[#This Row],[Engagement]]/Table1_2[[#This Row],[Campaign Budget]]</f>
        <v>1.9904999999999999E-2</v>
      </c>
      <c r="X162">
        <f>_xlfn.XLOOKUP(Table1_2[[#This Row],[Platform]],'Engagement Summary'!B:B,'Engagement Summary'!H:H,"Not Available",0)</f>
        <v>1047</v>
      </c>
      <c r="Y162">
        <f>WEEKNUM(Table1_2[[#This Row],[Date]])</f>
        <v>43</v>
      </c>
      <c r="Z162">
        <f>_xlfn.XLOOKUP(Table1_2[[#This Row],[Platform]],'Engagement Summary'!B:B,'Engagement Summary'!G:G,"Notavailable",0)</f>
        <v>5904</v>
      </c>
    </row>
    <row r="163" spans="1:26" x14ac:dyDescent="0.3">
      <c r="A163" t="s">
        <v>327</v>
      </c>
      <c r="B163" t="s">
        <v>33</v>
      </c>
      <c r="C163" s="4">
        <v>45762</v>
      </c>
      <c r="D163" t="s">
        <v>74</v>
      </c>
      <c r="E163" t="s">
        <v>85</v>
      </c>
      <c r="F163">
        <v>4133</v>
      </c>
      <c r="G163">
        <v>466</v>
      </c>
      <c r="H163">
        <v>327</v>
      </c>
      <c r="I163">
        <v>24798</v>
      </c>
      <c r="J163">
        <v>24620</v>
      </c>
      <c r="K163">
        <v>176</v>
      </c>
      <c r="L163" t="s">
        <v>37</v>
      </c>
      <c r="M163" t="s">
        <v>38</v>
      </c>
      <c r="N163" s="4">
        <v>45717</v>
      </c>
      <c r="O163" s="4">
        <v>45747</v>
      </c>
      <c r="P163" t="s">
        <v>637</v>
      </c>
      <c r="Q163">
        <f>Table1_2[[#This Row],[Likes]]+Table1_2[[#This Row],[Shares]]+Table1_2[[#This Row],[Comments]]</f>
        <v>4926</v>
      </c>
      <c r="R163" s="12">
        <f>(Table1_2[[#This Row],[Likes]]+Table1_2[[#This Row],[Shares]]+Table1_2[[#This Row],[Comments]])/Table1_2[[#This Row],[Impressions]]</f>
        <v>0.19864505202032423</v>
      </c>
      <c r="S163" s="4">
        <f>_xlfn.XLOOKUP(Table1_2[[#This Row],[Campaign_Name]],'Campaign Metadata'!A:A,'Campaign Metadata'!B:B,"not found",0)</f>
        <v>45717</v>
      </c>
      <c r="T163" s="4">
        <f>_xlfn.XLOOKUP(Table1_2[[#This Row],[Campaign_Name]],'Campaign Metadata'!A:A,'Campaign Metadata'!C:C,"not found",0)</f>
        <v>45747</v>
      </c>
      <c r="U163" t="str">
        <f>IF(AND(Table1_2[[#This Row],[Date]]&gt;=Table1_2[[#This Row],[Campaign Start Date2]],Table1_2[[#This Row],[Date]]&lt;=Table1_2[[#This Row],[Campaign End Date3]]),"During Campaign","Before Campaign")</f>
        <v>Before Campaign</v>
      </c>
      <c r="V163" s="30">
        <f>_xlfn.XLOOKUP(Table1_2[[#This Row],[Campaign_Name]],'Campaign Metadata'!A:A,'Campaign Metadata'!E:E,"Not Available",0)</f>
        <v>180000</v>
      </c>
      <c r="W163">
        <f>Table1_2[[#This Row],[Engagement]]/Table1_2[[#This Row],[Campaign Budget]]</f>
        <v>2.7366666666666668E-2</v>
      </c>
      <c r="X163">
        <f>_xlfn.XLOOKUP(Table1_2[[#This Row],[Platform]],'Engagement Summary'!B:B,'Engagement Summary'!H:H,"Not Available",0)</f>
        <v>1047</v>
      </c>
      <c r="Y163">
        <f>WEEKNUM(Table1_2[[#This Row],[Date]])</f>
        <v>16</v>
      </c>
      <c r="Z163">
        <f>_xlfn.XLOOKUP(Table1_2[[#This Row],[Platform]],'Engagement Summary'!B:B,'Engagement Summary'!G:G,"Notavailable",0)</f>
        <v>5904</v>
      </c>
    </row>
    <row r="164" spans="1:26" x14ac:dyDescent="0.3">
      <c r="A164" t="s">
        <v>328</v>
      </c>
      <c r="B164" t="s">
        <v>14</v>
      </c>
      <c r="C164" s="4">
        <v>45459</v>
      </c>
      <c r="D164" t="s">
        <v>74</v>
      </c>
      <c r="E164" t="s">
        <v>145</v>
      </c>
      <c r="F164">
        <v>1702</v>
      </c>
      <c r="G164">
        <v>750</v>
      </c>
      <c r="H164">
        <v>179</v>
      </c>
      <c r="I164">
        <v>34040</v>
      </c>
      <c r="J164">
        <v>33174</v>
      </c>
      <c r="K164">
        <v>76</v>
      </c>
      <c r="L164" t="s">
        <v>37</v>
      </c>
      <c r="M164" t="s">
        <v>19</v>
      </c>
      <c r="N164" s="4">
        <v>45458</v>
      </c>
      <c r="O164" s="4">
        <v>45488</v>
      </c>
      <c r="P164" t="s">
        <v>637</v>
      </c>
      <c r="Q164">
        <f>Table1_2[[#This Row],[Likes]]+Table1_2[[#This Row],[Shares]]+Table1_2[[#This Row],[Comments]]</f>
        <v>2631</v>
      </c>
      <c r="R164" s="12">
        <f>(Table1_2[[#This Row],[Likes]]+Table1_2[[#This Row],[Shares]]+Table1_2[[#This Row],[Comments]])/Table1_2[[#This Row],[Impressions]]</f>
        <v>7.7291421856639245E-2</v>
      </c>
      <c r="S164" s="4">
        <f>_xlfn.XLOOKUP(Table1_2[[#This Row],[Campaign_Name]],'Campaign Metadata'!A:A,'Campaign Metadata'!B:B,"not found",0)</f>
        <v>45458</v>
      </c>
      <c r="T164" s="4">
        <f>_xlfn.XLOOKUP(Table1_2[[#This Row],[Campaign_Name]],'Campaign Metadata'!A:A,'Campaign Metadata'!C:C,"not found",0)</f>
        <v>45488</v>
      </c>
      <c r="U164" t="str">
        <f>IF(AND(Table1_2[[#This Row],[Date]]&gt;=Table1_2[[#This Row],[Campaign Start Date2]],Table1_2[[#This Row],[Date]]&lt;=Table1_2[[#This Row],[Campaign End Date3]]),"During Campaign","Before Campaign")</f>
        <v>During Campaign</v>
      </c>
      <c r="V164" s="30">
        <f>_xlfn.XLOOKUP(Table1_2[[#This Row],[Campaign_Name]],'Campaign Metadata'!A:A,'Campaign Metadata'!E:E,"Not Available",0)</f>
        <v>150000</v>
      </c>
      <c r="W164">
        <f>Table1_2[[#This Row],[Engagement]]/Table1_2[[#This Row],[Campaign Budget]]</f>
        <v>1.754E-2</v>
      </c>
      <c r="X164">
        <f>_xlfn.XLOOKUP(Table1_2[[#This Row],[Platform]],'Engagement Summary'!B:B,'Engagement Summary'!H:H,"Not Available",0)</f>
        <v>415</v>
      </c>
      <c r="Y164">
        <f>WEEKNUM(Table1_2[[#This Row],[Date]])</f>
        <v>25</v>
      </c>
      <c r="Z164">
        <f>_xlfn.XLOOKUP(Table1_2[[#This Row],[Platform]],'Engagement Summary'!B:B,'Engagement Summary'!G:G,"Notavailable",0)</f>
        <v>26752</v>
      </c>
    </row>
    <row r="165" spans="1:26" x14ac:dyDescent="0.3">
      <c r="A165" t="s">
        <v>330</v>
      </c>
      <c r="B165" t="s">
        <v>27</v>
      </c>
      <c r="C165" s="4">
        <v>45526</v>
      </c>
      <c r="D165" t="s">
        <v>45</v>
      </c>
      <c r="E165" t="s">
        <v>68</v>
      </c>
      <c r="F165">
        <v>4295</v>
      </c>
      <c r="G165">
        <v>853</v>
      </c>
      <c r="H165">
        <v>325</v>
      </c>
      <c r="I165">
        <v>85900</v>
      </c>
      <c r="J165">
        <v>85788</v>
      </c>
      <c r="K165">
        <v>290</v>
      </c>
      <c r="L165" t="s">
        <v>30</v>
      </c>
      <c r="M165" t="s">
        <v>38</v>
      </c>
      <c r="N165" s="4">
        <v>45717</v>
      </c>
      <c r="O165" s="4">
        <v>45747</v>
      </c>
      <c r="P165" t="s">
        <v>637</v>
      </c>
      <c r="Q165">
        <f>Table1_2[[#This Row],[Likes]]+Table1_2[[#This Row],[Shares]]+Table1_2[[#This Row],[Comments]]</f>
        <v>5473</v>
      </c>
      <c r="R165" s="12">
        <f>(Table1_2[[#This Row],[Likes]]+Table1_2[[#This Row],[Shares]]+Table1_2[[#This Row],[Comments]])/Table1_2[[#This Row],[Impressions]]</f>
        <v>6.3713620488940623E-2</v>
      </c>
      <c r="S165" s="4">
        <f>_xlfn.XLOOKUP(Table1_2[[#This Row],[Campaign_Name]],'Campaign Metadata'!A:A,'Campaign Metadata'!B:B,"not found",0)</f>
        <v>45717</v>
      </c>
      <c r="T165" s="4">
        <f>_xlfn.XLOOKUP(Table1_2[[#This Row],[Campaign_Name]],'Campaign Metadata'!A:A,'Campaign Metadata'!C:C,"not found",0)</f>
        <v>45747</v>
      </c>
      <c r="U165" t="str">
        <f>IF(AND(Table1_2[[#This Row],[Date]]&gt;=Table1_2[[#This Row],[Campaign Start Date2]],Table1_2[[#This Row],[Date]]&lt;=Table1_2[[#This Row],[Campaign End Date3]]),"During Campaign","Before Campaign")</f>
        <v>Before Campaign</v>
      </c>
      <c r="V165" s="30">
        <f>_xlfn.XLOOKUP(Table1_2[[#This Row],[Campaign_Name]],'Campaign Metadata'!A:A,'Campaign Metadata'!E:E,"Not Available",0)</f>
        <v>180000</v>
      </c>
      <c r="W165">
        <f>Table1_2[[#This Row],[Engagement]]/Table1_2[[#This Row],[Campaign Budget]]</f>
        <v>3.0405555555555557E-2</v>
      </c>
      <c r="X165">
        <f>_xlfn.XLOOKUP(Table1_2[[#This Row],[Platform]],'Engagement Summary'!B:B,'Engagement Summary'!H:H,"Not Available",0)</f>
        <v>1090</v>
      </c>
      <c r="Y165">
        <f>WEEKNUM(Table1_2[[#This Row],[Date]])</f>
        <v>34</v>
      </c>
      <c r="Z165">
        <f>_xlfn.XLOOKUP(Table1_2[[#This Row],[Platform]],'Engagement Summary'!B:B,'Engagement Summary'!G:G,"Notavailable",0)</f>
        <v>30671</v>
      </c>
    </row>
    <row r="166" spans="1:26" x14ac:dyDescent="0.3">
      <c r="A166" t="s">
        <v>332</v>
      </c>
      <c r="B166" t="s">
        <v>33</v>
      </c>
      <c r="C166" s="4">
        <v>45499</v>
      </c>
      <c r="D166" t="s">
        <v>52</v>
      </c>
      <c r="E166" t="s">
        <v>215</v>
      </c>
      <c r="F166">
        <v>3559</v>
      </c>
      <c r="G166">
        <v>59</v>
      </c>
      <c r="H166">
        <v>289</v>
      </c>
      <c r="I166">
        <v>35590</v>
      </c>
      <c r="J166">
        <v>35105</v>
      </c>
      <c r="K166">
        <v>122</v>
      </c>
      <c r="L166" t="s">
        <v>37</v>
      </c>
      <c r="M166" t="s">
        <v>19</v>
      </c>
      <c r="N166" s="4">
        <v>45458</v>
      </c>
      <c r="O166" s="4">
        <v>45488</v>
      </c>
      <c r="P166" t="s">
        <v>637</v>
      </c>
      <c r="Q166">
        <f>Table1_2[[#This Row],[Likes]]+Table1_2[[#This Row],[Shares]]+Table1_2[[#This Row],[Comments]]</f>
        <v>3907</v>
      </c>
      <c r="R166" s="12">
        <f>(Table1_2[[#This Row],[Likes]]+Table1_2[[#This Row],[Shares]]+Table1_2[[#This Row],[Comments]])/Table1_2[[#This Row],[Impressions]]</f>
        <v>0.10977802753582468</v>
      </c>
      <c r="S166" s="4">
        <f>_xlfn.XLOOKUP(Table1_2[[#This Row],[Campaign_Name]],'Campaign Metadata'!A:A,'Campaign Metadata'!B:B,"not found",0)</f>
        <v>45458</v>
      </c>
      <c r="T166" s="4">
        <f>_xlfn.XLOOKUP(Table1_2[[#This Row],[Campaign_Name]],'Campaign Metadata'!A:A,'Campaign Metadata'!C:C,"not found",0)</f>
        <v>45488</v>
      </c>
      <c r="U166" t="str">
        <f>IF(AND(Table1_2[[#This Row],[Date]]&gt;=Table1_2[[#This Row],[Campaign Start Date2]],Table1_2[[#This Row],[Date]]&lt;=Table1_2[[#This Row],[Campaign End Date3]]),"During Campaign","Before Campaign")</f>
        <v>Before Campaign</v>
      </c>
      <c r="V166" s="30">
        <f>_xlfn.XLOOKUP(Table1_2[[#This Row],[Campaign_Name]],'Campaign Metadata'!A:A,'Campaign Metadata'!E:E,"Not Available",0)</f>
        <v>150000</v>
      </c>
      <c r="W166">
        <f>Table1_2[[#This Row],[Engagement]]/Table1_2[[#This Row],[Campaign Budget]]</f>
        <v>2.6046666666666666E-2</v>
      </c>
      <c r="X166">
        <f>_xlfn.XLOOKUP(Table1_2[[#This Row],[Platform]],'Engagement Summary'!B:B,'Engagement Summary'!H:H,"Not Available",0)</f>
        <v>1047</v>
      </c>
      <c r="Y166">
        <f>WEEKNUM(Table1_2[[#This Row],[Date]])</f>
        <v>30</v>
      </c>
      <c r="Z166">
        <f>_xlfn.XLOOKUP(Table1_2[[#This Row],[Platform]],'Engagement Summary'!B:B,'Engagement Summary'!G:G,"Notavailable",0)</f>
        <v>5904</v>
      </c>
    </row>
    <row r="167" spans="1:26" x14ac:dyDescent="0.3">
      <c r="A167" t="s">
        <v>333</v>
      </c>
      <c r="B167" t="s">
        <v>43</v>
      </c>
      <c r="C167" s="4">
        <v>45769</v>
      </c>
      <c r="D167" t="s">
        <v>52</v>
      </c>
      <c r="E167" t="s">
        <v>59</v>
      </c>
      <c r="F167">
        <v>4804</v>
      </c>
      <c r="G167">
        <v>550</v>
      </c>
      <c r="H167">
        <v>270</v>
      </c>
      <c r="I167">
        <v>28824</v>
      </c>
      <c r="J167">
        <v>28370</v>
      </c>
      <c r="K167">
        <v>47</v>
      </c>
      <c r="L167" t="s">
        <v>37</v>
      </c>
      <c r="M167" t="s">
        <v>38</v>
      </c>
      <c r="N167" s="4">
        <v>45717</v>
      </c>
      <c r="O167" s="4">
        <v>45747</v>
      </c>
      <c r="P167" t="s">
        <v>637</v>
      </c>
      <c r="Q167">
        <f>Table1_2[[#This Row],[Likes]]+Table1_2[[#This Row],[Shares]]+Table1_2[[#This Row],[Comments]]</f>
        <v>5624</v>
      </c>
      <c r="R167" s="12">
        <f>(Table1_2[[#This Row],[Likes]]+Table1_2[[#This Row],[Shares]]+Table1_2[[#This Row],[Comments]])/Table1_2[[#This Row],[Impressions]]</f>
        <v>0.19511518179295032</v>
      </c>
      <c r="S167" s="4">
        <f>_xlfn.XLOOKUP(Table1_2[[#This Row],[Campaign_Name]],'Campaign Metadata'!A:A,'Campaign Metadata'!B:B,"not found",0)</f>
        <v>45717</v>
      </c>
      <c r="T167" s="4">
        <f>_xlfn.XLOOKUP(Table1_2[[#This Row],[Campaign_Name]],'Campaign Metadata'!A:A,'Campaign Metadata'!C:C,"not found",0)</f>
        <v>45747</v>
      </c>
      <c r="U167" t="str">
        <f>IF(AND(Table1_2[[#This Row],[Date]]&gt;=Table1_2[[#This Row],[Campaign Start Date2]],Table1_2[[#This Row],[Date]]&lt;=Table1_2[[#This Row],[Campaign End Date3]]),"During Campaign","Before Campaign")</f>
        <v>Before Campaign</v>
      </c>
      <c r="V167" s="30">
        <f>_xlfn.XLOOKUP(Table1_2[[#This Row],[Campaign_Name]],'Campaign Metadata'!A:A,'Campaign Metadata'!E:E,"Not Available",0)</f>
        <v>180000</v>
      </c>
      <c r="W167">
        <f>Table1_2[[#This Row],[Engagement]]/Table1_2[[#This Row],[Campaign Budget]]</f>
        <v>3.1244444444444443E-2</v>
      </c>
      <c r="X167">
        <f>_xlfn.XLOOKUP(Table1_2[[#This Row],[Platform]],'Engagement Summary'!B:B,'Engagement Summary'!H:H,"Not Available",0)</f>
        <v>1002</v>
      </c>
      <c r="Y167">
        <f>WEEKNUM(Table1_2[[#This Row],[Date]])</f>
        <v>17</v>
      </c>
      <c r="Z167">
        <f>_xlfn.XLOOKUP(Table1_2[[#This Row],[Platform]],'Engagement Summary'!B:B,'Engagement Summary'!G:G,"Notavailable",0)</f>
        <v>9566</v>
      </c>
    </row>
    <row r="168" spans="1:26" x14ac:dyDescent="0.3">
      <c r="A168" t="s">
        <v>335</v>
      </c>
      <c r="B168" t="s">
        <v>14</v>
      </c>
      <c r="C168" s="4">
        <v>45658</v>
      </c>
      <c r="D168" t="s">
        <v>74</v>
      </c>
      <c r="E168" t="s">
        <v>145</v>
      </c>
      <c r="F168">
        <v>754</v>
      </c>
      <c r="G168">
        <v>197</v>
      </c>
      <c r="H168">
        <v>257</v>
      </c>
      <c r="I168">
        <v>6786</v>
      </c>
      <c r="J168">
        <v>6221</v>
      </c>
      <c r="K168">
        <v>212</v>
      </c>
      <c r="L168" t="s">
        <v>30</v>
      </c>
      <c r="M168" t="s">
        <v>31</v>
      </c>
      <c r="N168" s="4">
        <v>45651</v>
      </c>
      <c r="O168" s="4">
        <v>45667</v>
      </c>
      <c r="P168" t="s">
        <v>637</v>
      </c>
      <c r="Q168">
        <f>Table1_2[[#This Row],[Likes]]+Table1_2[[#This Row],[Shares]]+Table1_2[[#This Row],[Comments]]</f>
        <v>1208</v>
      </c>
      <c r="R168" s="12">
        <f>(Table1_2[[#This Row],[Likes]]+Table1_2[[#This Row],[Shares]]+Table1_2[[#This Row],[Comments]])/Table1_2[[#This Row],[Impressions]]</f>
        <v>0.17801355732390214</v>
      </c>
      <c r="S168" s="4">
        <f>_xlfn.XLOOKUP(Table1_2[[#This Row],[Campaign_Name]],'Campaign Metadata'!A:A,'Campaign Metadata'!B:B,"not found",0)</f>
        <v>45651</v>
      </c>
      <c r="T168" s="4">
        <f>_xlfn.XLOOKUP(Table1_2[[#This Row],[Campaign_Name]],'Campaign Metadata'!A:A,'Campaign Metadata'!C:C,"not found",0)</f>
        <v>45667</v>
      </c>
      <c r="U168" t="str">
        <f>IF(AND(Table1_2[[#This Row],[Date]]&gt;=Table1_2[[#This Row],[Campaign Start Date2]],Table1_2[[#This Row],[Date]]&lt;=Table1_2[[#This Row],[Campaign End Date3]]),"During Campaign","Before Campaign")</f>
        <v>During Campaign</v>
      </c>
      <c r="V168" s="30">
        <f>_xlfn.XLOOKUP(Table1_2[[#This Row],[Campaign_Name]],'Campaign Metadata'!A:A,'Campaign Metadata'!E:E,"Not Available",0)</f>
        <v>250000</v>
      </c>
      <c r="W168">
        <f>Table1_2[[#This Row],[Engagement]]/Table1_2[[#This Row],[Campaign Budget]]</f>
        <v>4.8320000000000004E-3</v>
      </c>
      <c r="X168">
        <f>_xlfn.XLOOKUP(Table1_2[[#This Row],[Platform]],'Engagement Summary'!B:B,'Engagement Summary'!H:H,"Not Available",0)</f>
        <v>415</v>
      </c>
      <c r="Y168">
        <f>WEEKNUM(Table1_2[[#This Row],[Date]])</f>
        <v>1</v>
      </c>
      <c r="Z168">
        <f>_xlfn.XLOOKUP(Table1_2[[#This Row],[Platform]],'Engagement Summary'!B:B,'Engagement Summary'!G:G,"Notavailable",0)</f>
        <v>26752</v>
      </c>
    </row>
    <row r="169" spans="1:26" x14ac:dyDescent="0.3">
      <c r="A169" t="s">
        <v>337</v>
      </c>
      <c r="B169" t="s">
        <v>33</v>
      </c>
      <c r="C169" s="4">
        <v>45574</v>
      </c>
      <c r="D169" t="s">
        <v>45</v>
      </c>
      <c r="E169" t="s">
        <v>88</v>
      </c>
      <c r="F169">
        <v>985</v>
      </c>
      <c r="G169">
        <v>932</v>
      </c>
      <c r="H169">
        <v>287</v>
      </c>
      <c r="I169">
        <v>6895</v>
      </c>
      <c r="J169">
        <v>6757</v>
      </c>
      <c r="K169">
        <v>64</v>
      </c>
      <c r="L169" t="s">
        <v>62</v>
      </c>
      <c r="M169" t="s">
        <v>38</v>
      </c>
      <c r="N169" s="4">
        <v>45717</v>
      </c>
      <c r="O169" s="4">
        <v>45747</v>
      </c>
      <c r="P169" t="s">
        <v>637</v>
      </c>
      <c r="Q169">
        <f>Table1_2[[#This Row],[Likes]]+Table1_2[[#This Row],[Shares]]+Table1_2[[#This Row],[Comments]]</f>
        <v>2204</v>
      </c>
      <c r="R169" s="12">
        <f>(Table1_2[[#This Row],[Likes]]+Table1_2[[#This Row],[Shares]]+Table1_2[[#This Row],[Comments]])/Table1_2[[#This Row],[Impressions]]</f>
        <v>0.31965192168237855</v>
      </c>
      <c r="S169" s="4">
        <f>_xlfn.XLOOKUP(Table1_2[[#This Row],[Campaign_Name]],'Campaign Metadata'!A:A,'Campaign Metadata'!B:B,"not found",0)</f>
        <v>45717</v>
      </c>
      <c r="T169" s="4">
        <f>_xlfn.XLOOKUP(Table1_2[[#This Row],[Campaign_Name]],'Campaign Metadata'!A:A,'Campaign Metadata'!C:C,"not found",0)</f>
        <v>45747</v>
      </c>
      <c r="U169" t="str">
        <f>IF(AND(Table1_2[[#This Row],[Date]]&gt;=Table1_2[[#This Row],[Campaign Start Date2]],Table1_2[[#This Row],[Date]]&lt;=Table1_2[[#This Row],[Campaign End Date3]]),"During Campaign","Before Campaign")</f>
        <v>Before Campaign</v>
      </c>
      <c r="V169" s="30">
        <f>_xlfn.XLOOKUP(Table1_2[[#This Row],[Campaign_Name]],'Campaign Metadata'!A:A,'Campaign Metadata'!E:E,"Not Available",0)</f>
        <v>180000</v>
      </c>
      <c r="W169">
        <f>Table1_2[[#This Row],[Engagement]]/Table1_2[[#This Row],[Campaign Budget]]</f>
        <v>1.2244444444444445E-2</v>
      </c>
      <c r="X169">
        <f>_xlfn.XLOOKUP(Table1_2[[#This Row],[Platform]],'Engagement Summary'!B:B,'Engagement Summary'!H:H,"Not Available",0)</f>
        <v>1047</v>
      </c>
      <c r="Y169">
        <f>WEEKNUM(Table1_2[[#This Row],[Date]])</f>
        <v>41</v>
      </c>
      <c r="Z169">
        <f>_xlfn.XLOOKUP(Table1_2[[#This Row],[Platform]],'Engagement Summary'!B:B,'Engagement Summary'!G:G,"Notavailable",0)</f>
        <v>5904</v>
      </c>
    </row>
    <row r="170" spans="1:26" x14ac:dyDescent="0.3">
      <c r="A170" t="s">
        <v>338</v>
      </c>
      <c r="B170" t="s">
        <v>27</v>
      </c>
      <c r="C170" s="4">
        <v>45647</v>
      </c>
      <c r="D170" t="s">
        <v>52</v>
      </c>
      <c r="E170" t="s">
        <v>53</v>
      </c>
      <c r="F170">
        <v>2283</v>
      </c>
      <c r="G170">
        <v>210</v>
      </c>
      <c r="H170">
        <v>130</v>
      </c>
      <c r="I170">
        <v>22830</v>
      </c>
      <c r="J170">
        <v>22617</v>
      </c>
      <c r="K170">
        <v>143</v>
      </c>
      <c r="L170" t="s">
        <v>62</v>
      </c>
      <c r="M170" t="s">
        <v>25</v>
      </c>
      <c r="N170" s="4">
        <v>45566</v>
      </c>
      <c r="O170" s="4">
        <v>45596</v>
      </c>
      <c r="P170" t="s">
        <v>637</v>
      </c>
      <c r="Q170">
        <f>Table1_2[[#This Row],[Likes]]+Table1_2[[#This Row],[Shares]]+Table1_2[[#This Row],[Comments]]</f>
        <v>2623</v>
      </c>
      <c r="R170" s="12">
        <f>(Table1_2[[#This Row],[Likes]]+Table1_2[[#This Row],[Shares]]+Table1_2[[#This Row],[Comments]])/Table1_2[[#This Row],[Impressions]]</f>
        <v>0.11489268506351293</v>
      </c>
      <c r="S170" s="4">
        <f>_xlfn.XLOOKUP(Table1_2[[#This Row],[Campaign_Name]],'Campaign Metadata'!A:A,'Campaign Metadata'!B:B,"not found",0)</f>
        <v>45566</v>
      </c>
      <c r="T170" s="4">
        <f>_xlfn.XLOOKUP(Table1_2[[#This Row],[Campaign_Name]],'Campaign Metadata'!A:A,'Campaign Metadata'!C:C,"not found",0)</f>
        <v>45596</v>
      </c>
      <c r="U170" t="str">
        <f>IF(AND(Table1_2[[#This Row],[Date]]&gt;=Table1_2[[#This Row],[Campaign Start Date2]],Table1_2[[#This Row],[Date]]&lt;=Table1_2[[#This Row],[Campaign End Date3]]),"During Campaign","Before Campaign")</f>
        <v>Before Campaign</v>
      </c>
      <c r="V170" s="30">
        <f>_xlfn.XLOOKUP(Table1_2[[#This Row],[Campaign_Name]],'Campaign Metadata'!A:A,'Campaign Metadata'!E:E,"Not Available",0)</f>
        <v>200000</v>
      </c>
      <c r="W170">
        <f>Table1_2[[#This Row],[Engagement]]/Table1_2[[#This Row],[Campaign Budget]]</f>
        <v>1.3115E-2</v>
      </c>
      <c r="X170">
        <f>_xlfn.XLOOKUP(Table1_2[[#This Row],[Platform]],'Engagement Summary'!B:B,'Engagement Summary'!H:H,"Not Available",0)</f>
        <v>1090</v>
      </c>
      <c r="Y170">
        <f>WEEKNUM(Table1_2[[#This Row],[Date]])</f>
        <v>51</v>
      </c>
      <c r="Z170">
        <f>_xlfn.XLOOKUP(Table1_2[[#This Row],[Platform]],'Engagement Summary'!B:B,'Engagement Summary'!G:G,"Notavailable",0)</f>
        <v>30671</v>
      </c>
    </row>
    <row r="171" spans="1:26" x14ac:dyDescent="0.3">
      <c r="A171" t="s">
        <v>340</v>
      </c>
      <c r="B171" t="s">
        <v>43</v>
      </c>
      <c r="C171" s="4">
        <v>45587</v>
      </c>
      <c r="D171" t="s">
        <v>45</v>
      </c>
      <c r="E171" t="s">
        <v>46</v>
      </c>
      <c r="F171">
        <v>3352</v>
      </c>
      <c r="G171">
        <v>941</v>
      </c>
      <c r="H171">
        <v>482</v>
      </c>
      <c r="I171">
        <v>43576</v>
      </c>
      <c r="J171">
        <v>43338</v>
      </c>
      <c r="K171">
        <v>240</v>
      </c>
      <c r="L171" t="s">
        <v>62</v>
      </c>
      <c r="M171" t="s">
        <v>25</v>
      </c>
      <c r="N171" s="4">
        <v>45566</v>
      </c>
      <c r="O171" s="4">
        <v>45596</v>
      </c>
      <c r="P171" t="s">
        <v>637</v>
      </c>
      <c r="Q171">
        <f>Table1_2[[#This Row],[Likes]]+Table1_2[[#This Row],[Shares]]+Table1_2[[#This Row],[Comments]]</f>
        <v>4775</v>
      </c>
      <c r="R171" s="12">
        <f>(Table1_2[[#This Row],[Likes]]+Table1_2[[#This Row],[Shares]]+Table1_2[[#This Row],[Comments]])/Table1_2[[#This Row],[Impressions]]</f>
        <v>0.1095786671562328</v>
      </c>
      <c r="S171" s="4">
        <f>_xlfn.XLOOKUP(Table1_2[[#This Row],[Campaign_Name]],'Campaign Metadata'!A:A,'Campaign Metadata'!B:B,"not found",0)</f>
        <v>45566</v>
      </c>
      <c r="T171" s="4">
        <f>_xlfn.XLOOKUP(Table1_2[[#This Row],[Campaign_Name]],'Campaign Metadata'!A:A,'Campaign Metadata'!C:C,"not found",0)</f>
        <v>45596</v>
      </c>
      <c r="U171" t="str">
        <f>IF(AND(Table1_2[[#This Row],[Date]]&gt;=Table1_2[[#This Row],[Campaign Start Date2]],Table1_2[[#This Row],[Date]]&lt;=Table1_2[[#This Row],[Campaign End Date3]]),"During Campaign","Before Campaign")</f>
        <v>During Campaign</v>
      </c>
      <c r="V171" s="30">
        <f>_xlfn.XLOOKUP(Table1_2[[#This Row],[Campaign_Name]],'Campaign Metadata'!A:A,'Campaign Metadata'!E:E,"Not Available",0)</f>
        <v>200000</v>
      </c>
      <c r="W171">
        <f>Table1_2[[#This Row],[Engagement]]/Table1_2[[#This Row],[Campaign Budget]]</f>
        <v>2.3875E-2</v>
      </c>
      <c r="X171">
        <f>_xlfn.XLOOKUP(Table1_2[[#This Row],[Platform]],'Engagement Summary'!B:B,'Engagement Summary'!H:H,"Not Available",0)</f>
        <v>1002</v>
      </c>
      <c r="Y171">
        <f>WEEKNUM(Table1_2[[#This Row],[Date]])</f>
        <v>43</v>
      </c>
      <c r="Z171">
        <f>_xlfn.XLOOKUP(Table1_2[[#This Row],[Platform]],'Engagement Summary'!B:B,'Engagement Summary'!G:G,"Notavailable",0)</f>
        <v>9566</v>
      </c>
    </row>
    <row r="172" spans="1:26" x14ac:dyDescent="0.3">
      <c r="A172" t="s">
        <v>342</v>
      </c>
      <c r="B172" t="s">
        <v>27</v>
      </c>
      <c r="C172" s="4">
        <v>45496</v>
      </c>
      <c r="D172" t="s">
        <v>35</v>
      </c>
      <c r="E172" t="s">
        <v>154</v>
      </c>
      <c r="F172">
        <v>4775</v>
      </c>
      <c r="G172">
        <v>173</v>
      </c>
      <c r="H172">
        <v>206</v>
      </c>
      <c r="I172">
        <v>47750</v>
      </c>
      <c r="J172">
        <v>47544</v>
      </c>
      <c r="K172">
        <v>187</v>
      </c>
      <c r="L172" t="s">
        <v>62</v>
      </c>
      <c r="M172" t="s">
        <v>25</v>
      </c>
      <c r="N172" s="4">
        <v>45566</v>
      </c>
      <c r="O172" s="4">
        <v>45596</v>
      </c>
      <c r="P172" t="s">
        <v>637</v>
      </c>
      <c r="Q172">
        <f>Table1_2[[#This Row],[Likes]]+Table1_2[[#This Row],[Shares]]+Table1_2[[#This Row],[Comments]]</f>
        <v>5154</v>
      </c>
      <c r="R172" s="12">
        <f>(Table1_2[[#This Row],[Likes]]+Table1_2[[#This Row],[Shares]]+Table1_2[[#This Row],[Comments]])/Table1_2[[#This Row],[Impressions]]</f>
        <v>0.10793717277486911</v>
      </c>
      <c r="S172" s="4">
        <f>_xlfn.XLOOKUP(Table1_2[[#This Row],[Campaign_Name]],'Campaign Metadata'!A:A,'Campaign Metadata'!B:B,"not found",0)</f>
        <v>45566</v>
      </c>
      <c r="T172" s="4">
        <f>_xlfn.XLOOKUP(Table1_2[[#This Row],[Campaign_Name]],'Campaign Metadata'!A:A,'Campaign Metadata'!C:C,"not found",0)</f>
        <v>45596</v>
      </c>
      <c r="U172" t="str">
        <f>IF(AND(Table1_2[[#This Row],[Date]]&gt;=Table1_2[[#This Row],[Campaign Start Date2]],Table1_2[[#This Row],[Date]]&lt;=Table1_2[[#This Row],[Campaign End Date3]]),"During Campaign","Before Campaign")</f>
        <v>Before Campaign</v>
      </c>
      <c r="V172" s="30">
        <f>_xlfn.XLOOKUP(Table1_2[[#This Row],[Campaign_Name]],'Campaign Metadata'!A:A,'Campaign Metadata'!E:E,"Not Available",0)</f>
        <v>200000</v>
      </c>
      <c r="W172">
        <f>Table1_2[[#This Row],[Engagement]]/Table1_2[[#This Row],[Campaign Budget]]</f>
        <v>2.5770000000000001E-2</v>
      </c>
      <c r="X172">
        <f>_xlfn.XLOOKUP(Table1_2[[#This Row],[Platform]],'Engagement Summary'!B:B,'Engagement Summary'!H:H,"Not Available",0)</f>
        <v>1090</v>
      </c>
      <c r="Y172">
        <f>WEEKNUM(Table1_2[[#This Row],[Date]])</f>
        <v>30</v>
      </c>
      <c r="Z172">
        <f>_xlfn.XLOOKUP(Table1_2[[#This Row],[Platform]],'Engagement Summary'!B:B,'Engagement Summary'!G:G,"Notavailable",0)</f>
        <v>30671</v>
      </c>
    </row>
    <row r="173" spans="1:26" x14ac:dyDescent="0.3">
      <c r="A173" t="s">
        <v>344</v>
      </c>
      <c r="B173" t="s">
        <v>33</v>
      </c>
      <c r="C173" s="4">
        <v>45515</v>
      </c>
      <c r="D173" t="s">
        <v>35</v>
      </c>
      <c r="E173" t="s">
        <v>36</v>
      </c>
      <c r="F173">
        <v>1762</v>
      </c>
      <c r="G173">
        <v>405</v>
      </c>
      <c r="H173">
        <v>423</v>
      </c>
      <c r="I173">
        <v>22906</v>
      </c>
      <c r="J173">
        <v>21925</v>
      </c>
      <c r="K173">
        <v>25</v>
      </c>
      <c r="L173" t="s">
        <v>30</v>
      </c>
      <c r="M173" t="s">
        <v>19</v>
      </c>
      <c r="N173" s="4">
        <v>45458</v>
      </c>
      <c r="O173" s="4">
        <v>45488</v>
      </c>
      <c r="P173" t="s">
        <v>637</v>
      </c>
      <c r="Q173">
        <f>Table1_2[[#This Row],[Likes]]+Table1_2[[#This Row],[Shares]]+Table1_2[[#This Row],[Comments]]</f>
        <v>2590</v>
      </c>
      <c r="R173" s="12">
        <f>(Table1_2[[#This Row],[Likes]]+Table1_2[[#This Row],[Shares]]+Table1_2[[#This Row],[Comments]])/Table1_2[[#This Row],[Impressions]]</f>
        <v>0.11307081114118571</v>
      </c>
      <c r="S173" s="4">
        <f>_xlfn.XLOOKUP(Table1_2[[#This Row],[Campaign_Name]],'Campaign Metadata'!A:A,'Campaign Metadata'!B:B,"not found",0)</f>
        <v>45458</v>
      </c>
      <c r="T173" s="4">
        <f>_xlfn.XLOOKUP(Table1_2[[#This Row],[Campaign_Name]],'Campaign Metadata'!A:A,'Campaign Metadata'!C:C,"not found",0)</f>
        <v>45488</v>
      </c>
      <c r="U173" t="str">
        <f>IF(AND(Table1_2[[#This Row],[Date]]&gt;=Table1_2[[#This Row],[Campaign Start Date2]],Table1_2[[#This Row],[Date]]&lt;=Table1_2[[#This Row],[Campaign End Date3]]),"During Campaign","Before Campaign")</f>
        <v>Before Campaign</v>
      </c>
      <c r="V173" s="30">
        <f>_xlfn.XLOOKUP(Table1_2[[#This Row],[Campaign_Name]],'Campaign Metadata'!A:A,'Campaign Metadata'!E:E,"Not Available",0)</f>
        <v>150000</v>
      </c>
      <c r="W173">
        <f>Table1_2[[#This Row],[Engagement]]/Table1_2[[#This Row],[Campaign Budget]]</f>
        <v>1.7266666666666666E-2</v>
      </c>
      <c r="X173">
        <f>_xlfn.XLOOKUP(Table1_2[[#This Row],[Platform]],'Engagement Summary'!B:B,'Engagement Summary'!H:H,"Not Available",0)</f>
        <v>1047</v>
      </c>
      <c r="Y173">
        <f>WEEKNUM(Table1_2[[#This Row],[Date]])</f>
        <v>33</v>
      </c>
      <c r="Z173">
        <f>_xlfn.XLOOKUP(Table1_2[[#This Row],[Platform]],'Engagement Summary'!B:B,'Engagement Summary'!G:G,"Notavailable",0)</f>
        <v>5904</v>
      </c>
    </row>
    <row r="174" spans="1:26" x14ac:dyDescent="0.3">
      <c r="A174" t="s">
        <v>346</v>
      </c>
      <c r="B174" t="s">
        <v>43</v>
      </c>
      <c r="C174" s="4">
        <v>45621</v>
      </c>
      <c r="D174" t="s">
        <v>35</v>
      </c>
      <c r="E174" t="s">
        <v>71</v>
      </c>
      <c r="F174">
        <v>2120</v>
      </c>
      <c r="G174">
        <v>158</v>
      </c>
      <c r="H174">
        <v>488</v>
      </c>
      <c r="I174">
        <v>12720</v>
      </c>
      <c r="J174">
        <v>12085</v>
      </c>
      <c r="K174">
        <v>17</v>
      </c>
      <c r="L174" t="s">
        <v>62</v>
      </c>
      <c r="M174" t="s">
        <v>25</v>
      </c>
      <c r="N174" s="4">
        <v>45566</v>
      </c>
      <c r="O174" s="4">
        <v>45596</v>
      </c>
      <c r="P174" t="s">
        <v>637</v>
      </c>
      <c r="Q174">
        <f>Table1_2[[#This Row],[Likes]]+Table1_2[[#This Row],[Shares]]+Table1_2[[#This Row],[Comments]]</f>
        <v>2766</v>
      </c>
      <c r="R174" s="12">
        <f>(Table1_2[[#This Row],[Likes]]+Table1_2[[#This Row],[Shares]]+Table1_2[[#This Row],[Comments]])/Table1_2[[#This Row],[Impressions]]</f>
        <v>0.21745283018867925</v>
      </c>
      <c r="S174" s="4">
        <f>_xlfn.XLOOKUP(Table1_2[[#This Row],[Campaign_Name]],'Campaign Metadata'!A:A,'Campaign Metadata'!B:B,"not found",0)</f>
        <v>45566</v>
      </c>
      <c r="T174" s="4">
        <f>_xlfn.XLOOKUP(Table1_2[[#This Row],[Campaign_Name]],'Campaign Metadata'!A:A,'Campaign Metadata'!C:C,"not found",0)</f>
        <v>45596</v>
      </c>
      <c r="U174" t="str">
        <f>IF(AND(Table1_2[[#This Row],[Date]]&gt;=Table1_2[[#This Row],[Campaign Start Date2]],Table1_2[[#This Row],[Date]]&lt;=Table1_2[[#This Row],[Campaign End Date3]]),"During Campaign","Before Campaign")</f>
        <v>Before Campaign</v>
      </c>
      <c r="V174" s="30">
        <f>_xlfn.XLOOKUP(Table1_2[[#This Row],[Campaign_Name]],'Campaign Metadata'!A:A,'Campaign Metadata'!E:E,"Not Available",0)</f>
        <v>200000</v>
      </c>
      <c r="W174">
        <f>Table1_2[[#This Row],[Engagement]]/Table1_2[[#This Row],[Campaign Budget]]</f>
        <v>1.383E-2</v>
      </c>
      <c r="X174">
        <f>_xlfn.XLOOKUP(Table1_2[[#This Row],[Platform]],'Engagement Summary'!B:B,'Engagement Summary'!H:H,"Not Available",0)</f>
        <v>1002</v>
      </c>
      <c r="Y174">
        <f>WEEKNUM(Table1_2[[#This Row],[Date]])</f>
        <v>48</v>
      </c>
      <c r="Z174">
        <f>_xlfn.XLOOKUP(Table1_2[[#This Row],[Platform]],'Engagement Summary'!B:B,'Engagement Summary'!G:G,"Notavailable",0)</f>
        <v>9566</v>
      </c>
    </row>
    <row r="175" spans="1:26" x14ac:dyDescent="0.3">
      <c r="A175" t="s">
        <v>347</v>
      </c>
      <c r="B175" t="s">
        <v>14</v>
      </c>
      <c r="C175" s="4">
        <v>45528</v>
      </c>
      <c r="D175" t="s">
        <v>74</v>
      </c>
      <c r="E175" t="s">
        <v>145</v>
      </c>
      <c r="F175">
        <v>1082</v>
      </c>
      <c r="G175">
        <v>209</v>
      </c>
      <c r="H175">
        <v>484</v>
      </c>
      <c r="I175">
        <v>19476</v>
      </c>
      <c r="J175">
        <v>18654</v>
      </c>
      <c r="K175">
        <v>20</v>
      </c>
      <c r="L175" t="s">
        <v>30</v>
      </c>
      <c r="M175" t="s">
        <v>617</v>
      </c>
      <c r="N175" s="4">
        <v>0</v>
      </c>
      <c r="O175" s="4">
        <v>0</v>
      </c>
      <c r="P175" t="s">
        <v>637</v>
      </c>
      <c r="Q175">
        <f>Table1_2[[#This Row],[Likes]]+Table1_2[[#This Row],[Shares]]+Table1_2[[#This Row],[Comments]]</f>
        <v>1775</v>
      </c>
      <c r="R175" s="12">
        <f>(Table1_2[[#This Row],[Likes]]+Table1_2[[#This Row],[Shares]]+Table1_2[[#This Row],[Comments]])/Table1_2[[#This Row],[Impressions]]</f>
        <v>9.1137810638734856E-2</v>
      </c>
      <c r="S175" s="4" t="str">
        <f>_xlfn.XLOOKUP(Table1_2[[#This Row],[Campaign_Name]],'Campaign Metadata'!A:A,'Campaign Metadata'!B:B,"not found",0)</f>
        <v>not found</v>
      </c>
      <c r="T175" s="4" t="str">
        <f>_xlfn.XLOOKUP(Table1_2[[#This Row],[Campaign_Name]],'Campaign Metadata'!A:A,'Campaign Metadata'!C:C,"not found",0)</f>
        <v>not found</v>
      </c>
      <c r="U175" t="str">
        <f>IF(AND(Table1_2[[#This Row],[Date]]&gt;=Table1_2[[#This Row],[Campaign Start Date2]],Table1_2[[#This Row],[Date]]&lt;=Table1_2[[#This Row],[Campaign End Date3]]),"During Campaign","Before Campaign")</f>
        <v>Before Campaign</v>
      </c>
      <c r="V175" s="30" t="str">
        <f>_xlfn.XLOOKUP(Table1_2[[#This Row],[Campaign_Name]],'Campaign Metadata'!A:A,'Campaign Metadata'!E:E,"Not Available",0)</f>
        <v>Not Available</v>
      </c>
      <c r="W175" t="e">
        <f>Table1_2[[#This Row],[Engagement]]/Table1_2[[#This Row],[Campaign Budget]]</f>
        <v>#VALUE!</v>
      </c>
      <c r="X175">
        <f>_xlfn.XLOOKUP(Table1_2[[#This Row],[Platform]],'Engagement Summary'!B:B,'Engagement Summary'!H:H,"Not Available",0)</f>
        <v>415</v>
      </c>
      <c r="Y175">
        <f>WEEKNUM(Table1_2[[#This Row],[Date]])</f>
        <v>34</v>
      </c>
      <c r="Z175">
        <f>_xlfn.XLOOKUP(Table1_2[[#This Row],[Platform]],'Engagement Summary'!B:B,'Engagement Summary'!G:G,"Notavailable",0)</f>
        <v>26752</v>
      </c>
    </row>
    <row r="176" spans="1:26" x14ac:dyDescent="0.3">
      <c r="A176" t="s">
        <v>349</v>
      </c>
      <c r="B176" t="s">
        <v>14</v>
      </c>
      <c r="C176" s="4">
        <v>45707</v>
      </c>
      <c r="D176" t="s">
        <v>22</v>
      </c>
      <c r="E176" t="s">
        <v>23</v>
      </c>
      <c r="F176">
        <v>4671</v>
      </c>
      <c r="G176">
        <v>876</v>
      </c>
      <c r="H176">
        <v>366</v>
      </c>
      <c r="I176">
        <v>51381</v>
      </c>
      <c r="J176">
        <v>50565</v>
      </c>
      <c r="K176">
        <v>245</v>
      </c>
      <c r="L176" t="s">
        <v>30</v>
      </c>
      <c r="M176" t="s">
        <v>38</v>
      </c>
      <c r="N176" s="4">
        <v>45717</v>
      </c>
      <c r="O176" s="4">
        <v>45747</v>
      </c>
      <c r="P176" t="s">
        <v>637</v>
      </c>
      <c r="Q176">
        <f>Table1_2[[#This Row],[Likes]]+Table1_2[[#This Row],[Shares]]+Table1_2[[#This Row],[Comments]]</f>
        <v>5913</v>
      </c>
      <c r="R176" s="12">
        <f>(Table1_2[[#This Row],[Likes]]+Table1_2[[#This Row],[Shares]]+Table1_2[[#This Row],[Comments]])/Table1_2[[#This Row],[Impressions]]</f>
        <v>0.11508145034156594</v>
      </c>
      <c r="S176" s="4">
        <f>_xlfn.XLOOKUP(Table1_2[[#This Row],[Campaign_Name]],'Campaign Metadata'!A:A,'Campaign Metadata'!B:B,"not found",0)</f>
        <v>45717</v>
      </c>
      <c r="T176" s="4">
        <f>_xlfn.XLOOKUP(Table1_2[[#This Row],[Campaign_Name]],'Campaign Metadata'!A:A,'Campaign Metadata'!C:C,"not found",0)</f>
        <v>45747</v>
      </c>
      <c r="U176" t="str">
        <f>IF(AND(Table1_2[[#This Row],[Date]]&gt;=Table1_2[[#This Row],[Campaign Start Date2]],Table1_2[[#This Row],[Date]]&lt;=Table1_2[[#This Row],[Campaign End Date3]]),"During Campaign","Before Campaign")</f>
        <v>Before Campaign</v>
      </c>
      <c r="V176" s="30">
        <f>_xlfn.XLOOKUP(Table1_2[[#This Row],[Campaign_Name]],'Campaign Metadata'!A:A,'Campaign Metadata'!E:E,"Not Available",0)</f>
        <v>180000</v>
      </c>
      <c r="W176">
        <f>Table1_2[[#This Row],[Engagement]]/Table1_2[[#This Row],[Campaign Budget]]</f>
        <v>3.2849999999999997E-2</v>
      </c>
      <c r="X176">
        <f>_xlfn.XLOOKUP(Table1_2[[#This Row],[Platform]],'Engagement Summary'!B:B,'Engagement Summary'!H:H,"Not Available",0)</f>
        <v>415</v>
      </c>
      <c r="Y176">
        <f>WEEKNUM(Table1_2[[#This Row],[Date]])</f>
        <v>8</v>
      </c>
      <c r="Z176">
        <f>_xlfn.XLOOKUP(Table1_2[[#This Row],[Platform]],'Engagement Summary'!B:B,'Engagement Summary'!G:G,"Notavailable",0)</f>
        <v>26752</v>
      </c>
    </row>
    <row r="177" spans="1:26" x14ac:dyDescent="0.3">
      <c r="A177" t="s">
        <v>351</v>
      </c>
      <c r="B177" t="s">
        <v>43</v>
      </c>
      <c r="C177" s="4">
        <v>45748</v>
      </c>
      <c r="D177" t="s">
        <v>35</v>
      </c>
      <c r="E177" t="s">
        <v>71</v>
      </c>
      <c r="F177">
        <v>3430</v>
      </c>
      <c r="G177">
        <v>566</v>
      </c>
      <c r="H177">
        <v>164</v>
      </c>
      <c r="I177">
        <v>48020</v>
      </c>
      <c r="J177">
        <v>47305</v>
      </c>
      <c r="K177">
        <v>120</v>
      </c>
      <c r="L177" t="s">
        <v>62</v>
      </c>
      <c r="M177" t="s">
        <v>617</v>
      </c>
      <c r="N177" s="4">
        <v>0</v>
      </c>
      <c r="O177" s="4">
        <v>0</v>
      </c>
      <c r="P177" t="s">
        <v>637</v>
      </c>
      <c r="Q177">
        <f>Table1_2[[#This Row],[Likes]]+Table1_2[[#This Row],[Shares]]+Table1_2[[#This Row],[Comments]]</f>
        <v>4160</v>
      </c>
      <c r="R177" s="12">
        <f>(Table1_2[[#This Row],[Likes]]+Table1_2[[#This Row],[Shares]]+Table1_2[[#This Row],[Comments]])/Table1_2[[#This Row],[Impressions]]</f>
        <v>8.6630570595585168E-2</v>
      </c>
      <c r="S177" s="4" t="str">
        <f>_xlfn.XLOOKUP(Table1_2[[#This Row],[Campaign_Name]],'Campaign Metadata'!A:A,'Campaign Metadata'!B:B,"not found",0)</f>
        <v>not found</v>
      </c>
      <c r="T177" s="4" t="str">
        <f>_xlfn.XLOOKUP(Table1_2[[#This Row],[Campaign_Name]],'Campaign Metadata'!A:A,'Campaign Metadata'!C:C,"not found",0)</f>
        <v>not found</v>
      </c>
      <c r="U177" t="str">
        <f>IF(AND(Table1_2[[#This Row],[Date]]&gt;=Table1_2[[#This Row],[Campaign Start Date2]],Table1_2[[#This Row],[Date]]&lt;=Table1_2[[#This Row],[Campaign End Date3]]),"During Campaign","Before Campaign")</f>
        <v>Before Campaign</v>
      </c>
      <c r="V177" s="30" t="str">
        <f>_xlfn.XLOOKUP(Table1_2[[#This Row],[Campaign_Name]],'Campaign Metadata'!A:A,'Campaign Metadata'!E:E,"Not Available",0)</f>
        <v>Not Available</v>
      </c>
      <c r="W177" t="e">
        <f>Table1_2[[#This Row],[Engagement]]/Table1_2[[#This Row],[Campaign Budget]]</f>
        <v>#VALUE!</v>
      </c>
      <c r="X177">
        <f>_xlfn.XLOOKUP(Table1_2[[#This Row],[Platform]],'Engagement Summary'!B:B,'Engagement Summary'!H:H,"Not Available",0)</f>
        <v>1002</v>
      </c>
      <c r="Y177">
        <f>WEEKNUM(Table1_2[[#This Row],[Date]])</f>
        <v>14</v>
      </c>
      <c r="Z177">
        <f>_xlfn.XLOOKUP(Table1_2[[#This Row],[Platform]],'Engagement Summary'!B:B,'Engagement Summary'!G:G,"Notavailable",0)</f>
        <v>9566</v>
      </c>
    </row>
    <row r="178" spans="1:26" x14ac:dyDescent="0.3">
      <c r="A178" t="s">
        <v>353</v>
      </c>
      <c r="B178" t="s">
        <v>33</v>
      </c>
      <c r="C178" s="4">
        <v>45755</v>
      </c>
      <c r="D178" t="s">
        <v>52</v>
      </c>
      <c r="E178" t="s">
        <v>215</v>
      </c>
      <c r="F178">
        <v>4501</v>
      </c>
      <c r="G178">
        <v>375</v>
      </c>
      <c r="H178">
        <v>323</v>
      </c>
      <c r="I178">
        <v>22505</v>
      </c>
      <c r="J178">
        <v>21836</v>
      </c>
      <c r="K178">
        <v>132</v>
      </c>
      <c r="L178" t="s">
        <v>30</v>
      </c>
      <c r="M178" t="s">
        <v>25</v>
      </c>
      <c r="N178" s="4">
        <v>45566</v>
      </c>
      <c r="O178" s="4">
        <v>45596</v>
      </c>
      <c r="P178" t="s">
        <v>637</v>
      </c>
      <c r="Q178">
        <f>Table1_2[[#This Row],[Likes]]+Table1_2[[#This Row],[Shares]]+Table1_2[[#This Row],[Comments]]</f>
        <v>5199</v>
      </c>
      <c r="R178" s="12">
        <f>(Table1_2[[#This Row],[Likes]]+Table1_2[[#This Row],[Shares]]+Table1_2[[#This Row],[Comments]])/Table1_2[[#This Row],[Impressions]]</f>
        <v>0.23101532992668297</v>
      </c>
      <c r="S178" s="4">
        <f>_xlfn.XLOOKUP(Table1_2[[#This Row],[Campaign_Name]],'Campaign Metadata'!A:A,'Campaign Metadata'!B:B,"not found",0)</f>
        <v>45566</v>
      </c>
      <c r="T178" s="4">
        <f>_xlfn.XLOOKUP(Table1_2[[#This Row],[Campaign_Name]],'Campaign Metadata'!A:A,'Campaign Metadata'!C:C,"not found",0)</f>
        <v>45596</v>
      </c>
      <c r="U178" t="str">
        <f>IF(AND(Table1_2[[#This Row],[Date]]&gt;=Table1_2[[#This Row],[Campaign Start Date2]],Table1_2[[#This Row],[Date]]&lt;=Table1_2[[#This Row],[Campaign End Date3]]),"During Campaign","Before Campaign")</f>
        <v>Before Campaign</v>
      </c>
      <c r="V178" s="30">
        <f>_xlfn.XLOOKUP(Table1_2[[#This Row],[Campaign_Name]],'Campaign Metadata'!A:A,'Campaign Metadata'!E:E,"Not Available",0)</f>
        <v>200000</v>
      </c>
      <c r="W178">
        <f>Table1_2[[#This Row],[Engagement]]/Table1_2[[#This Row],[Campaign Budget]]</f>
        <v>2.5995000000000001E-2</v>
      </c>
      <c r="X178">
        <f>_xlfn.XLOOKUP(Table1_2[[#This Row],[Platform]],'Engagement Summary'!B:B,'Engagement Summary'!H:H,"Not Available",0)</f>
        <v>1047</v>
      </c>
      <c r="Y178">
        <f>WEEKNUM(Table1_2[[#This Row],[Date]])</f>
        <v>15</v>
      </c>
      <c r="Z178">
        <f>_xlfn.XLOOKUP(Table1_2[[#This Row],[Platform]],'Engagement Summary'!B:B,'Engagement Summary'!G:G,"Notavailable",0)</f>
        <v>5904</v>
      </c>
    </row>
    <row r="179" spans="1:26" x14ac:dyDescent="0.3">
      <c r="A179" t="s">
        <v>355</v>
      </c>
      <c r="B179" t="s">
        <v>27</v>
      </c>
      <c r="C179" s="4">
        <v>45715</v>
      </c>
      <c r="D179" t="s">
        <v>22</v>
      </c>
      <c r="E179" t="s">
        <v>104</v>
      </c>
      <c r="F179">
        <v>4934</v>
      </c>
      <c r="G179">
        <v>971</v>
      </c>
      <c r="H179">
        <v>156</v>
      </c>
      <c r="I179">
        <v>39472</v>
      </c>
      <c r="J179">
        <v>39025</v>
      </c>
      <c r="K179">
        <v>169</v>
      </c>
      <c r="L179" t="s">
        <v>30</v>
      </c>
      <c r="M179" t="s">
        <v>38</v>
      </c>
      <c r="N179" s="4">
        <v>45717</v>
      </c>
      <c r="O179" s="4">
        <v>45747</v>
      </c>
      <c r="P179" t="s">
        <v>637</v>
      </c>
      <c r="Q179">
        <f>Table1_2[[#This Row],[Likes]]+Table1_2[[#This Row],[Shares]]+Table1_2[[#This Row],[Comments]]</f>
        <v>6061</v>
      </c>
      <c r="R179" s="12">
        <f>(Table1_2[[#This Row],[Likes]]+Table1_2[[#This Row],[Shares]]+Table1_2[[#This Row],[Comments]])/Table1_2[[#This Row],[Impressions]]</f>
        <v>0.15355188488042157</v>
      </c>
      <c r="S179" s="4">
        <f>_xlfn.XLOOKUP(Table1_2[[#This Row],[Campaign_Name]],'Campaign Metadata'!A:A,'Campaign Metadata'!B:B,"not found",0)</f>
        <v>45717</v>
      </c>
      <c r="T179" s="4">
        <f>_xlfn.XLOOKUP(Table1_2[[#This Row],[Campaign_Name]],'Campaign Metadata'!A:A,'Campaign Metadata'!C:C,"not found",0)</f>
        <v>45747</v>
      </c>
      <c r="U179" t="str">
        <f>IF(AND(Table1_2[[#This Row],[Date]]&gt;=Table1_2[[#This Row],[Campaign Start Date2]],Table1_2[[#This Row],[Date]]&lt;=Table1_2[[#This Row],[Campaign End Date3]]),"During Campaign","Before Campaign")</f>
        <v>Before Campaign</v>
      </c>
      <c r="V179" s="30">
        <f>_xlfn.XLOOKUP(Table1_2[[#This Row],[Campaign_Name]],'Campaign Metadata'!A:A,'Campaign Metadata'!E:E,"Not Available",0)</f>
        <v>180000</v>
      </c>
      <c r="W179">
        <f>Table1_2[[#This Row],[Engagement]]/Table1_2[[#This Row],[Campaign Budget]]</f>
        <v>3.3672222222222221E-2</v>
      </c>
      <c r="X179">
        <f>_xlfn.XLOOKUP(Table1_2[[#This Row],[Platform]],'Engagement Summary'!B:B,'Engagement Summary'!H:H,"Not Available",0)</f>
        <v>1090</v>
      </c>
      <c r="Y179">
        <f>WEEKNUM(Table1_2[[#This Row],[Date]])</f>
        <v>9</v>
      </c>
      <c r="Z179">
        <f>_xlfn.XLOOKUP(Table1_2[[#This Row],[Platform]],'Engagement Summary'!B:B,'Engagement Summary'!G:G,"Notavailable",0)</f>
        <v>30671</v>
      </c>
    </row>
    <row r="180" spans="1:26" x14ac:dyDescent="0.3">
      <c r="A180" t="s">
        <v>355</v>
      </c>
      <c r="B180" t="s">
        <v>27</v>
      </c>
      <c r="C180" s="4">
        <v>45715</v>
      </c>
      <c r="D180" t="s">
        <v>22</v>
      </c>
      <c r="E180" t="s">
        <v>104</v>
      </c>
      <c r="F180">
        <v>4934</v>
      </c>
      <c r="G180">
        <v>971</v>
      </c>
      <c r="H180">
        <v>156</v>
      </c>
      <c r="I180">
        <v>39472</v>
      </c>
      <c r="J180">
        <v>39025</v>
      </c>
      <c r="K180">
        <v>169</v>
      </c>
      <c r="L180" t="s">
        <v>615</v>
      </c>
      <c r="M180" t="s">
        <v>38</v>
      </c>
      <c r="N180" s="4">
        <v>45717</v>
      </c>
      <c r="O180" s="4">
        <v>45747</v>
      </c>
      <c r="P180" t="s">
        <v>637</v>
      </c>
      <c r="Q180">
        <f>Table1_2[[#This Row],[Likes]]+Table1_2[[#This Row],[Shares]]+Table1_2[[#This Row],[Comments]]</f>
        <v>6061</v>
      </c>
      <c r="R180" s="12">
        <f>(Table1_2[[#This Row],[Likes]]+Table1_2[[#This Row],[Shares]]+Table1_2[[#This Row],[Comments]])/Table1_2[[#This Row],[Impressions]]</f>
        <v>0.15355188488042157</v>
      </c>
      <c r="S180" s="4">
        <f>_xlfn.XLOOKUP(Table1_2[[#This Row],[Campaign_Name]],'Campaign Metadata'!A:A,'Campaign Metadata'!B:B,"not found",0)</f>
        <v>45717</v>
      </c>
      <c r="T180" s="4">
        <f>_xlfn.XLOOKUP(Table1_2[[#This Row],[Campaign_Name]],'Campaign Metadata'!A:A,'Campaign Metadata'!C:C,"not found",0)</f>
        <v>45747</v>
      </c>
      <c r="U180" t="str">
        <f>IF(AND(Table1_2[[#This Row],[Date]]&gt;=Table1_2[[#This Row],[Campaign Start Date2]],Table1_2[[#This Row],[Date]]&lt;=Table1_2[[#This Row],[Campaign End Date3]]),"During Campaign","Before Campaign")</f>
        <v>Before Campaign</v>
      </c>
      <c r="V180" s="30">
        <f>_xlfn.XLOOKUP(Table1_2[[#This Row],[Campaign_Name]],'Campaign Metadata'!A:A,'Campaign Metadata'!E:E,"Not Available",0)</f>
        <v>180000</v>
      </c>
      <c r="W180">
        <f>Table1_2[[#This Row],[Engagement]]/Table1_2[[#This Row],[Campaign Budget]]</f>
        <v>3.3672222222222221E-2</v>
      </c>
      <c r="X180">
        <f>_xlfn.XLOOKUP(Table1_2[[#This Row],[Platform]],'Engagement Summary'!B:B,'Engagement Summary'!H:H,"Not Available",0)</f>
        <v>1090</v>
      </c>
      <c r="Y180">
        <f>WEEKNUM(Table1_2[[#This Row],[Date]])</f>
        <v>9</v>
      </c>
      <c r="Z180">
        <f>_xlfn.XLOOKUP(Table1_2[[#This Row],[Platform]],'Engagement Summary'!B:B,'Engagement Summary'!G:G,"Notavailable",0)</f>
        <v>30671</v>
      </c>
    </row>
    <row r="181" spans="1:26" x14ac:dyDescent="0.3">
      <c r="A181" t="s">
        <v>356</v>
      </c>
      <c r="B181" t="s">
        <v>14</v>
      </c>
      <c r="C181" s="4">
        <v>45637</v>
      </c>
      <c r="D181" t="s">
        <v>22</v>
      </c>
      <c r="E181" t="s">
        <v>23</v>
      </c>
      <c r="F181">
        <v>3239</v>
      </c>
      <c r="G181">
        <v>43</v>
      </c>
      <c r="H181">
        <v>211</v>
      </c>
      <c r="I181">
        <v>22673</v>
      </c>
      <c r="J181">
        <v>22171</v>
      </c>
      <c r="K181">
        <v>230</v>
      </c>
      <c r="L181" t="s">
        <v>30</v>
      </c>
      <c r="M181" t="s">
        <v>25</v>
      </c>
      <c r="N181" s="4">
        <v>45566</v>
      </c>
      <c r="O181" s="4">
        <v>45596</v>
      </c>
      <c r="P181" t="s">
        <v>637</v>
      </c>
      <c r="Q181">
        <f>Table1_2[[#This Row],[Likes]]+Table1_2[[#This Row],[Shares]]+Table1_2[[#This Row],[Comments]]</f>
        <v>3493</v>
      </c>
      <c r="R181" s="12">
        <f>(Table1_2[[#This Row],[Likes]]+Table1_2[[#This Row],[Shares]]+Table1_2[[#This Row],[Comments]])/Table1_2[[#This Row],[Impressions]]</f>
        <v>0.15405989502933004</v>
      </c>
      <c r="S181" s="4">
        <f>_xlfn.XLOOKUP(Table1_2[[#This Row],[Campaign_Name]],'Campaign Metadata'!A:A,'Campaign Metadata'!B:B,"not found",0)</f>
        <v>45566</v>
      </c>
      <c r="T181" s="4">
        <f>_xlfn.XLOOKUP(Table1_2[[#This Row],[Campaign_Name]],'Campaign Metadata'!A:A,'Campaign Metadata'!C:C,"not found",0)</f>
        <v>45596</v>
      </c>
      <c r="U181" t="str">
        <f>IF(AND(Table1_2[[#This Row],[Date]]&gt;=Table1_2[[#This Row],[Campaign Start Date2]],Table1_2[[#This Row],[Date]]&lt;=Table1_2[[#This Row],[Campaign End Date3]]),"During Campaign","Before Campaign")</f>
        <v>Before Campaign</v>
      </c>
      <c r="V181" s="30">
        <f>_xlfn.XLOOKUP(Table1_2[[#This Row],[Campaign_Name]],'Campaign Metadata'!A:A,'Campaign Metadata'!E:E,"Not Available",0)</f>
        <v>200000</v>
      </c>
      <c r="W181">
        <f>Table1_2[[#This Row],[Engagement]]/Table1_2[[#This Row],[Campaign Budget]]</f>
        <v>1.7465000000000001E-2</v>
      </c>
      <c r="X181">
        <f>_xlfn.XLOOKUP(Table1_2[[#This Row],[Platform]],'Engagement Summary'!B:B,'Engagement Summary'!H:H,"Not Available",0)</f>
        <v>415</v>
      </c>
      <c r="Y181">
        <f>WEEKNUM(Table1_2[[#This Row],[Date]])</f>
        <v>50</v>
      </c>
      <c r="Z181">
        <f>_xlfn.XLOOKUP(Table1_2[[#This Row],[Platform]],'Engagement Summary'!B:B,'Engagement Summary'!G:G,"Notavailable",0)</f>
        <v>26752</v>
      </c>
    </row>
    <row r="182" spans="1:26" x14ac:dyDescent="0.3">
      <c r="A182" t="s">
        <v>357</v>
      </c>
      <c r="B182" t="s">
        <v>14</v>
      </c>
      <c r="C182" s="4">
        <v>45704</v>
      </c>
      <c r="D182" t="s">
        <v>16</v>
      </c>
      <c r="E182" t="s">
        <v>17</v>
      </c>
      <c r="F182">
        <v>1076</v>
      </c>
      <c r="G182">
        <v>313</v>
      </c>
      <c r="H182">
        <v>306</v>
      </c>
      <c r="I182">
        <v>11836</v>
      </c>
      <c r="J182">
        <v>11596</v>
      </c>
      <c r="K182">
        <v>104</v>
      </c>
      <c r="L182" t="s">
        <v>62</v>
      </c>
      <c r="M182" t="s">
        <v>19</v>
      </c>
      <c r="N182" s="4">
        <v>45458</v>
      </c>
      <c r="O182" s="4">
        <v>45488</v>
      </c>
      <c r="P182" t="s">
        <v>637</v>
      </c>
      <c r="Q182">
        <f>Table1_2[[#This Row],[Likes]]+Table1_2[[#This Row],[Shares]]+Table1_2[[#This Row],[Comments]]</f>
        <v>1695</v>
      </c>
      <c r="R182" s="12">
        <f>(Table1_2[[#This Row],[Likes]]+Table1_2[[#This Row],[Shares]]+Table1_2[[#This Row],[Comments]])/Table1_2[[#This Row],[Impressions]]</f>
        <v>0.14320716458262928</v>
      </c>
      <c r="S182" s="4">
        <f>_xlfn.XLOOKUP(Table1_2[[#This Row],[Campaign_Name]],'Campaign Metadata'!A:A,'Campaign Metadata'!B:B,"not found",0)</f>
        <v>45458</v>
      </c>
      <c r="T182" s="4">
        <f>_xlfn.XLOOKUP(Table1_2[[#This Row],[Campaign_Name]],'Campaign Metadata'!A:A,'Campaign Metadata'!C:C,"not found",0)</f>
        <v>45488</v>
      </c>
      <c r="U182" t="str">
        <f>IF(AND(Table1_2[[#This Row],[Date]]&gt;=Table1_2[[#This Row],[Campaign Start Date2]],Table1_2[[#This Row],[Date]]&lt;=Table1_2[[#This Row],[Campaign End Date3]]),"During Campaign","Before Campaign")</f>
        <v>Before Campaign</v>
      </c>
      <c r="V182" s="30">
        <f>_xlfn.XLOOKUP(Table1_2[[#This Row],[Campaign_Name]],'Campaign Metadata'!A:A,'Campaign Metadata'!E:E,"Not Available",0)</f>
        <v>150000</v>
      </c>
      <c r="W182">
        <f>Table1_2[[#This Row],[Engagement]]/Table1_2[[#This Row],[Campaign Budget]]</f>
        <v>1.1299999999999999E-2</v>
      </c>
      <c r="X182">
        <f>_xlfn.XLOOKUP(Table1_2[[#This Row],[Platform]],'Engagement Summary'!B:B,'Engagement Summary'!H:H,"Not Available",0)</f>
        <v>415</v>
      </c>
      <c r="Y182">
        <f>WEEKNUM(Table1_2[[#This Row],[Date]])</f>
        <v>8</v>
      </c>
      <c r="Z182">
        <f>_xlfn.XLOOKUP(Table1_2[[#This Row],[Platform]],'Engagement Summary'!B:B,'Engagement Summary'!G:G,"Notavailable",0)</f>
        <v>26752</v>
      </c>
    </row>
    <row r="183" spans="1:26" x14ac:dyDescent="0.3">
      <c r="A183" t="s">
        <v>358</v>
      </c>
      <c r="B183" t="s">
        <v>33</v>
      </c>
      <c r="C183" s="4">
        <v>45624</v>
      </c>
      <c r="D183" t="s">
        <v>22</v>
      </c>
      <c r="E183" t="s">
        <v>113</v>
      </c>
      <c r="F183">
        <v>4771</v>
      </c>
      <c r="G183">
        <v>818</v>
      </c>
      <c r="H183">
        <v>56</v>
      </c>
      <c r="I183">
        <v>57252</v>
      </c>
      <c r="J183">
        <v>56378</v>
      </c>
      <c r="K183">
        <v>150</v>
      </c>
      <c r="L183" t="s">
        <v>62</v>
      </c>
      <c r="M183" t="s">
        <v>617</v>
      </c>
      <c r="N183" s="4">
        <v>0</v>
      </c>
      <c r="O183" s="4">
        <v>0</v>
      </c>
      <c r="P183" t="s">
        <v>637</v>
      </c>
      <c r="Q183">
        <f>Table1_2[[#This Row],[Likes]]+Table1_2[[#This Row],[Shares]]+Table1_2[[#This Row],[Comments]]</f>
        <v>5645</v>
      </c>
      <c r="R183" s="12">
        <f>(Table1_2[[#This Row],[Likes]]+Table1_2[[#This Row],[Shares]]+Table1_2[[#This Row],[Comments]])/Table1_2[[#This Row],[Impressions]]</f>
        <v>9.859917557465242E-2</v>
      </c>
      <c r="S183" s="4" t="str">
        <f>_xlfn.XLOOKUP(Table1_2[[#This Row],[Campaign_Name]],'Campaign Metadata'!A:A,'Campaign Metadata'!B:B,"not found",0)</f>
        <v>not found</v>
      </c>
      <c r="T183" s="4" t="str">
        <f>_xlfn.XLOOKUP(Table1_2[[#This Row],[Campaign_Name]],'Campaign Metadata'!A:A,'Campaign Metadata'!C:C,"not found",0)</f>
        <v>not found</v>
      </c>
      <c r="U183" t="str">
        <f>IF(AND(Table1_2[[#This Row],[Date]]&gt;=Table1_2[[#This Row],[Campaign Start Date2]],Table1_2[[#This Row],[Date]]&lt;=Table1_2[[#This Row],[Campaign End Date3]]),"During Campaign","Before Campaign")</f>
        <v>Before Campaign</v>
      </c>
      <c r="V183" s="30" t="str">
        <f>_xlfn.XLOOKUP(Table1_2[[#This Row],[Campaign_Name]],'Campaign Metadata'!A:A,'Campaign Metadata'!E:E,"Not Available",0)</f>
        <v>Not Available</v>
      </c>
      <c r="W183" t="e">
        <f>Table1_2[[#This Row],[Engagement]]/Table1_2[[#This Row],[Campaign Budget]]</f>
        <v>#VALUE!</v>
      </c>
      <c r="X183">
        <f>_xlfn.XLOOKUP(Table1_2[[#This Row],[Platform]],'Engagement Summary'!B:B,'Engagement Summary'!H:H,"Not Available",0)</f>
        <v>1047</v>
      </c>
      <c r="Y183">
        <f>WEEKNUM(Table1_2[[#This Row],[Date]])</f>
        <v>48</v>
      </c>
      <c r="Z183">
        <f>_xlfn.XLOOKUP(Table1_2[[#This Row],[Platform]],'Engagement Summary'!B:B,'Engagement Summary'!G:G,"Notavailable",0)</f>
        <v>5904</v>
      </c>
    </row>
    <row r="184" spans="1:26" x14ac:dyDescent="0.3">
      <c r="A184" t="s">
        <v>359</v>
      </c>
      <c r="B184" t="s">
        <v>43</v>
      </c>
      <c r="C184" s="4">
        <v>45608</v>
      </c>
      <c r="D184" t="s">
        <v>22</v>
      </c>
      <c r="E184" t="s">
        <v>56</v>
      </c>
      <c r="F184">
        <v>2418</v>
      </c>
      <c r="G184">
        <v>754</v>
      </c>
      <c r="H184">
        <v>54</v>
      </c>
      <c r="I184">
        <v>43524</v>
      </c>
      <c r="J184">
        <v>42743</v>
      </c>
      <c r="K184">
        <v>182</v>
      </c>
      <c r="L184" t="s">
        <v>37</v>
      </c>
      <c r="M184" t="s">
        <v>19</v>
      </c>
      <c r="N184" s="4">
        <v>45458</v>
      </c>
      <c r="O184" s="4">
        <v>45488</v>
      </c>
      <c r="P184" t="s">
        <v>637</v>
      </c>
      <c r="Q184">
        <f>Table1_2[[#This Row],[Likes]]+Table1_2[[#This Row],[Shares]]+Table1_2[[#This Row],[Comments]]</f>
        <v>3226</v>
      </c>
      <c r="R184" s="12">
        <f>(Table1_2[[#This Row],[Likes]]+Table1_2[[#This Row],[Shares]]+Table1_2[[#This Row],[Comments]])/Table1_2[[#This Row],[Impressions]]</f>
        <v>7.412002573292896E-2</v>
      </c>
      <c r="S184" s="4">
        <f>_xlfn.XLOOKUP(Table1_2[[#This Row],[Campaign_Name]],'Campaign Metadata'!A:A,'Campaign Metadata'!B:B,"not found",0)</f>
        <v>45458</v>
      </c>
      <c r="T184" s="4">
        <f>_xlfn.XLOOKUP(Table1_2[[#This Row],[Campaign_Name]],'Campaign Metadata'!A:A,'Campaign Metadata'!C:C,"not found",0)</f>
        <v>45488</v>
      </c>
      <c r="U184" t="str">
        <f>IF(AND(Table1_2[[#This Row],[Date]]&gt;=Table1_2[[#This Row],[Campaign Start Date2]],Table1_2[[#This Row],[Date]]&lt;=Table1_2[[#This Row],[Campaign End Date3]]),"During Campaign","Before Campaign")</f>
        <v>Before Campaign</v>
      </c>
      <c r="V184" s="30">
        <f>_xlfn.XLOOKUP(Table1_2[[#This Row],[Campaign_Name]],'Campaign Metadata'!A:A,'Campaign Metadata'!E:E,"Not Available",0)</f>
        <v>150000</v>
      </c>
      <c r="W184">
        <f>Table1_2[[#This Row],[Engagement]]/Table1_2[[#This Row],[Campaign Budget]]</f>
        <v>2.1506666666666667E-2</v>
      </c>
      <c r="X184">
        <f>_xlfn.XLOOKUP(Table1_2[[#This Row],[Platform]],'Engagement Summary'!B:B,'Engagement Summary'!H:H,"Not Available",0)</f>
        <v>1002</v>
      </c>
      <c r="Y184">
        <f>WEEKNUM(Table1_2[[#This Row],[Date]])</f>
        <v>46</v>
      </c>
      <c r="Z184">
        <f>_xlfn.XLOOKUP(Table1_2[[#This Row],[Platform]],'Engagement Summary'!B:B,'Engagement Summary'!G:G,"Notavailable",0)</f>
        <v>9566</v>
      </c>
    </row>
    <row r="185" spans="1:26" x14ac:dyDescent="0.3">
      <c r="A185" t="s">
        <v>361</v>
      </c>
      <c r="B185" t="s">
        <v>27</v>
      </c>
      <c r="C185" s="4">
        <v>45629</v>
      </c>
      <c r="D185" t="s">
        <v>74</v>
      </c>
      <c r="E185" t="s">
        <v>219</v>
      </c>
      <c r="F185">
        <v>3809</v>
      </c>
      <c r="G185">
        <v>273</v>
      </c>
      <c r="H185">
        <v>200</v>
      </c>
      <c r="I185">
        <v>34281</v>
      </c>
      <c r="J185">
        <v>33534</v>
      </c>
      <c r="K185">
        <v>83</v>
      </c>
      <c r="L185" t="s">
        <v>37</v>
      </c>
      <c r="M185" t="s">
        <v>19</v>
      </c>
      <c r="N185" s="4">
        <v>45458</v>
      </c>
      <c r="O185" s="4">
        <v>45488</v>
      </c>
      <c r="P185" t="s">
        <v>637</v>
      </c>
      <c r="Q185">
        <f>Table1_2[[#This Row],[Likes]]+Table1_2[[#This Row],[Shares]]+Table1_2[[#This Row],[Comments]]</f>
        <v>4282</v>
      </c>
      <c r="R185" s="12">
        <f>(Table1_2[[#This Row],[Likes]]+Table1_2[[#This Row],[Shares]]+Table1_2[[#This Row],[Comments]])/Table1_2[[#This Row],[Impressions]]</f>
        <v>0.12490884163239112</v>
      </c>
      <c r="S185" s="4">
        <f>_xlfn.XLOOKUP(Table1_2[[#This Row],[Campaign_Name]],'Campaign Metadata'!A:A,'Campaign Metadata'!B:B,"not found",0)</f>
        <v>45458</v>
      </c>
      <c r="T185" s="4">
        <f>_xlfn.XLOOKUP(Table1_2[[#This Row],[Campaign_Name]],'Campaign Metadata'!A:A,'Campaign Metadata'!C:C,"not found",0)</f>
        <v>45488</v>
      </c>
      <c r="U185" t="str">
        <f>IF(AND(Table1_2[[#This Row],[Date]]&gt;=Table1_2[[#This Row],[Campaign Start Date2]],Table1_2[[#This Row],[Date]]&lt;=Table1_2[[#This Row],[Campaign End Date3]]),"During Campaign","Before Campaign")</f>
        <v>Before Campaign</v>
      </c>
      <c r="V185" s="30">
        <f>_xlfn.XLOOKUP(Table1_2[[#This Row],[Campaign_Name]],'Campaign Metadata'!A:A,'Campaign Metadata'!E:E,"Not Available",0)</f>
        <v>150000</v>
      </c>
      <c r="W185">
        <f>Table1_2[[#This Row],[Engagement]]/Table1_2[[#This Row],[Campaign Budget]]</f>
        <v>2.8546666666666668E-2</v>
      </c>
      <c r="X185">
        <f>_xlfn.XLOOKUP(Table1_2[[#This Row],[Platform]],'Engagement Summary'!B:B,'Engagement Summary'!H:H,"Not Available",0)</f>
        <v>1090</v>
      </c>
      <c r="Y185">
        <f>WEEKNUM(Table1_2[[#This Row],[Date]])</f>
        <v>49</v>
      </c>
      <c r="Z185">
        <f>_xlfn.XLOOKUP(Table1_2[[#This Row],[Platform]],'Engagement Summary'!B:B,'Engagement Summary'!G:G,"Notavailable",0)</f>
        <v>30671</v>
      </c>
    </row>
    <row r="186" spans="1:26" x14ac:dyDescent="0.3">
      <c r="A186" t="s">
        <v>363</v>
      </c>
      <c r="B186" t="s">
        <v>14</v>
      </c>
      <c r="C186" s="4">
        <v>45775</v>
      </c>
      <c r="D186" t="s">
        <v>22</v>
      </c>
      <c r="E186" t="s">
        <v>23</v>
      </c>
      <c r="F186">
        <v>3577</v>
      </c>
      <c r="G186">
        <v>596</v>
      </c>
      <c r="H186">
        <v>493</v>
      </c>
      <c r="I186">
        <v>67963</v>
      </c>
      <c r="J186">
        <v>67839</v>
      </c>
      <c r="K186">
        <v>53</v>
      </c>
      <c r="L186" t="s">
        <v>30</v>
      </c>
      <c r="M186" t="s">
        <v>31</v>
      </c>
      <c r="N186" s="4">
        <v>45651</v>
      </c>
      <c r="O186" s="4">
        <v>45667</v>
      </c>
      <c r="P186" t="s">
        <v>637</v>
      </c>
      <c r="Q186">
        <f>Table1_2[[#This Row],[Likes]]+Table1_2[[#This Row],[Shares]]+Table1_2[[#This Row],[Comments]]</f>
        <v>4666</v>
      </c>
      <c r="R186" s="12">
        <f>(Table1_2[[#This Row],[Likes]]+Table1_2[[#This Row],[Shares]]+Table1_2[[#This Row],[Comments]])/Table1_2[[#This Row],[Impressions]]</f>
        <v>6.8655003457763777E-2</v>
      </c>
      <c r="S186" s="4">
        <f>_xlfn.XLOOKUP(Table1_2[[#This Row],[Campaign_Name]],'Campaign Metadata'!A:A,'Campaign Metadata'!B:B,"not found",0)</f>
        <v>45651</v>
      </c>
      <c r="T186" s="4">
        <f>_xlfn.XLOOKUP(Table1_2[[#This Row],[Campaign_Name]],'Campaign Metadata'!A:A,'Campaign Metadata'!C:C,"not found",0)</f>
        <v>45667</v>
      </c>
      <c r="U186" t="str">
        <f>IF(AND(Table1_2[[#This Row],[Date]]&gt;=Table1_2[[#This Row],[Campaign Start Date2]],Table1_2[[#This Row],[Date]]&lt;=Table1_2[[#This Row],[Campaign End Date3]]),"During Campaign","Before Campaign")</f>
        <v>Before Campaign</v>
      </c>
      <c r="V186" s="30">
        <f>_xlfn.XLOOKUP(Table1_2[[#This Row],[Campaign_Name]],'Campaign Metadata'!A:A,'Campaign Metadata'!E:E,"Not Available",0)</f>
        <v>250000</v>
      </c>
      <c r="W186">
        <f>Table1_2[[#This Row],[Engagement]]/Table1_2[[#This Row],[Campaign Budget]]</f>
        <v>1.8664E-2</v>
      </c>
      <c r="X186">
        <f>_xlfn.XLOOKUP(Table1_2[[#This Row],[Platform]],'Engagement Summary'!B:B,'Engagement Summary'!H:H,"Not Available",0)</f>
        <v>415</v>
      </c>
      <c r="Y186">
        <f>WEEKNUM(Table1_2[[#This Row],[Date]])</f>
        <v>18</v>
      </c>
      <c r="Z186">
        <f>_xlfn.XLOOKUP(Table1_2[[#This Row],[Platform]],'Engagement Summary'!B:B,'Engagement Summary'!G:G,"Notavailable",0)</f>
        <v>26752</v>
      </c>
    </row>
    <row r="187" spans="1:26" x14ac:dyDescent="0.3">
      <c r="A187" t="s">
        <v>365</v>
      </c>
      <c r="B187" t="s">
        <v>27</v>
      </c>
      <c r="C187" s="4">
        <v>45657</v>
      </c>
      <c r="D187" t="s">
        <v>74</v>
      </c>
      <c r="E187" t="s">
        <v>219</v>
      </c>
      <c r="F187">
        <v>1018</v>
      </c>
      <c r="G187">
        <v>447</v>
      </c>
      <c r="H187">
        <v>332</v>
      </c>
      <c r="I187">
        <v>18324</v>
      </c>
      <c r="J187">
        <v>18164</v>
      </c>
      <c r="K187">
        <v>38</v>
      </c>
      <c r="L187" t="s">
        <v>62</v>
      </c>
      <c r="M187" t="s">
        <v>25</v>
      </c>
      <c r="N187" s="4">
        <v>45566</v>
      </c>
      <c r="O187" s="4">
        <v>45596</v>
      </c>
      <c r="P187" t="s">
        <v>637</v>
      </c>
      <c r="Q187">
        <f>Table1_2[[#This Row],[Likes]]+Table1_2[[#This Row],[Shares]]+Table1_2[[#This Row],[Comments]]</f>
        <v>1797</v>
      </c>
      <c r="R187" s="12">
        <f>(Table1_2[[#This Row],[Likes]]+Table1_2[[#This Row],[Shares]]+Table1_2[[#This Row],[Comments]])/Table1_2[[#This Row],[Impressions]]</f>
        <v>9.8068107400130972E-2</v>
      </c>
      <c r="S187" s="4">
        <f>_xlfn.XLOOKUP(Table1_2[[#This Row],[Campaign_Name]],'Campaign Metadata'!A:A,'Campaign Metadata'!B:B,"not found",0)</f>
        <v>45566</v>
      </c>
      <c r="T187" s="4">
        <f>_xlfn.XLOOKUP(Table1_2[[#This Row],[Campaign_Name]],'Campaign Metadata'!A:A,'Campaign Metadata'!C:C,"not found",0)</f>
        <v>45596</v>
      </c>
      <c r="U187" t="str">
        <f>IF(AND(Table1_2[[#This Row],[Date]]&gt;=Table1_2[[#This Row],[Campaign Start Date2]],Table1_2[[#This Row],[Date]]&lt;=Table1_2[[#This Row],[Campaign End Date3]]),"During Campaign","Before Campaign")</f>
        <v>Before Campaign</v>
      </c>
      <c r="V187" s="30">
        <f>_xlfn.XLOOKUP(Table1_2[[#This Row],[Campaign_Name]],'Campaign Metadata'!A:A,'Campaign Metadata'!E:E,"Not Available",0)</f>
        <v>200000</v>
      </c>
      <c r="W187">
        <f>Table1_2[[#This Row],[Engagement]]/Table1_2[[#This Row],[Campaign Budget]]</f>
        <v>8.9849999999999999E-3</v>
      </c>
      <c r="X187">
        <f>_xlfn.XLOOKUP(Table1_2[[#This Row],[Platform]],'Engagement Summary'!B:B,'Engagement Summary'!H:H,"Not Available",0)</f>
        <v>1090</v>
      </c>
      <c r="Y187">
        <f>WEEKNUM(Table1_2[[#This Row],[Date]])</f>
        <v>53</v>
      </c>
      <c r="Z187">
        <f>_xlfn.XLOOKUP(Table1_2[[#This Row],[Platform]],'Engagement Summary'!B:B,'Engagement Summary'!G:G,"Notavailable",0)</f>
        <v>30671</v>
      </c>
    </row>
    <row r="188" spans="1:26" x14ac:dyDescent="0.3">
      <c r="A188" t="s">
        <v>367</v>
      </c>
      <c r="B188" t="s">
        <v>43</v>
      </c>
      <c r="C188" s="4">
        <v>45518</v>
      </c>
      <c r="D188" t="s">
        <v>45</v>
      </c>
      <c r="E188" t="s">
        <v>46</v>
      </c>
      <c r="F188">
        <v>3073</v>
      </c>
      <c r="G188">
        <v>553</v>
      </c>
      <c r="H188">
        <v>174</v>
      </c>
      <c r="I188">
        <v>52241</v>
      </c>
      <c r="J188">
        <v>51605</v>
      </c>
      <c r="K188">
        <v>246</v>
      </c>
      <c r="L188" t="s">
        <v>37</v>
      </c>
      <c r="M188" t="s">
        <v>31</v>
      </c>
      <c r="N188" s="4">
        <v>45651</v>
      </c>
      <c r="O188" s="4">
        <v>45667</v>
      </c>
      <c r="P188" t="s">
        <v>637</v>
      </c>
      <c r="Q188">
        <f>Table1_2[[#This Row],[Likes]]+Table1_2[[#This Row],[Shares]]+Table1_2[[#This Row],[Comments]]</f>
        <v>3800</v>
      </c>
      <c r="R188" s="12">
        <f>(Table1_2[[#This Row],[Likes]]+Table1_2[[#This Row],[Shares]]+Table1_2[[#This Row],[Comments]])/Table1_2[[#This Row],[Impressions]]</f>
        <v>7.2739802071170159E-2</v>
      </c>
      <c r="S188" s="4">
        <f>_xlfn.XLOOKUP(Table1_2[[#This Row],[Campaign_Name]],'Campaign Metadata'!A:A,'Campaign Metadata'!B:B,"not found",0)</f>
        <v>45651</v>
      </c>
      <c r="T188" s="4">
        <f>_xlfn.XLOOKUP(Table1_2[[#This Row],[Campaign_Name]],'Campaign Metadata'!A:A,'Campaign Metadata'!C:C,"not found",0)</f>
        <v>45667</v>
      </c>
      <c r="U188" t="str">
        <f>IF(AND(Table1_2[[#This Row],[Date]]&gt;=Table1_2[[#This Row],[Campaign Start Date2]],Table1_2[[#This Row],[Date]]&lt;=Table1_2[[#This Row],[Campaign End Date3]]),"During Campaign","Before Campaign")</f>
        <v>Before Campaign</v>
      </c>
      <c r="V188" s="30">
        <f>_xlfn.XLOOKUP(Table1_2[[#This Row],[Campaign_Name]],'Campaign Metadata'!A:A,'Campaign Metadata'!E:E,"Not Available",0)</f>
        <v>250000</v>
      </c>
      <c r="W188">
        <f>Table1_2[[#This Row],[Engagement]]/Table1_2[[#This Row],[Campaign Budget]]</f>
        <v>1.52E-2</v>
      </c>
      <c r="X188">
        <f>_xlfn.XLOOKUP(Table1_2[[#This Row],[Platform]],'Engagement Summary'!B:B,'Engagement Summary'!H:H,"Not Available",0)</f>
        <v>1002</v>
      </c>
      <c r="Y188">
        <f>WEEKNUM(Table1_2[[#This Row],[Date]])</f>
        <v>33</v>
      </c>
      <c r="Z188">
        <f>_xlfn.XLOOKUP(Table1_2[[#This Row],[Platform]],'Engagement Summary'!B:B,'Engagement Summary'!G:G,"Notavailable",0)</f>
        <v>9566</v>
      </c>
    </row>
    <row r="189" spans="1:26" x14ac:dyDescent="0.3">
      <c r="A189" t="s">
        <v>369</v>
      </c>
      <c r="B189" t="s">
        <v>14</v>
      </c>
      <c r="C189" s="4">
        <v>45631</v>
      </c>
      <c r="D189" t="s">
        <v>74</v>
      </c>
      <c r="E189" t="s">
        <v>145</v>
      </c>
      <c r="F189">
        <v>1330</v>
      </c>
      <c r="G189">
        <v>925</v>
      </c>
      <c r="H189">
        <v>35</v>
      </c>
      <c r="I189">
        <v>15960</v>
      </c>
      <c r="J189">
        <v>15379</v>
      </c>
      <c r="K189">
        <v>229</v>
      </c>
      <c r="L189" t="s">
        <v>62</v>
      </c>
      <c r="M189" t="s">
        <v>31</v>
      </c>
      <c r="N189" s="4">
        <v>45651</v>
      </c>
      <c r="O189" s="4">
        <v>45667</v>
      </c>
      <c r="P189" t="s">
        <v>637</v>
      </c>
      <c r="Q189">
        <f>Table1_2[[#This Row],[Likes]]+Table1_2[[#This Row],[Shares]]+Table1_2[[#This Row],[Comments]]</f>
        <v>2290</v>
      </c>
      <c r="R189" s="12">
        <f>(Table1_2[[#This Row],[Likes]]+Table1_2[[#This Row],[Shares]]+Table1_2[[#This Row],[Comments]])/Table1_2[[#This Row],[Impressions]]</f>
        <v>0.14348370927318296</v>
      </c>
      <c r="S189" s="4">
        <f>_xlfn.XLOOKUP(Table1_2[[#This Row],[Campaign_Name]],'Campaign Metadata'!A:A,'Campaign Metadata'!B:B,"not found",0)</f>
        <v>45651</v>
      </c>
      <c r="T189" s="4">
        <f>_xlfn.XLOOKUP(Table1_2[[#This Row],[Campaign_Name]],'Campaign Metadata'!A:A,'Campaign Metadata'!C:C,"not found",0)</f>
        <v>45667</v>
      </c>
      <c r="U189" t="str">
        <f>IF(AND(Table1_2[[#This Row],[Date]]&gt;=Table1_2[[#This Row],[Campaign Start Date2]],Table1_2[[#This Row],[Date]]&lt;=Table1_2[[#This Row],[Campaign End Date3]]),"During Campaign","Before Campaign")</f>
        <v>Before Campaign</v>
      </c>
      <c r="V189" s="30">
        <f>_xlfn.XLOOKUP(Table1_2[[#This Row],[Campaign_Name]],'Campaign Metadata'!A:A,'Campaign Metadata'!E:E,"Not Available",0)</f>
        <v>250000</v>
      </c>
      <c r="W189">
        <f>Table1_2[[#This Row],[Engagement]]/Table1_2[[#This Row],[Campaign Budget]]</f>
        <v>9.1599999999999997E-3</v>
      </c>
      <c r="X189">
        <f>_xlfn.XLOOKUP(Table1_2[[#This Row],[Platform]],'Engagement Summary'!B:B,'Engagement Summary'!H:H,"Not Available",0)</f>
        <v>415</v>
      </c>
      <c r="Y189">
        <f>WEEKNUM(Table1_2[[#This Row],[Date]])</f>
        <v>49</v>
      </c>
      <c r="Z189">
        <f>_xlfn.XLOOKUP(Table1_2[[#This Row],[Platform]],'Engagement Summary'!B:B,'Engagement Summary'!G:G,"Notavailable",0)</f>
        <v>26752</v>
      </c>
    </row>
    <row r="190" spans="1:26" x14ac:dyDescent="0.3">
      <c r="A190" t="s">
        <v>371</v>
      </c>
      <c r="B190" t="s">
        <v>43</v>
      </c>
      <c r="C190" s="4">
        <v>45465</v>
      </c>
      <c r="D190" t="s">
        <v>22</v>
      </c>
      <c r="E190" t="s">
        <v>56</v>
      </c>
      <c r="F190">
        <v>3828</v>
      </c>
      <c r="G190">
        <v>148</v>
      </c>
      <c r="H190">
        <v>253</v>
      </c>
      <c r="I190">
        <v>30624</v>
      </c>
      <c r="J190">
        <v>30229</v>
      </c>
      <c r="K190">
        <v>235</v>
      </c>
      <c r="L190" t="s">
        <v>37</v>
      </c>
      <c r="M190" t="s">
        <v>617</v>
      </c>
      <c r="N190" s="4">
        <v>0</v>
      </c>
      <c r="O190" s="4">
        <v>0</v>
      </c>
      <c r="P190" t="s">
        <v>637</v>
      </c>
      <c r="Q190">
        <f>Table1_2[[#This Row],[Likes]]+Table1_2[[#This Row],[Shares]]+Table1_2[[#This Row],[Comments]]</f>
        <v>4229</v>
      </c>
      <c r="R190" s="12">
        <f>(Table1_2[[#This Row],[Likes]]+Table1_2[[#This Row],[Shares]]+Table1_2[[#This Row],[Comments]])/Table1_2[[#This Row],[Impressions]]</f>
        <v>0.13809430512016718</v>
      </c>
      <c r="S190" s="4" t="str">
        <f>_xlfn.XLOOKUP(Table1_2[[#This Row],[Campaign_Name]],'Campaign Metadata'!A:A,'Campaign Metadata'!B:B,"not found",0)</f>
        <v>not found</v>
      </c>
      <c r="T190" s="4" t="str">
        <f>_xlfn.XLOOKUP(Table1_2[[#This Row],[Campaign_Name]],'Campaign Metadata'!A:A,'Campaign Metadata'!C:C,"not found",0)</f>
        <v>not found</v>
      </c>
      <c r="U190" t="str">
        <f>IF(AND(Table1_2[[#This Row],[Date]]&gt;=Table1_2[[#This Row],[Campaign Start Date2]],Table1_2[[#This Row],[Date]]&lt;=Table1_2[[#This Row],[Campaign End Date3]]),"During Campaign","Before Campaign")</f>
        <v>Before Campaign</v>
      </c>
      <c r="V190" s="30" t="str">
        <f>_xlfn.XLOOKUP(Table1_2[[#This Row],[Campaign_Name]],'Campaign Metadata'!A:A,'Campaign Metadata'!E:E,"Not Available",0)</f>
        <v>Not Available</v>
      </c>
      <c r="W190" t="e">
        <f>Table1_2[[#This Row],[Engagement]]/Table1_2[[#This Row],[Campaign Budget]]</f>
        <v>#VALUE!</v>
      </c>
      <c r="X190">
        <f>_xlfn.XLOOKUP(Table1_2[[#This Row],[Platform]],'Engagement Summary'!B:B,'Engagement Summary'!H:H,"Not Available",0)</f>
        <v>1002</v>
      </c>
      <c r="Y190">
        <f>WEEKNUM(Table1_2[[#This Row],[Date]])</f>
        <v>25</v>
      </c>
      <c r="Z190">
        <f>_xlfn.XLOOKUP(Table1_2[[#This Row],[Platform]],'Engagement Summary'!B:B,'Engagement Summary'!G:G,"Notavailable",0)</f>
        <v>9566</v>
      </c>
    </row>
    <row r="191" spans="1:26" x14ac:dyDescent="0.3">
      <c r="A191" t="s">
        <v>372</v>
      </c>
      <c r="B191" t="s">
        <v>33</v>
      </c>
      <c r="C191" s="4">
        <v>45674</v>
      </c>
      <c r="D191" t="s">
        <v>16</v>
      </c>
      <c r="E191" t="s">
        <v>82</v>
      </c>
      <c r="F191">
        <v>142</v>
      </c>
      <c r="G191">
        <v>784</v>
      </c>
      <c r="H191">
        <v>183</v>
      </c>
      <c r="I191">
        <v>1704</v>
      </c>
      <c r="J191">
        <v>995</v>
      </c>
      <c r="K191">
        <v>154</v>
      </c>
      <c r="L191" t="s">
        <v>62</v>
      </c>
      <c r="M191" t="s">
        <v>38</v>
      </c>
      <c r="N191" s="4">
        <v>45717</v>
      </c>
      <c r="O191" s="4">
        <v>45747</v>
      </c>
      <c r="P191" t="s">
        <v>637</v>
      </c>
      <c r="Q191">
        <f>Table1_2[[#This Row],[Likes]]+Table1_2[[#This Row],[Shares]]+Table1_2[[#This Row],[Comments]]</f>
        <v>1109</v>
      </c>
      <c r="R191" s="12">
        <f>(Table1_2[[#This Row],[Likes]]+Table1_2[[#This Row],[Shares]]+Table1_2[[#This Row],[Comments]])/Table1_2[[#This Row],[Impressions]]</f>
        <v>0.6508215962441315</v>
      </c>
      <c r="S191" s="4">
        <f>_xlfn.XLOOKUP(Table1_2[[#This Row],[Campaign_Name]],'Campaign Metadata'!A:A,'Campaign Metadata'!B:B,"not found",0)</f>
        <v>45717</v>
      </c>
      <c r="T191" s="4">
        <f>_xlfn.XLOOKUP(Table1_2[[#This Row],[Campaign_Name]],'Campaign Metadata'!A:A,'Campaign Metadata'!C:C,"not found",0)</f>
        <v>45747</v>
      </c>
      <c r="U191" t="str">
        <f>IF(AND(Table1_2[[#This Row],[Date]]&gt;=Table1_2[[#This Row],[Campaign Start Date2]],Table1_2[[#This Row],[Date]]&lt;=Table1_2[[#This Row],[Campaign End Date3]]),"During Campaign","Before Campaign")</f>
        <v>Before Campaign</v>
      </c>
      <c r="V191" s="30">
        <f>_xlfn.XLOOKUP(Table1_2[[#This Row],[Campaign_Name]],'Campaign Metadata'!A:A,'Campaign Metadata'!E:E,"Not Available",0)</f>
        <v>180000</v>
      </c>
      <c r="W191">
        <f>Table1_2[[#This Row],[Engagement]]/Table1_2[[#This Row],[Campaign Budget]]</f>
        <v>6.1611111111111111E-3</v>
      </c>
      <c r="X191">
        <f>_xlfn.XLOOKUP(Table1_2[[#This Row],[Platform]],'Engagement Summary'!B:B,'Engagement Summary'!H:H,"Not Available",0)</f>
        <v>1047</v>
      </c>
      <c r="Y191">
        <f>WEEKNUM(Table1_2[[#This Row],[Date]])</f>
        <v>3</v>
      </c>
      <c r="Z191">
        <f>_xlfn.XLOOKUP(Table1_2[[#This Row],[Platform]],'Engagement Summary'!B:B,'Engagement Summary'!G:G,"Notavailable",0)</f>
        <v>5904</v>
      </c>
    </row>
    <row r="192" spans="1:26" x14ac:dyDescent="0.3">
      <c r="A192" t="s">
        <v>374</v>
      </c>
      <c r="B192" t="s">
        <v>43</v>
      </c>
      <c r="C192" s="4">
        <v>45463</v>
      </c>
      <c r="D192" t="s">
        <v>74</v>
      </c>
      <c r="E192" t="s">
        <v>75</v>
      </c>
      <c r="F192">
        <v>3798</v>
      </c>
      <c r="G192">
        <v>31</v>
      </c>
      <c r="H192">
        <v>279</v>
      </c>
      <c r="I192">
        <v>75960</v>
      </c>
      <c r="J192">
        <v>75813</v>
      </c>
      <c r="K192">
        <v>266</v>
      </c>
      <c r="L192" t="s">
        <v>30</v>
      </c>
      <c r="M192" t="s">
        <v>19</v>
      </c>
      <c r="N192" s="4">
        <v>45458</v>
      </c>
      <c r="O192" s="4">
        <v>45488</v>
      </c>
      <c r="P192" t="s">
        <v>637</v>
      </c>
      <c r="Q192">
        <f>Table1_2[[#This Row],[Likes]]+Table1_2[[#This Row],[Shares]]+Table1_2[[#This Row],[Comments]]</f>
        <v>4108</v>
      </c>
      <c r="R192" s="12">
        <f>(Table1_2[[#This Row],[Likes]]+Table1_2[[#This Row],[Shares]]+Table1_2[[#This Row],[Comments]])/Table1_2[[#This Row],[Impressions]]</f>
        <v>5.4081095313322801E-2</v>
      </c>
      <c r="S192" s="4">
        <f>_xlfn.XLOOKUP(Table1_2[[#This Row],[Campaign_Name]],'Campaign Metadata'!A:A,'Campaign Metadata'!B:B,"not found",0)</f>
        <v>45458</v>
      </c>
      <c r="T192" s="4">
        <f>_xlfn.XLOOKUP(Table1_2[[#This Row],[Campaign_Name]],'Campaign Metadata'!A:A,'Campaign Metadata'!C:C,"not found",0)</f>
        <v>45488</v>
      </c>
      <c r="U192" t="str">
        <f>IF(AND(Table1_2[[#This Row],[Date]]&gt;=Table1_2[[#This Row],[Campaign Start Date2]],Table1_2[[#This Row],[Date]]&lt;=Table1_2[[#This Row],[Campaign End Date3]]),"During Campaign","Before Campaign")</f>
        <v>During Campaign</v>
      </c>
      <c r="V192" s="30">
        <f>_xlfn.XLOOKUP(Table1_2[[#This Row],[Campaign_Name]],'Campaign Metadata'!A:A,'Campaign Metadata'!E:E,"Not Available",0)</f>
        <v>150000</v>
      </c>
      <c r="W192">
        <f>Table1_2[[#This Row],[Engagement]]/Table1_2[[#This Row],[Campaign Budget]]</f>
        <v>2.7386666666666667E-2</v>
      </c>
      <c r="X192">
        <f>_xlfn.XLOOKUP(Table1_2[[#This Row],[Platform]],'Engagement Summary'!B:B,'Engagement Summary'!H:H,"Not Available",0)</f>
        <v>1002</v>
      </c>
      <c r="Y192">
        <f>WEEKNUM(Table1_2[[#This Row],[Date]])</f>
        <v>25</v>
      </c>
      <c r="Z192">
        <f>_xlfn.XLOOKUP(Table1_2[[#This Row],[Platform]],'Engagement Summary'!B:B,'Engagement Summary'!G:G,"Notavailable",0)</f>
        <v>9566</v>
      </c>
    </row>
    <row r="193" spans="1:26" x14ac:dyDescent="0.3">
      <c r="A193" t="s">
        <v>376</v>
      </c>
      <c r="B193" t="s">
        <v>33</v>
      </c>
      <c r="C193" s="4">
        <v>45483</v>
      </c>
      <c r="D193" t="s">
        <v>45</v>
      </c>
      <c r="E193" t="s">
        <v>88</v>
      </c>
      <c r="F193">
        <v>3099</v>
      </c>
      <c r="G193">
        <v>694</v>
      </c>
      <c r="H193">
        <v>171</v>
      </c>
      <c r="I193">
        <v>43386</v>
      </c>
      <c r="J193">
        <v>42921</v>
      </c>
      <c r="K193">
        <v>52</v>
      </c>
      <c r="L193" t="s">
        <v>30</v>
      </c>
      <c r="M193" t="s">
        <v>31</v>
      </c>
      <c r="N193" s="4">
        <v>45651</v>
      </c>
      <c r="O193" s="4">
        <v>45667</v>
      </c>
      <c r="P193" t="s">
        <v>637</v>
      </c>
      <c r="Q193">
        <f>Table1_2[[#This Row],[Likes]]+Table1_2[[#This Row],[Shares]]+Table1_2[[#This Row],[Comments]]</f>
        <v>3964</v>
      </c>
      <c r="R193" s="12">
        <f>(Table1_2[[#This Row],[Likes]]+Table1_2[[#This Row],[Shares]]+Table1_2[[#This Row],[Comments]])/Table1_2[[#This Row],[Impressions]]</f>
        <v>9.1365878393951966E-2</v>
      </c>
      <c r="S193" s="4">
        <f>_xlfn.XLOOKUP(Table1_2[[#This Row],[Campaign_Name]],'Campaign Metadata'!A:A,'Campaign Metadata'!B:B,"not found",0)</f>
        <v>45651</v>
      </c>
      <c r="T193" s="4">
        <f>_xlfn.XLOOKUP(Table1_2[[#This Row],[Campaign_Name]],'Campaign Metadata'!A:A,'Campaign Metadata'!C:C,"not found",0)</f>
        <v>45667</v>
      </c>
      <c r="U193" t="str">
        <f>IF(AND(Table1_2[[#This Row],[Date]]&gt;=Table1_2[[#This Row],[Campaign Start Date2]],Table1_2[[#This Row],[Date]]&lt;=Table1_2[[#This Row],[Campaign End Date3]]),"During Campaign","Before Campaign")</f>
        <v>Before Campaign</v>
      </c>
      <c r="V193" s="30">
        <f>_xlfn.XLOOKUP(Table1_2[[#This Row],[Campaign_Name]],'Campaign Metadata'!A:A,'Campaign Metadata'!E:E,"Not Available",0)</f>
        <v>250000</v>
      </c>
      <c r="W193">
        <f>Table1_2[[#This Row],[Engagement]]/Table1_2[[#This Row],[Campaign Budget]]</f>
        <v>1.5855999999999999E-2</v>
      </c>
      <c r="X193">
        <f>_xlfn.XLOOKUP(Table1_2[[#This Row],[Platform]],'Engagement Summary'!B:B,'Engagement Summary'!H:H,"Not Available",0)</f>
        <v>1047</v>
      </c>
      <c r="Y193">
        <f>WEEKNUM(Table1_2[[#This Row],[Date]])</f>
        <v>28</v>
      </c>
      <c r="Z193">
        <f>_xlfn.XLOOKUP(Table1_2[[#This Row],[Platform]],'Engagement Summary'!B:B,'Engagement Summary'!G:G,"Notavailable",0)</f>
        <v>5904</v>
      </c>
    </row>
    <row r="194" spans="1:26" x14ac:dyDescent="0.3">
      <c r="A194" t="s">
        <v>378</v>
      </c>
      <c r="B194" t="s">
        <v>33</v>
      </c>
      <c r="C194" s="4">
        <v>45603</v>
      </c>
      <c r="D194" t="s">
        <v>74</v>
      </c>
      <c r="E194" t="s">
        <v>85</v>
      </c>
      <c r="F194">
        <v>129</v>
      </c>
      <c r="G194">
        <v>643</v>
      </c>
      <c r="H194">
        <v>136</v>
      </c>
      <c r="I194">
        <v>1290</v>
      </c>
      <c r="J194">
        <v>839</v>
      </c>
      <c r="K194">
        <v>238</v>
      </c>
      <c r="L194" t="s">
        <v>30</v>
      </c>
      <c r="M194" t="s">
        <v>38</v>
      </c>
      <c r="N194" s="4">
        <v>45717</v>
      </c>
      <c r="O194" s="4">
        <v>45747</v>
      </c>
      <c r="P194" t="s">
        <v>637</v>
      </c>
      <c r="Q194">
        <f>Table1_2[[#This Row],[Likes]]+Table1_2[[#This Row],[Shares]]+Table1_2[[#This Row],[Comments]]</f>
        <v>908</v>
      </c>
      <c r="R194" s="12">
        <f>(Table1_2[[#This Row],[Likes]]+Table1_2[[#This Row],[Shares]]+Table1_2[[#This Row],[Comments]])/Table1_2[[#This Row],[Impressions]]</f>
        <v>0.70387596899224802</v>
      </c>
      <c r="S194" s="4">
        <f>_xlfn.XLOOKUP(Table1_2[[#This Row],[Campaign_Name]],'Campaign Metadata'!A:A,'Campaign Metadata'!B:B,"not found",0)</f>
        <v>45717</v>
      </c>
      <c r="T194" s="4">
        <f>_xlfn.XLOOKUP(Table1_2[[#This Row],[Campaign_Name]],'Campaign Metadata'!A:A,'Campaign Metadata'!C:C,"not found",0)</f>
        <v>45747</v>
      </c>
      <c r="U194" t="str">
        <f>IF(AND(Table1_2[[#This Row],[Date]]&gt;=Table1_2[[#This Row],[Campaign Start Date2]],Table1_2[[#This Row],[Date]]&lt;=Table1_2[[#This Row],[Campaign End Date3]]),"During Campaign","Before Campaign")</f>
        <v>Before Campaign</v>
      </c>
      <c r="V194" s="30">
        <f>_xlfn.XLOOKUP(Table1_2[[#This Row],[Campaign_Name]],'Campaign Metadata'!A:A,'Campaign Metadata'!E:E,"Not Available",0)</f>
        <v>180000</v>
      </c>
      <c r="W194">
        <f>Table1_2[[#This Row],[Engagement]]/Table1_2[[#This Row],[Campaign Budget]]</f>
        <v>5.0444444444444443E-3</v>
      </c>
      <c r="X194">
        <f>_xlfn.XLOOKUP(Table1_2[[#This Row],[Platform]],'Engagement Summary'!B:B,'Engagement Summary'!H:H,"Not Available",0)</f>
        <v>1047</v>
      </c>
      <c r="Y194">
        <f>WEEKNUM(Table1_2[[#This Row],[Date]])</f>
        <v>45</v>
      </c>
      <c r="Z194">
        <f>_xlfn.XLOOKUP(Table1_2[[#This Row],[Platform]],'Engagement Summary'!B:B,'Engagement Summary'!G:G,"Notavailable",0)</f>
        <v>5904</v>
      </c>
    </row>
    <row r="195" spans="1:26" x14ac:dyDescent="0.3">
      <c r="A195" t="s">
        <v>379</v>
      </c>
      <c r="B195" t="s">
        <v>43</v>
      </c>
      <c r="C195" s="4">
        <v>45488</v>
      </c>
      <c r="D195" t="s">
        <v>45</v>
      </c>
      <c r="E195" t="s">
        <v>46</v>
      </c>
      <c r="F195">
        <v>3796</v>
      </c>
      <c r="G195">
        <v>667</v>
      </c>
      <c r="H195">
        <v>395</v>
      </c>
      <c r="I195">
        <v>64532</v>
      </c>
      <c r="J195">
        <v>63550</v>
      </c>
      <c r="K195">
        <v>292</v>
      </c>
      <c r="L195" t="s">
        <v>30</v>
      </c>
      <c r="M195" t="s">
        <v>617</v>
      </c>
      <c r="N195" s="4">
        <v>0</v>
      </c>
      <c r="O195" s="4">
        <v>0</v>
      </c>
      <c r="P195" t="s">
        <v>637</v>
      </c>
      <c r="Q195">
        <f>Table1_2[[#This Row],[Likes]]+Table1_2[[#This Row],[Shares]]+Table1_2[[#This Row],[Comments]]</f>
        <v>4858</v>
      </c>
      <c r="R195" s="12">
        <f>(Table1_2[[#This Row],[Likes]]+Table1_2[[#This Row],[Shares]]+Table1_2[[#This Row],[Comments]])/Table1_2[[#This Row],[Impressions]]</f>
        <v>7.5280481001673588E-2</v>
      </c>
      <c r="S195" s="4" t="str">
        <f>_xlfn.XLOOKUP(Table1_2[[#This Row],[Campaign_Name]],'Campaign Metadata'!A:A,'Campaign Metadata'!B:B,"not found",0)</f>
        <v>not found</v>
      </c>
      <c r="T195" s="4" t="str">
        <f>_xlfn.XLOOKUP(Table1_2[[#This Row],[Campaign_Name]],'Campaign Metadata'!A:A,'Campaign Metadata'!C:C,"not found",0)</f>
        <v>not found</v>
      </c>
      <c r="U195" t="str">
        <f>IF(AND(Table1_2[[#This Row],[Date]]&gt;=Table1_2[[#This Row],[Campaign Start Date2]],Table1_2[[#This Row],[Date]]&lt;=Table1_2[[#This Row],[Campaign End Date3]]),"During Campaign","Before Campaign")</f>
        <v>Before Campaign</v>
      </c>
      <c r="V195" s="30" t="str">
        <f>_xlfn.XLOOKUP(Table1_2[[#This Row],[Campaign_Name]],'Campaign Metadata'!A:A,'Campaign Metadata'!E:E,"Not Available",0)</f>
        <v>Not Available</v>
      </c>
      <c r="W195" t="e">
        <f>Table1_2[[#This Row],[Engagement]]/Table1_2[[#This Row],[Campaign Budget]]</f>
        <v>#VALUE!</v>
      </c>
      <c r="X195">
        <f>_xlfn.XLOOKUP(Table1_2[[#This Row],[Platform]],'Engagement Summary'!B:B,'Engagement Summary'!H:H,"Not Available",0)</f>
        <v>1002</v>
      </c>
      <c r="Y195">
        <f>WEEKNUM(Table1_2[[#This Row],[Date]])</f>
        <v>29</v>
      </c>
      <c r="Z195">
        <f>_xlfn.XLOOKUP(Table1_2[[#This Row],[Platform]],'Engagement Summary'!B:B,'Engagement Summary'!G:G,"Notavailable",0)</f>
        <v>9566</v>
      </c>
    </row>
    <row r="196" spans="1:26" x14ac:dyDescent="0.3">
      <c r="A196" t="s">
        <v>380</v>
      </c>
      <c r="B196" t="s">
        <v>27</v>
      </c>
      <c r="C196" s="4">
        <v>45629</v>
      </c>
      <c r="D196" t="s">
        <v>22</v>
      </c>
      <c r="E196" t="s">
        <v>104</v>
      </c>
      <c r="F196">
        <v>3711</v>
      </c>
      <c r="G196">
        <v>352</v>
      </c>
      <c r="H196">
        <v>290</v>
      </c>
      <c r="I196">
        <v>48243</v>
      </c>
      <c r="J196">
        <v>47579</v>
      </c>
      <c r="K196">
        <v>11</v>
      </c>
      <c r="L196" t="s">
        <v>30</v>
      </c>
      <c r="M196" t="s">
        <v>19</v>
      </c>
      <c r="N196" s="4">
        <v>45458</v>
      </c>
      <c r="O196" s="4">
        <v>45488</v>
      </c>
      <c r="P196" t="s">
        <v>637</v>
      </c>
      <c r="Q196">
        <f>Table1_2[[#This Row],[Likes]]+Table1_2[[#This Row],[Shares]]+Table1_2[[#This Row],[Comments]]</f>
        <v>4353</v>
      </c>
      <c r="R196" s="12">
        <f>(Table1_2[[#This Row],[Likes]]+Table1_2[[#This Row],[Shares]]+Table1_2[[#This Row],[Comments]])/Table1_2[[#This Row],[Impressions]]</f>
        <v>9.023070704558174E-2</v>
      </c>
      <c r="S196" s="4">
        <f>_xlfn.XLOOKUP(Table1_2[[#This Row],[Campaign_Name]],'Campaign Metadata'!A:A,'Campaign Metadata'!B:B,"not found",0)</f>
        <v>45458</v>
      </c>
      <c r="T196" s="4">
        <f>_xlfn.XLOOKUP(Table1_2[[#This Row],[Campaign_Name]],'Campaign Metadata'!A:A,'Campaign Metadata'!C:C,"not found",0)</f>
        <v>45488</v>
      </c>
      <c r="U196" t="str">
        <f>IF(AND(Table1_2[[#This Row],[Date]]&gt;=Table1_2[[#This Row],[Campaign Start Date2]],Table1_2[[#This Row],[Date]]&lt;=Table1_2[[#This Row],[Campaign End Date3]]),"During Campaign","Before Campaign")</f>
        <v>Before Campaign</v>
      </c>
      <c r="V196" s="30">
        <f>_xlfn.XLOOKUP(Table1_2[[#This Row],[Campaign_Name]],'Campaign Metadata'!A:A,'Campaign Metadata'!E:E,"Not Available",0)</f>
        <v>150000</v>
      </c>
      <c r="W196">
        <f>Table1_2[[#This Row],[Engagement]]/Table1_2[[#This Row],[Campaign Budget]]</f>
        <v>2.9020000000000001E-2</v>
      </c>
      <c r="X196">
        <f>_xlfn.XLOOKUP(Table1_2[[#This Row],[Platform]],'Engagement Summary'!B:B,'Engagement Summary'!H:H,"Not Available",0)</f>
        <v>1090</v>
      </c>
      <c r="Y196">
        <f>WEEKNUM(Table1_2[[#This Row],[Date]])</f>
        <v>49</v>
      </c>
      <c r="Z196">
        <f>_xlfn.XLOOKUP(Table1_2[[#This Row],[Platform]],'Engagement Summary'!B:B,'Engagement Summary'!G:G,"Notavailable",0)</f>
        <v>30671</v>
      </c>
    </row>
    <row r="197" spans="1:26" x14ac:dyDescent="0.3">
      <c r="A197" t="s">
        <v>381</v>
      </c>
      <c r="B197" t="s">
        <v>27</v>
      </c>
      <c r="C197" s="4">
        <v>45737</v>
      </c>
      <c r="D197" t="s">
        <v>52</v>
      </c>
      <c r="E197" t="s">
        <v>53</v>
      </c>
      <c r="F197">
        <v>606</v>
      </c>
      <c r="G197">
        <v>789</v>
      </c>
      <c r="H197">
        <v>470</v>
      </c>
      <c r="I197">
        <v>7878</v>
      </c>
      <c r="J197">
        <v>7389</v>
      </c>
      <c r="K197">
        <v>239</v>
      </c>
      <c r="L197" t="s">
        <v>37</v>
      </c>
      <c r="M197" t="s">
        <v>31</v>
      </c>
      <c r="N197" s="4">
        <v>45651</v>
      </c>
      <c r="O197" s="4">
        <v>45667</v>
      </c>
      <c r="P197" t="s">
        <v>637</v>
      </c>
      <c r="Q197">
        <f>Table1_2[[#This Row],[Likes]]+Table1_2[[#This Row],[Shares]]+Table1_2[[#This Row],[Comments]]</f>
        <v>1865</v>
      </c>
      <c r="R197" s="12">
        <f>(Table1_2[[#This Row],[Likes]]+Table1_2[[#This Row],[Shares]]+Table1_2[[#This Row],[Comments]])/Table1_2[[#This Row],[Impressions]]</f>
        <v>0.23673521198273673</v>
      </c>
      <c r="S197" s="4">
        <f>_xlfn.XLOOKUP(Table1_2[[#This Row],[Campaign_Name]],'Campaign Metadata'!A:A,'Campaign Metadata'!B:B,"not found",0)</f>
        <v>45651</v>
      </c>
      <c r="T197" s="4">
        <f>_xlfn.XLOOKUP(Table1_2[[#This Row],[Campaign_Name]],'Campaign Metadata'!A:A,'Campaign Metadata'!C:C,"not found",0)</f>
        <v>45667</v>
      </c>
      <c r="U197" t="str">
        <f>IF(AND(Table1_2[[#This Row],[Date]]&gt;=Table1_2[[#This Row],[Campaign Start Date2]],Table1_2[[#This Row],[Date]]&lt;=Table1_2[[#This Row],[Campaign End Date3]]),"During Campaign","Before Campaign")</f>
        <v>Before Campaign</v>
      </c>
      <c r="V197" s="30">
        <f>_xlfn.XLOOKUP(Table1_2[[#This Row],[Campaign_Name]],'Campaign Metadata'!A:A,'Campaign Metadata'!E:E,"Not Available",0)</f>
        <v>250000</v>
      </c>
      <c r="W197">
        <f>Table1_2[[#This Row],[Engagement]]/Table1_2[[#This Row],[Campaign Budget]]</f>
        <v>7.4599999999999996E-3</v>
      </c>
      <c r="X197">
        <f>_xlfn.XLOOKUP(Table1_2[[#This Row],[Platform]],'Engagement Summary'!B:B,'Engagement Summary'!H:H,"Not Available",0)</f>
        <v>1090</v>
      </c>
      <c r="Y197">
        <f>WEEKNUM(Table1_2[[#This Row],[Date]])</f>
        <v>12</v>
      </c>
      <c r="Z197">
        <f>_xlfn.XLOOKUP(Table1_2[[#This Row],[Platform]],'Engagement Summary'!B:B,'Engagement Summary'!G:G,"Notavailable",0)</f>
        <v>30671</v>
      </c>
    </row>
    <row r="198" spans="1:26" x14ac:dyDescent="0.3">
      <c r="A198" t="s">
        <v>383</v>
      </c>
      <c r="B198" t="s">
        <v>43</v>
      </c>
      <c r="C198" s="4">
        <v>45504</v>
      </c>
      <c r="D198" t="s">
        <v>52</v>
      </c>
      <c r="E198" t="s">
        <v>59</v>
      </c>
      <c r="F198">
        <v>4689</v>
      </c>
      <c r="G198">
        <v>134</v>
      </c>
      <c r="H198">
        <v>403</v>
      </c>
      <c r="I198">
        <v>51579</v>
      </c>
      <c r="J198">
        <v>50924</v>
      </c>
      <c r="K198">
        <v>173</v>
      </c>
      <c r="L198" t="s">
        <v>30</v>
      </c>
      <c r="M198" t="s">
        <v>38</v>
      </c>
      <c r="N198" s="4">
        <v>45717</v>
      </c>
      <c r="O198" s="4">
        <v>45747</v>
      </c>
      <c r="P198" t="s">
        <v>637</v>
      </c>
      <c r="Q198">
        <f>Table1_2[[#This Row],[Likes]]+Table1_2[[#This Row],[Shares]]+Table1_2[[#This Row],[Comments]]</f>
        <v>5226</v>
      </c>
      <c r="R198" s="12">
        <f>(Table1_2[[#This Row],[Likes]]+Table1_2[[#This Row],[Shares]]+Table1_2[[#This Row],[Comments]])/Table1_2[[#This Row],[Impressions]]</f>
        <v>0.10132030477519921</v>
      </c>
      <c r="S198" s="4">
        <f>_xlfn.XLOOKUP(Table1_2[[#This Row],[Campaign_Name]],'Campaign Metadata'!A:A,'Campaign Metadata'!B:B,"not found",0)</f>
        <v>45717</v>
      </c>
      <c r="T198" s="4">
        <f>_xlfn.XLOOKUP(Table1_2[[#This Row],[Campaign_Name]],'Campaign Metadata'!A:A,'Campaign Metadata'!C:C,"not found",0)</f>
        <v>45747</v>
      </c>
      <c r="U198" t="str">
        <f>IF(AND(Table1_2[[#This Row],[Date]]&gt;=Table1_2[[#This Row],[Campaign Start Date2]],Table1_2[[#This Row],[Date]]&lt;=Table1_2[[#This Row],[Campaign End Date3]]),"During Campaign","Before Campaign")</f>
        <v>Before Campaign</v>
      </c>
      <c r="V198" s="30">
        <f>_xlfn.XLOOKUP(Table1_2[[#This Row],[Campaign_Name]],'Campaign Metadata'!A:A,'Campaign Metadata'!E:E,"Not Available",0)</f>
        <v>180000</v>
      </c>
      <c r="W198">
        <f>Table1_2[[#This Row],[Engagement]]/Table1_2[[#This Row],[Campaign Budget]]</f>
        <v>2.9033333333333335E-2</v>
      </c>
      <c r="X198">
        <f>_xlfn.XLOOKUP(Table1_2[[#This Row],[Platform]],'Engagement Summary'!B:B,'Engagement Summary'!H:H,"Not Available",0)</f>
        <v>1002</v>
      </c>
      <c r="Y198">
        <f>WEEKNUM(Table1_2[[#This Row],[Date]])</f>
        <v>31</v>
      </c>
      <c r="Z198">
        <f>_xlfn.XLOOKUP(Table1_2[[#This Row],[Platform]],'Engagement Summary'!B:B,'Engagement Summary'!G:G,"Notavailable",0)</f>
        <v>9566</v>
      </c>
    </row>
    <row r="199" spans="1:26" x14ac:dyDescent="0.3">
      <c r="A199" t="s">
        <v>384</v>
      </c>
      <c r="B199" t="s">
        <v>33</v>
      </c>
      <c r="C199" s="4">
        <v>45643</v>
      </c>
      <c r="D199" t="s">
        <v>35</v>
      </c>
      <c r="E199" t="s">
        <v>36</v>
      </c>
      <c r="F199">
        <v>360</v>
      </c>
      <c r="G199">
        <v>590</v>
      </c>
      <c r="H199">
        <v>393</v>
      </c>
      <c r="I199">
        <v>4680</v>
      </c>
      <c r="J199">
        <v>4322</v>
      </c>
      <c r="K199">
        <v>208</v>
      </c>
      <c r="L199" t="s">
        <v>62</v>
      </c>
      <c r="M199" t="s">
        <v>25</v>
      </c>
      <c r="N199" s="4">
        <v>45566</v>
      </c>
      <c r="O199" s="4">
        <v>45596</v>
      </c>
      <c r="P199" t="s">
        <v>637</v>
      </c>
      <c r="Q199">
        <f>Table1_2[[#This Row],[Likes]]+Table1_2[[#This Row],[Shares]]+Table1_2[[#This Row],[Comments]]</f>
        <v>1343</v>
      </c>
      <c r="R199" s="12">
        <f>(Table1_2[[#This Row],[Likes]]+Table1_2[[#This Row],[Shares]]+Table1_2[[#This Row],[Comments]])/Table1_2[[#This Row],[Impressions]]</f>
        <v>0.28696581196581195</v>
      </c>
      <c r="S199" s="4">
        <f>_xlfn.XLOOKUP(Table1_2[[#This Row],[Campaign_Name]],'Campaign Metadata'!A:A,'Campaign Metadata'!B:B,"not found",0)</f>
        <v>45566</v>
      </c>
      <c r="T199" s="4">
        <f>_xlfn.XLOOKUP(Table1_2[[#This Row],[Campaign_Name]],'Campaign Metadata'!A:A,'Campaign Metadata'!C:C,"not found",0)</f>
        <v>45596</v>
      </c>
      <c r="U199" t="str">
        <f>IF(AND(Table1_2[[#This Row],[Date]]&gt;=Table1_2[[#This Row],[Campaign Start Date2]],Table1_2[[#This Row],[Date]]&lt;=Table1_2[[#This Row],[Campaign End Date3]]),"During Campaign","Before Campaign")</f>
        <v>Before Campaign</v>
      </c>
      <c r="V199" s="30">
        <f>_xlfn.XLOOKUP(Table1_2[[#This Row],[Campaign_Name]],'Campaign Metadata'!A:A,'Campaign Metadata'!E:E,"Not Available",0)</f>
        <v>200000</v>
      </c>
      <c r="W199">
        <f>Table1_2[[#This Row],[Engagement]]/Table1_2[[#This Row],[Campaign Budget]]</f>
        <v>6.7149999999999996E-3</v>
      </c>
      <c r="X199">
        <f>_xlfn.XLOOKUP(Table1_2[[#This Row],[Platform]],'Engagement Summary'!B:B,'Engagement Summary'!H:H,"Not Available",0)</f>
        <v>1047</v>
      </c>
      <c r="Y199">
        <f>WEEKNUM(Table1_2[[#This Row],[Date]])</f>
        <v>51</v>
      </c>
      <c r="Z199">
        <f>_xlfn.XLOOKUP(Table1_2[[#This Row],[Platform]],'Engagement Summary'!B:B,'Engagement Summary'!G:G,"Notavailable",0)</f>
        <v>5904</v>
      </c>
    </row>
    <row r="200" spans="1:26" x14ac:dyDescent="0.3">
      <c r="A200" t="s">
        <v>386</v>
      </c>
      <c r="B200" t="s">
        <v>14</v>
      </c>
      <c r="C200" s="4">
        <v>45501</v>
      </c>
      <c r="D200" t="s">
        <v>52</v>
      </c>
      <c r="E200" t="s">
        <v>132</v>
      </c>
      <c r="F200">
        <v>3215</v>
      </c>
      <c r="G200">
        <v>960</v>
      </c>
      <c r="H200">
        <v>202</v>
      </c>
      <c r="I200">
        <v>32150</v>
      </c>
      <c r="J200">
        <v>31404</v>
      </c>
      <c r="K200">
        <v>251</v>
      </c>
      <c r="L200" t="s">
        <v>37</v>
      </c>
      <c r="M200" t="s">
        <v>19</v>
      </c>
      <c r="N200" s="4">
        <v>45458</v>
      </c>
      <c r="O200" s="4">
        <v>45488</v>
      </c>
      <c r="P200" t="s">
        <v>637</v>
      </c>
      <c r="Q200">
        <f>Table1_2[[#This Row],[Likes]]+Table1_2[[#This Row],[Shares]]+Table1_2[[#This Row],[Comments]]</f>
        <v>4377</v>
      </c>
      <c r="R200" s="12">
        <f>(Table1_2[[#This Row],[Likes]]+Table1_2[[#This Row],[Shares]]+Table1_2[[#This Row],[Comments]])/Table1_2[[#This Row],[Impressions]]</f>
        <v>0.13614307931570763</v>
      </c>
      <c r="S200" s="4">
        <f>_xlfn.XLOOKUP(Table1_2[[#This Row],[Campaign_Name]],'Campaign Metadata'!A:A,'Campaign Metadata'!B:B,"not found",0)</f>
        <v>45458</v>
      </c>
      <c r="T200" s="4">
        <f>_xlfn.XLOOKUP(Table1_2[[#This Row],[Campaign_Name]],'Campaign Metadata'!A:A,'Campaign Metadata'!C:C,"not found",0)</f>
        <v>45488</v>
      </c>
      <c r="U200" t="str">
        <f>IF(AND(Table1_2[[#This Row],[Date]]&gt;=Table1_2[[#This Row],[Campaign Start Date2]],Table1_2[[#This Row],[Date]]&lt;=Table1_2[[#This Row],[Campaign End Date3]]),"During Campaign","Before Campaign")</f>
        <v>Before Campaign</v>
      </c>
      <c r="V200" s="30">
        <f>_xlfn.XLOOKUP(Table1_2[[#This Row],[Campaign_Name]],'Campaign Metadata'!A:A,'Campaign Metadata'!E:E,"Not Available",0)</f>
        <v>150000</v>
      </c>
      <c r="W200">
        <f>Table1_2[[#This Row],[Engagement]]/Table1_2[[#This Row],[Campaign Budget]]</f>
        <v>2.9180000000000001E-2</v>
      </c>
      <c r="X200">
        <f>_xlfn.XLOOKUP(Table1_2[[#This Row],[Platform]],'Engagement Summary'!B:B,'Engagement Summary'!H:H,"Not Available",0)</f>
        <v>415</v>
      </c>
      <c r="Y200">
        <f>WEEKNUM(Table1_2[[#This Row],[Date]])</f>
        <v>31</v>
      </c>
      <c r="Z200">
        <f>_xlfn.XLOOKUP(Table1_2[[#This Row],[Platform]],'Engagement Summary'!B:B,'Engagement Summary'!G:G,"Notavailable",0)</f>
        <v>26752</v>
      </c>
    </row>
    <row r="201" spans="1:26" x14ac:dyDescent="0.3">
      <c r="A201" t="s">
        <v>388</v>
      </c>
      <c r="B201" t="s">
        <v>33</v>
      </c>
      <c r="C201" s="4">
        <v>45668</v>
      </c>
      <c r="D201" t="s">
        <v>45</v>
      </c>
      <c r="E201" t="s">
        <v>88</v>
      </c>
      <c r="F201">
        <v>4523</v>
      </c>
      <c r="G201">
        <v>61</v>
      </c>
      <c r="H201">
        <v>157</v>
      </c>
      <c r="I201">
        <v>49753</v>
      </c>
      <c r="J201">
        <v>49329</v>
      </c>
      <c r="K201">
        <v>71</v>
      </c>
      <c r="L201" t="s">
        <v>37</v>
      </c>
      <c r="M201" t="s">
        <v>617</v>
      </c>
      <c r="N201" s="4">
        <v>0</v>
      </c>
      <c r="O201" s="4">
        <v>0</v>
      </c>
      <c r="P201" t="s">
        <v>637</v>
      </c>
      <c r="Q201">
        <f>Table1_2[[#This Row],[Likes]]+Table1_2[[#This Row],[Shares]]+Table1_2[[#This Row],[Comments]]</f>
        <v>4741</v>
      </c>
      <c r="R201" s="12">
        <f>(Table1_2[[#This Row],[Likes]]+Table1_2[[#This Row],[Shares]]+Table1_2[[#This Row],[Comments]])/Table1_2[[#This Row],[Impressions]]</f>
        <v>9.5290736237010829E-2</v>
      </c>
      <c r="S201" s="4" t="str">
        <f>_xlfn.XLOOKUP(Table1_2[[#This Row],[Campaign_Name]],'Campaign Metadata'!A:A,'Campaign Metadata'!B:B,"not found",0)</f>
        <v>not found</v>
      </c>
      <c r="T201" s="4" t="str">
        <f>_xlfn.XLOOKUP(Table1_2[[#This Row],[Campaign_Name]],'Campaign Metadata'!A:A,'Campaign Metadata'!C:C,"not found",0)</f>
        <v>not found</v>
      </c>
      <c r="U201" t="str">
        <f>IF(AND(Table1_2[[#This Row],[Date]]&gt;=Table1_2[[#This Row],[Campaign Start Date2]],Table1_2[[#This Row],[Date]]&lt;=Table1_2[[#This Row],[Campaign End Date3]]),"During Campaign","Before Campaign")</f>
        <v>Before Campaign</v>
      </c>
      <c r="V201" s="30" t="str">
        <f>_xlfn.XLOOKUP(Table1_2[[#This Row],[Campaign_Name]],'Campaign Metadata'!A:A,'Campaign Metadata'!E:E,"Not Available",0)</f>
        <v>Not Available</v>
      </c>
      <c r="W201" t="e">
        <f>Table1_2[[#This Row],[Engagement]]/Table1_2[[#This Row],[Campaign Budget]]</f>
        <v>#VALUE!</v>
      </c>
      <c r="X201">
        <f>_xlfn.XLOOKUP(Table1_2[[#This Row],[Platform]],'Engagement Summary'!B:B,'Engagement Summary'!H:H,"Not Available",0)</f>
        <v>1047</v>
      </c>
      <c r="Y201">
        <f>WEEKNUM(Table1_2[[#This Row],[Date]])</f>
        <v>2</v>
      </c>
      <c r="Z201">
        <f>_xlfn.XLOOKUP(Table1_2[[#This Row],[Platform]],'Engagement Summary'!B:B,'Engagement Summary'!G:G,"Notavailable",0)</f>
        <v>5904</v>
      </c>
    </row>
    <row r="202" spans="1:26" x14ac:dyDescent="0.3">
      <c r="A202" t="s">
        <v>390</v>
      </c>
      <c r="B202" t="s">
        <v>43</v>
      </c>
      <c r="C202" s="4">
        <v>45528</v>
      </c>
      <c r="D202" t="s">
        <v>45</v>
      </c>
      <c r="E202" t="s">
        <v>46</v>
      </c>
      <c r="F202">
        <v>4292</v>
      </c>
      <c r="G202">
        <v>51</v>
      </c>
      <c r="H202">
        <v>392</v>
      </c>
      <c r="I202">
        <v>55796</v>
      </c>
      <c r="J202">
        <v>54826</v>
      </c>
      <c r="K202">
        <v>264</v>
      </c>
      <c r="L202" t="s">
        <v>37</v>
      </c>
      <c r="M202" t="s">
        <v>31</v>
      </c>
      <c r="N202" s="4">
        <v>45651</v>
      </c>
      <c r="O202" s="4">
        <v>45667</v>
      </c>
      <c r="P202" t="s">
        <v>637</v>
      </c>
      <c r="Q202">
        <f>Table1_2[[#This Row],[Likes]]+Table1_2[[#This Row],[Shares]]+Table1_2[[#This Row],[Comments]]</f>
        <v>4735</v>
      </c>
      <c r="R202" s="12">
        <f>(Table1_2[[#This Row],[Likes]]+Table1_2[[#This Row],[Shares]]+Table1_2[[#This Row],[Comments]])/Table1_2[[#This Row],[Impressions]]</f>
        <v>8.4862714173059003E-2</v>
      </c>
      <c r="S202" s="4">
        <f>_xlfn.XLOOKUP(Table1_2[[#This Row],[Campaign_Name]],'Campaign Metadata'!A:A,'Campaign Metadata'!B:B,"not found",0)</f>
        <v>45651</v>
      </c>
      <c r="T202" s="4">
        <f>_xlfn.XLOOKUP(Table1_2[[#This Row],[Campaign_Name]],'Campaign Metadata'!A:A,'Campaign Metadata'!C:C,"not found",0)</f>
        <v>45667</v>
      </c>
      <c r="U202" t="str">
        <f>IF(AND(Table1_2[[#This Row],[Date]]&gt;=Table1_2[[#This Row],[Campaign Start Date2]],Table1_2[[#This Row],[Date]]&lt;=Table1_2[[#This Row],[Campaign End Date3]]),"During Campaign","Before Campaign")</f>
        <v>Before Campaign</v>
      </c>
      <c r="V202" s="30">
        <f>_xlfn.XLOOKUP(Table1_2[[#This Row],[Campaign_Name]],'Campaign Metadata'!A:A,'Campaign Metadata'!E:E,"Not Available",0)</f>
        <v>250000</v>
      </c>
      <c r="W202">
        <f>Table1_2[[#This Row],[Engagement]]/Table1_2[[#This Row],[Campaign Budget]]</f>
        <v>1.8939999999999999E-2</v>
      </c>
      <c r="X202">
        <f>_xlfn.XLOOKUP(Table1_2[[#This Row],[Platform]],'Engagement Summary'!B:B,'Engagement Summary'!H:H,"Not Available",0)</f>
        <v>1002</v>
      </c>
      <c r="Y202">
        <f>WEEKNUM(Table1_2[[#This Row],[Date]])</f>
        <v>34</v>
      </c>
      <c r="Z202">
        <f>_xlfn.XLOOKUP(Table1_2[[#This Row],[Platform]],'Engagement Summary'!B:B,'Engagement Summary'!G:G,"Notavailable",0)</f>
        <v>9566</v>
      </c>
    </row>
    <row r="203" spans="1:26" x14ac:dyDescent="0.3">
      <c r="A203" t="s">
        <v>391</v>
      </c>
      <c r="B203" t="s">
        <v>14</v>
      </c>
      <c r="C203" s="4">
        <v>45648</v>
      </c>
      <c r="D203" t="s">
        <v>16</v>
      </c>
      <c r="E203" t="s">
        <v>17</v>
      </c>
      <c r="F203">
        <v>1644</v>
      </c>
      <c r="G203">
        <v>546</v>
      </c>
      <c r="H203">
        <v>150</v>
      </c>
      <c r="I203">
        <v>27948</v>
      </c>
      <c r="J203">
        <v>27184</v>
      </c>
      <c r="K203">
        <v>300</v>
      </c>
      <c r="L203" t="s">
        <v>37</v>
      </c>
      <c r="M203" t="s">
        <v>31</v>
      </c>
      <c r="N203" s="4">
        <v>45651</v>
      </c>
      <c r="O203" s="4">
        <v>45667</v>
      </c>
      <c r="P203" t="s">
        <v>637</v>
      </c>
      <c r="Q203">
        <f>Table1_2[[#This Row],[Likes]]+Table1_2[[#This Row],[Shares]]+Table1_2[[#This Row],[Comments]]</f>
        <v>2340</v>
      </c>
      <c r="R203" s="12">
        <f>(Table1_2[[#This Row],[Likes]]+Table1_2[[#This Row],[Shares]]+Table1_2[[#This Row],[Comments]])/Table1_2[[#This Row],[Impressions]]</f>
        <v>8.3726921425504502E-2</v>
      </c>
      <c r="S203" s="4">
        <f>_xlfn.XLOOKUP(Table1_2[[#This Row],[Campaign_Name]],'Campaign Metadata'!A:A,'Campaign Metadata'!B:B,"not found",0)</f>
        <v>45651</v>
      </c>
      <c r="T203" s="4">
        <f>_xlfn.XLOOKUP(Table1_2[[#This Row],[Campaign_Name]],'Campaign Metadata'!A:A,'Campaign Metadata'!C:C,"not found",0)</f>
        <v>45667</v>
      </c>
      <c r="U203" t="str">
        <f>IF(AND(Table1_2[[#This Row],[Date]]&gt;=Table1_2[[#This Row],[Campaign Start Date2]],Table1_2[[#This Row],[Date]]&lt;=Table1_2[[#This Row],[Campaign End Date3]]),"During Campaign","Before Campaign")</f>
        <v>Before Campaign</v>
      </c>
      <c r="V203" s="30">
        <f>_xlfn.XLOOKUP(Table1_2[[#This Row],[Campaign_Name]],'Campaign Metadata'!A:A,'Campaign Metadata'!E:E,"Not Available",0)</f>
        <v>250000</v>
      </c>
      <c r="W203">
        <f>Table1_2[[#This Row],[Engagement]]/Table1_2[[#This Row],[Campaign Budget]]</f>
        <v>9.3600000000000003E-3</v>
      </c>
      <c r="X203">
        <f>_xlfn.XLOOKUP(Table1_2[[#This Row],[Platform]],'Engagement Summary'!B:B,'Engagement Summary'!H:H,"Not Available",0)</f>
        <v>415</v>
      </c>
      <c r="Y203">
        <f>WEEKNUM(Table1_2[[#This Row],[Date]])</f>
        <v>52</v>
      </c>
      <c r="Z203">
        <f>_xlfn.XLOOKUP(Table1_2[[#This Row],[Platform]],'Engagement Summary'!B:B,'Engagement Summary'!G:G,"Notavailable",0)</f>
        <v>26752</v>
      </c>
    </row>
    <row r="204" spans="1:26" x14ac:dyDescent="0.3">
      <c r="A204" t="s">
        <v>393</v>
      </c>
      <c r="B204" t="s">
        <v>27</v>
      </c>
      <c r="C204" s="4">
        <v>45449</v>
      </c>
      <c r="D204" t="s">
        <v>16</v>
      </c>
      <c r="E204" t="s">
        <v>29</v>
      </c>
      <c r="F204">
        <v>2728</v>
      </c>
      <c r="G204">
        <v>533</v>
      </c>
      <c r="H204">
        <v>215</v>
      </c>
      <c r="I204">
        <v>40920</v>
      </c>
      <c r="J204">
        <v>40816</v>
      </c>
      <c r="K204">
        <v>137</v>
      </c>
      <c r="L204" t="s">
        <v>62</v>
      </c>
      <c r="M204" t="s">
        <v>25</v>
      </c>
      <c r="N204" s="4">
        <v>45566</v>
      </c>
      <c r="O204" s="4">
        <v>45596</v>
      </c>
      <c r="P204" t="s">
        <v>637</v>
      </c>
      <c r="Q204">
        <f>Table1_2[[#This Row],[Likes]]+Table1_2[[#This Row],[Shares]]+Table1_2[[#This Row],[Comments]]</f>
        <v>3476</v>
      </c>
      <c r="R204" s="12">
        <f>(Table1_2[[#This Row],[Likes]]+Table1_2[[#This Row],[Shares]]+Table1_2[[#This Row],[Comments]])/Table1_2[[#This Row],[Impressions]]</f>
        <v>8.4946236559139784E-2</v>
      </c>
      <c r="S204" s="4">
        <f>_xlfn.XLOOKUP(Table1_2[[#This Row],[Campaign_Name]],'Campaign Metadata'!A:A,'Campaign Metadata'!B:B,"not found",0)</f>
        <v>45566</v>
      </c>
      <c r="T204" s="4">
        <f>_xlfn.XLOOKUP(Table1_2[[#This Row],[Campaign_Name]],'Campaign Metadata'!A:A,'Campaign Metadata'!C:C,"not found",0)</f>
        <v>45596</v>
      </c>
      <c r="U204" t="str">
        <f>IF(AND(Table1_2[[#This Row],[Date]]&gt;=Table1_2[[#This Row],[Campaign Start Date2]],Table1_2[[#This Row],[Date]]&lt;=Table1_2[[#This Row],[Campaign End Date3]]),"During Campaign","Before Campaign")</f>
        <v>Before Campaign</v>
      </c>
      <c r="V204" s="30">
        <f>_xlfn.XLOOKUP(Table1_2[[#This Row],[Campaign_Name]],'Campaign Metadata'!A:A,'Campaign Metadata'!E:E,"Not Available",0)</f>
        <v>200000</v>
      </c>
      <c r="W204">
        <f>Table1_2[[#This Row],[Engagement]]/Table1_2[[#This Row],[Campaign Budget]]</f>
        <v>1.738E-2</v>
      </c>
      <c r="X204">
        <f>_xlfn.XLOOKUP(Table1_2[[#This Row],[Platform]],'Engagement Summary'!B:B,'Engagement Summary'!H:H,"Not Available",0)</f>
        <v>1090</v>
      </c>
      <c r="Y204">
        <f>WEEKNUM(Table1_2[[#This Row],[Date]])</f>
        <v>23</v>
      </c>
      <c r="Z204">
        <f>_xlfn.XLOOKUP(Table1_2[[#This Row],[Platform]],'Engagement Summary'!B:B,'Engagement Summary'!G:G,"Notavailable",0)</f>
        <v>30671</v>
      </c>
    </row>
    <row r="205" spans="1:26" x14ac:dyDescent="0.3">
      <c r="A205" t="s">
        <v>394</v>
      </c>
      <c r="B205" t="s">
        <v>43</v>
      </c>
      <c r="C205" s="4">
        <v>45740</v>
      </c>
      <c r="D205" t="s">
        <v>16</v>
      </c>
      <c r="E205" t="s">
        <v>65</v>
      </c>
      <c r="F205">
        <v>3360</v>
      </c>
      <c r="G205">
        <v>525</v>
      </c>
      <c r="H205">
        <v>500</v>
      </c>
      <c r="I205">
        <v>60480</v>
      </c>
      <c r="J205">
        <v>59610</v>
      </c>
      <c r="K205">
        <v>192</v>
      </c>
      <c r="L205" t="s">
        <v>30</v>
      </c>
      <c r="M205" t="s">
        <v>19</v>
      </c>
      <c r="N205" s="4">
        <v>45458</v>
      </c>
      <c r="O205" s="4">
        <v>45488</v>
      </c>
      <c r="P205" t="s">
        <v>637</v>
      </c>
      <c r="Q205">
        <f>Table1_2[[#This Row],[Likes]]+Table1_2[[#This Row],[Shares]]+Table1_2[[#This Row],[Comments]]</f>
        <v>4385</v>
      </c>
      <c r="R205" s="12">
        <f>(Table1_2[[#This Row],[Likes]]+Table1_2[[#This Row],[Shares]]+Table1_2[[#This Row],[Comments]])/Table1_2[[#This Row],[Impressions]]</f>
        <v>7.2503306878306875E-2</v>
      </c>
      <c r="S205" s="4">
        <f>_xlfn.XLOOKUP(Table1_2[[#This Row],[Campaign_Name]],'Campaign Metadata'!A:A,'Campaign Metadata'!B:B,"not found",0)</f>
        <v>45458</v>
      </c>
      <c r="T205" s="4">
        <f>_xlfn.XLOOKUP(Table1_2[[#This Row],[Campaign_Name]],'Campaign Metadata'!A:A,'Campaign Metadata'!C:C,"not found",0)</f>
        <v>45488</v>
      </c>
      <c r="U205" t="str">
        <f>IF(AND(Table1_2[[#This Row],[Date]]&gt;=Table1_2[[#This Row],[Campaign Start Date2]],Table1_2[[#This Row],[Date]]&lt;=Table1_2[[#This Row],[Campaign End Date3]]),"During Campaign","Before Campaign")</f>
        <v>Before Campaign</v>
      </c>
      <c r="V205" s="30">
        <f>_xlfn.XLOOKUP(Table1_2[[#This Row],[Campaign_Name]],'Campaign Metadata'!A:A,'Campaign Metadata'!E:E,"Not Available",0)</f>
        <v>150000</v>
      </c>
      <c r="W205">
        <f>Table1_2[[#This Row],[Engagement]]/Table1_2[[#This Row],[Campaign Budget]]</f>
        <v>2.9233333333333333E-2</v>
      </c>
      <c r="X205">
        <f>_xlfn.XLOOKUP(Table1_2[[#This Row],[Platform]],'Engagement Summary'!B:B,'Engagement Summary'!H:H,"Not Available",0)</f>
        <v>1002</v>
      </c>
      <c r="Y205">
        <f>WEEKNUM(Table1_2[[#This Row],[Date]])</f>
        <v>13</v>
      </c>
      <c r="Z205">
        <f>_xlfn.XLOOKUP(Table1_2[[#This Row],[Platform]],'Engagement Summary'!B:B,'Engagement Summary'!G:G,"Notavailable",0)</f>
        <v>9566</v>
      </c>
    </row>
    <row r="206" spans="1:26" x14ac:dyDescent="0.3">
      <c r="A206" t="s">
        <v>395</v>
      </c>
      <c r="B206" t="s">
        <v>27</v>
      </c>
      <c r="C206" s="4">
        <v>45569</v>
      </c>
      <c r="D206" t="s">
        <v>22</v>
      </c>
      <c r="E206" t="s">
        <v>104</v>
      </c>
      <c r="F206">
        <v>1963</v>
      </c>
      <c r="G206">
        <v>213</v>
      </c>
      <c r="H206">
        <v>19</v>
      </c>
      <c r="I206">
        <v>39260</v>
      </c>
      <c r="J206">
        <v>38771</v>
      </c>
      <c r="K206">
        <v>145</v>
      </c>
      <c r="L206" t="s">
        <v>62</v>
      </c>
      <c r="M206" t="s">
        <v>617</v>
      </c>
      <c r="N206" s="4">
        <v>0</v>
      </c>
      <c r="O206" s="4">
        <v>0</v>
      </c>
      <c r="P206" t="s">
        <v>637</v>
      </c>
      <c r="Q206">
        <f>Table1_2[[#This Row],[Likes]]+Table1_2[[#This Row],[Shares]]+Table1_2[[#This Row],[Comments]]</f>
        <v>2195</v>
      </c>
      <c r="R206" s="12">
        <f>(Table1_2[[#This Row],[Likes]]+Table1_2[[#This Row],[Shares]]+Table1_2[[#This Row],[Comments]])/Table1_2[[#This Row],[Impressions]]</f>
        <v>5.5909322465613857E-2</v>
      </c>
      <c r="S206" s="4" t="str">
        <f>_xlfn.XLOOKUP(Table1_2[[#This Row],[Campaign_Name]],'Campaign Metadata'!A:A,'Campaign Metadata'!B:B,"not found",0)</f>
        <v>not found</v>
      </c>
      <c r="T206" s="4" t="str">
        <f>_xlfn.XLOOKUP(Table1_2[[#This Row],[Campaign_Name]],'Campaign Metadata'!A:A,'Campaign Metadata'!C:C,"not found",0)</f>
        <v>not found</v>
      </c>
      <c r="U206" t="str">
        <f>IF(AND(Table1_2[[#This Row],[Date]]&gt;=Table1_2[[#This Row],[Campaign Start Date2]],Table1_2[[#This Row],[Date]]&lt;=Table1_2[[#This Row],[Campaign End Date3]]),"During Campaign","Before Campaign")</f>
        <v>Before Campaign</v>
      </c>
      <c r="V206" s="30" t="str">
        <f>_xlfn.XLOOKUP(Table1_2[[#This Row],[Campaign_Name]],'Campaign Metadata'!A:A,'Campaign Metadata'!E:E,"Not Available",0)</f>
        <v>Not Available</v>
      </c>
      <c r="W206" t="e">
        <f>Table1_2[[#This Row],[Engagement]]/Table1_2[[#This Row],[Campaign Budget]]</f>
        <v>#VALUE!</v>
      </c>
      <c r="X206">
        <f>_xlfn.XLOOKUP(Table1_2[[#This Row],[Platform]],'Engagement Summary'!B:B,'Engagement Summary'!H:H,"Not Available",0)</f>
        <v>1090</v>
      </c>
      <c r="Y206">
        <f>WEEKNUM(Table1_2[[#This Row],[Date]])</f>
        <v>40</v>
      </c>
      <c r="Z206">
        <f>_xlfn.XLOOKUP(Table1_2[[#This Row],[Platform]],'Engagement Summary'!B:B,'Engagement Summary'!G:G,"Notavailable",0)</f>
        <v>30671</v>
      </c>
    </row>
    <row r="207" spans="1:26" x14ac:dyDescent="0.3">
      <c r="A207" t="s">
        <v>397</v>
      </c>
      <c r="B207" t="s">
        <v>27</v>
      </c>
      <c r="C207" s="4">
        <v>45629</v>
      </c>
      <c r="D207" t="s">
        <v>35</v>
      </c>
      <c r="E207" t="s">
        <v>154</v>
      </c>
      <c r="F207">
        <v>4285</v>
      </c>
      <c r="G207">
        <v>886</v>
      </c>
      <c r="H207">
        <v>376</v>
      </c>
      <c r="I207">
        <v>55705</v>
      </c>
      <c r="J207">
        <v>55556</v>
      </c>
      <c r="K207">
        <v>51</v>
      </c>
      <c r="L207" t="s">
        <v>62</v>
      </c>
      <c r="M207" t="s">
        <v>31</v>
      </c>
      <c r="N207" s="4">
        <v>45651</v>
      </c>
      <c r="O207" s="4">
        <v>45667</v>
      </c>
      <c r="P207" t="s">
        <v>637</v>
      </c>
      <c r="Q207">
        <f>Table1_2[[#This Row],[Likes]]+Table1_2[[#This Row],[Shares]]+Table1_2[[#This Row],[Comments]]</f>
        <v>5547</v>
      </c>
      <c r="R207" s="12">
        <f>(Table1_2[[#This Row],[Likes]]+Table1_2[[#This Row],[Shares]]+Table1_2[[#This Row],[Comments]])/Table1_2[[#This Row],[Impressions]]</f>
        <v>9.9578134817341346E-2</v>
      </c>
      <c r="S207" s="4">
        <f>_xlfn.XLOOKUP(Table1_2[[#This Row],[Campaign_Name]],'Campaign Metadata'!A:A,'Campaign Metadata'!B:B,"not found",0)</f>
        <v>45651</v>
      </c>
      <c r="T207" s="4">
        <f>_xlfn.XLOOKUP(Table1_2[[#This Row],[Campaign_Name]],'Campaign Metadata'!A:A,'Campaign Metadata'!C:C,"not found",0)</f>
        <v>45667</v>
      </c>
      <c r="U207" t="str">
        <f>IF(AND(Table1_2[[#This Row],[Date]]&gt;=Table1_2[[#This Row],[Campaign Start Date2]],Table1_2[[#This Row],[Date]]&lt;=Table1_2[[#This Row],[Campaign End Date3]]),"During Campaign","Before Campaign")</f>
        <v>Before Campaign</v>
      </c>
      <c r="V207" s="30">
        <f>_xlfn.XLOOKUP(Table1_2[[#This Row],[Campaign_Name]],'Campaign Metadata'!A:A,'Campaign Metadata'!E:E,"Not Available",0)</f>
        <v>250000</v>
      </c>
      <c r="W207">
        <f>Table1_2[[#This Row],[Engagement]]/Table1_2[[#This Row],[Campaign Budget]]</f>
        <v>2.2187999999999999E-2</v>
      </c>
      <c r="X207">
        <f>_xlfn.XLOOKUP(Table1_2[[#This Row],[Platform]],'Engagement Summary'!B:B,'Engagement Summary'!H:H,"Not Available",0)</f>
        <v>1090</v>
      </c>
      <c r="Y207">
        <f>WEEKNUM(Table1_2[[#This Row],[Date]])</f>
        <v>49</v>
      </c>
      <c r="Z207">
        <f>_xlfn.XLOOKUP(Table1_2[[#This Row],[Platform]],'Engagement Summary'!B:B,'Engagement Summary'!G:G,"Notavailable",0)</f>
        <v>30671</v>
      </c>
    </row>
    <row r="208" spans="1:26" x14ac:dyDescent="0.3">
      <c r="A208" t="s">
        <v>398</v>
      </c>
      <c r="B208" t="s">
        <v>33</v>
      </c>
      <c r="C208" s="4">
        <v>45625</v>
      </c>
      <c r="D208" t="s">
        <v>74</v>
      </c>
      <c r="E208" t="s">
        <v>85</v>
      </c>
      <c r="F208">
        <v>1176</v>
      </c>
      <c r="G208">
        <v>464</v>
      </c>
      <c r="H208">
        <v>394</v>
      </c>
      <c r="I208">
        <v>14112</v>
      </c>
      <c r="J208">
        <v>13588</v>
      </c>
      <c r="K208">
        <v>272</v>
      </c>
      <c r="L208" t="s">
        <v>37</v>
      </c>
      <c r="M208" t="s">
        <v>617</v>
      </c>
      <c r="N208" s="4">
        <v>0</v>
      </c>
      <c r="O208" s="4">
        <v>0</v>
      </c>
      <c r="P208" t="s">
        <v>637</v>
      </c>
      <c r="Q208">
        <f>Table1_2[[#This Row],[Likes]]+Table1_2[[#This Row],[Shares]]+Table1_2[[#This Row],[Comments]]</f>
        <v>2034</v>
      </c>
      <c r="R208" s="12">
        <f>(Table1_2[[#This Row],[Likes]]+Table1_2[[#This Row],[Shares]]+Table1_2[[#This Row],[Comments]])/Table1_2[[#This Row],[Impressions]]</f>
        <v>0.1441326530612245</v>
      </c>
      <c r="S208" s="4" t="str">
        <f>_xlfn.XLOOKUP(Table1_2[[#This Row],[Campaign_Name]],'Campaign Metadata'!A:A,'Campaign Metadata'!B:B,"not found",0)</f>
        <v>not found</v>
      </c>
      <c r="T208" s="4" t="str">
        <f>_xlfn.XLOOKUP(Table1_2[[#This Row],[Campaign_Name]],'Campaign Metadata'!A:A,'Campaign Metadata'!C:C,"not found",0)</f>
        <v>not found</v>
      </c>
      <c r="U208" t="str">
        <f>IF(AND(Table1_2[[#This Row],[Date]]&gt;=Table1_2[[#This Row],[Campaign Start Date2]],Table1_2[[#This Row],[Date]]&lt;=Table1_2[[#This Row],[Campaign End Date3]]),"During Campaign","Before Campaign")</f>
        <v>Before Campaign</v>
      </c>
      <c r="V208" s="30" t="str">
        <f>_xlfn.XLOOKUP(Table1_2[[#This Row],[Campaign_Name]],'Campaign Metadata'!A:A,'Campaign Metadata'!E:E,"Not Available",0)</f>
        <v>Not Available</v>
      </c>
      <c r="W208" t="e">
        <f>Table1_2[[#This Row],[Engagement]]/Table1_2[[#This Row],[Campaign Budget]]</f>
        <v>#VALUE!</v>
      </c>
      <c r="X208">
        <f>_xlfn.XLOOKUP(Table1_2[[#This Row],[Platform]],'Engagement Summary'!B:B,'Engagement Summary'!H:H,"Not Available",0)</f>
        <v>1047</v>
      </c>
      <c r="Y208">
        <f>WEEKNUM(Table1_2[[#This Row],[Date]])</f>
        <v>48</v>
      </c>
      <c r="Z208">
        <f>_xlfn.XLOOKUP(Table1_2[[#This Row],[Platform]],'Engagement Summary'!B:B,'Engagement Summary'!G:G,"Notavailable",0)</f>
        <v>5904</v>
      </c>
    </row>
    <row r="209" spans="1:26" x14ac:dyDescent="0.3">
      <c r="A209" t="s">
        <v>400</v>
      </c>
      <c r="B209" t="s">
        <v>14</v>
      </c>
      <c r="C209" s="4">
        <v>45546</v>
      </c>
      <c r="D209" t="s">
        <v>52</v>
      </c>
      <c r="E209" t="s">
        <v>132</v>
      </c>
      <c r="F209">
        <v>4858</v>
      </c>
      <c r="G209">
        <v>317</v>
      </c>
      <c r="H209">
        <v>129</v>
      </c>
      <c r="I209">
        <v>53438</v>
      </c>
      <c r="J209">
        <v>52687</v>
      </c>
      <c r="K209">
        <v>223</v>
      </c>
      <c r="L209" t="s">
        <v>37</v>
      </c>
      <c r="M209" t="s">
        <v>31</v>
      </c>
      <c r="N209" s="4">
        <v>45651</v>
      </c>
      <c r="O209" s="4">
        <v>45667</v>
      </c>
      <c r="P209" t="s">
        <v>637</v>
      </c>
      <c r="Q209">
        <f>Table1_2[[#This Row],[Likes]]+Table1_2[[#This Row],[Shares]]+Table1_2[[#This Row],[Comments]]</f>
        <v>5304</v>
      </c>
      <c r="R209" s="12">
        <f>(Table1_2[[#This Row],[Likes]]+Table1_2[[#This Row],[Shares]]+Table1_2[[#This Row],[Comments]])/Table1_2[[#This Row],[Impressions]]</f>
        <v>9.9255211647142488E-2</v>
      </c>
      <c r="S209" s="4">
        <f>_xlfn.XLOOKUP(Table1_2[[#This Row],[Campaign_Name]],'Campaign Metadata'!A:A,'Campaign Metadata'!B:B,"not found",0)</f>
        <v>45651</v>
      </c>
      <c r="T209" s="4">
        <f>_xlfn.XLOOKUP(Table1_2[[#This Row],[Campaign_Name]],'Campaign Metadata'!A:A,'Campaign Metadata'!C:C,"not found",0)</f>
        <v>45667</v>
      </c>
      <c r="U209" t="str">
        <f>IF(AND(Table1_2[[#This Row],[Date]]&gt;=Table1_2[[#This Row],[Campaign Start Date2]],Table1_2[[#This Row],[Date]]&lt;=Table1_2[[#This Row],[Campaign End Date3]]),"During Campaign","Before Campaign")</f>
        <v>Before Campaign</v>
      </c>
      <c r="V209" s="30">
        <f>_xlfn.XLOOKUP(Table1_2[[#This Row],[Campaign_Name]],'Campaign Metadata'!A:A,'Campaign Metadata'!E:E,"Not Available",0)</f>
        <v>250000</v>
      </c>
      <c r="W209">
        <f>Table1_2[[#This Row],[Engagement]]/Table1_2[[#This Row],[Campaign Budget]]</f>
        <v>2.1215999999999999E-2</v>
      </c>
      <c r="X209">
        <f>_xlfn.XLOOKUP(Table1_2[[#This Row],[Platform]],'Engagement Summary'!B:B,'Engagement Summary'!H:H,"Not Available",0)</f>
        <v>415</v>
      </c>
      <c r="Y209">
        <f>WEEKNUM(Table1_2[[#This Row],[Date]])</f>
        <v>37</v>
      </c>
      <c r="Z209">
        <f>_xlfn.XLOOKUP(Table1_2[[#This Row],[Platform]],'Engagement Summary'!B:B,'Engagement Summary'!G:G,"Notavailable",0)</f>
        <v>26752</v>
      </c>
    </row>
    <row r="210" spans="1:26" x14ac:dyDescent="0.3">
      <c r="A210" t="s">
        <v>402</v>
      </c>
      <c r="B210" t="s">
        <v>27</v>
      </c>
      <c r="C210" s="4">
        <v>45567</v>
      </c>
      <c r="D210" t="s">
        <v>35</v>
      </c>
      <c r="E210" t="s">
        <v>154</v>
      </c>
      <c r="F210">
        <v>4350</v>
      </c>
      <c r="G210">
        <v>771</v>
      </c>
      <c r="H210">
        <v>7</v>
      </c>
      <c r="I210">
        <v>60900</v>
      </c>
      <c r="J210">
        <v>60592</v>
      </c>
      <c r="K210">
        <v>195</v>
      </c>
      <c r="L210" t="s">
        <v>37</v>
      </c>
      <c r="M210" t="s">
        <v>19</v>
      </c>
      <c r="N210" s="4">
        <v>45458</v>
      </c>
      <c r="O210" s="4">
        <v>45488</v>
      </c>
      <c r="P210" t="s">
        <v>637</v>
      </c>
      <c r="Q210">
        <f>Table1_2[[#This Row],[Likes]]+Table1_2[[#This Row],[Shares]]+Table1_2[[#This Row],[Comments]]</f>
        <v>5128</v>
      </c>
      <c r="R210" s="12">
        <f>(Table1_2[[#This Row],[Likes]]+Table1_2[[#This Row],[Shares]]+Table1_2[[#This Row],[Comments]])/Table1_2[[#This Row],[Impressions]]</f>
        <v>8.4203612479474554E-2</v>
      </c>
      <c r="S210" s="4">
        <f>_xlfn.XLOOKUP(Table1_2[[#This Row],[Campaign_Name]],'Campaign Metadata'!A:A,'Campaign Metadata'!B:B,"not found",0)</f>
        <v>45458</v>
      </c>
      <c r="T210" s="4">
        <f>_xlfn.XLOOKUP(Table1_2[[#This Row],[Campaign_Name]],'Campaign Metadata'!A:A,'Campaign Metadata'!C:C,"not found",0)</f>
        <v>45488</v>
      </c>
      <c r="U210" t="str">
        <f>IF(AND(Table1_2[[#This Row],[Date]]&gt;=Table1_2[[#This Row],[Campaign Start Date2]],Table1_2[[#This Row],[Date]]&lt;=Table1_2[[#This Row],[Campaign End Date3]]),"During Campaign","Before Campaign")</f>
        <v>Before Campaign</v>
      </c>
      <c r="V210" s="30">
        <f>_xlfn.XLOOKUP(Table1_2[[#This Row],[Campaign_Name]],'Campaign Metadata'!A:A,'Campaign Metadata'!E:E,"Not Available",0)</f>
        <v>150000</v>
      </c>
      <c r="W210">
        <f>Table1_2[[#This Row],[Engagement]]/Table1_2[[#This Row],[Campaign Budget]]</f>
        <v>3.4186666666666664E-2</v>
      </c>
      <c r="X210">
        <f>_xlfn.XLOOKUP(Table1_2[[#This Row],[Platform]],'Engagement Summary'!B:B,'Engagement Summary'!H:H,"Not Available",0)</f>
        <v>1090</v>
      </c>
      <c r="Y210">
        <f>WEEKNUM(Table1_2[[#This Row],[Date]])</f>
        <v>40</v>
      </c>
      <c r="Z210">
        <f>_xlfn.XLOOKUP(Table1_2[[#This Row],[Platform]],'Engagement Summary'!B:B,'Engagement Summary'!G:G,"Notavailable",0)</f>
        <v>30671</v>
      </c>
    </row>
    <row r="211" spans="1:26" x14ac:dyDescent="0.3">
      <c r="A211" t="s">
        <v>403</v>
      </c>
      <c r="B211" t="s">
        <v>33</v>
      </c>
      <c r="C211" s="4">
        <v>45519</v>
      </c>
      <c r="D211" t="s">
        <v>45</v>
      </c>
      <c r="E211" t="s">
        <v>88</v>
      </c>
      <c r="F211">
        <v>914</v>
      </c>
      <c r="G211">
        <v>464</v>
      </c>
      <c r="H211">
        <v>246</v>
      </c>
      <c r="I211">
        <v>11882</v>
      </c>
      <c r="J211">
        <v>11500</v>
      </c>
      <c r="K211">
        <v>282</v>
      </c>
      <c r="L211" t="s">
        <v>62</v>
      </c>
      <c r="M211" t="s">
        <v>38</v>
      </c>
      <c r="N211" s="4">
        <v>45717</v>
      </c>
      <c r="O211" s="4">
        <v>45747</v>
      </c>
      <c r="P211" t="s">
        <v>637</v>
      </c>
      <c r="Q211">
        <f>Table1_2[[#This Row],[Likes]]+Table1_2[[#This Row],[Shares]]+Table1_2[[#This Row],[Comments]]</f>
        <v>1624</v>
      </c>
      <c r="R211" s="12">
        <f>(Table1_2[[#This Row],[Likes]]+Table1_2[[#This Row],[Shares]]+Table1_2[[#This Row],[Comments]])/Table1_2[[#This Row],[Impressions]]</f>
        <v>0.13667732704931829</v>
      </c>
      <c r="S211" s="4">
        <f>_xlfn.XLOOKUP(Table1_2[[#This Row],[Campaign_Name]],'Campaign Metadata'!A:A,'Campaign Metadata'!B:B,"not found",0)</f>
        <v>45717</v>
      </c>
      <c r="T211" s="4">
        <f>_xlfn.XLOOKUP(Table1_2[[#This Row],[Campaign_Name]],'Campaign Metadata'!A:A,'Campaign Metadata'!C:C,"not found",0)</f>
        <v>45747</v>
      </c>
      <c r="U211" t="str">
        <f>IF(AND(Table1_2[[#This Row],[Date]]&gt;=Table1_2[[#This Row],[Campaign Start Date2]],Table1_2[[#This Row],[Date]]&lt;=Table1_2[[#This Row],[Campaign End Date3]]),"During Campaign","Before Campaign")</f>
        <v>Before Campaign</v>
      </c>
      <c r="V211" s="30">
        <f>_xlfn.XLOOKUP(Table1_2[[#This Row],[Campaign_Name]],'Campaign Metadata'!A:A,'Campaign Metadata'!E:E,"Not Available",0)</f>
        <v>180000</v>
      </c>
      <c r="W211">
        <f>Table1_2[[#This Row],[Engagement]]/Table1_2[[#This Row],[Campaign Budget]]</f>
        <v>9.0222222222222214E-3</v>
      </c>
      <c r="X211">
        <f>_xlfn.XLOOKUP(Table1_2[[#This Row],[Platform]],'Engagement Summary'!B:B,'Engagement Summary'!H:H,"Not Available",0)</f>
        <v>1047</v>
      </c>
      <c r="Y211">
        <f>WEEKNUM(Table1_2[[#This Row],[Date]])</f>
        <v>33</v>
      </c>
      <c r="Z211">
        <f>_xlfn.XLOOKUP(Table1_2[[#This Row],[Platform]],'Engagement Summary'!B:B,'Engagement Summary'!G:G,"Notavailable",0)</f>
        <v>5904</v>
      </c>
    </row>
    <row r="212" spans="1:26" x14ac:dyDescent="0.3">
      <c r="A212" t="s">
        <v>403</v>
      </c>
      <c r="B212" t="s">
        <v>33</v>
      </c>
      <c r="C212" s="4">
        <v>45519</v>
      </c>
      <c r="D212" t="s">
        <v>45</v>
      </c>
      <c r="E212" t="s">
        <v>88</v>
      </c>
      <c r="F212">
        <v>914</v>
      </c>
      <c r="G212">
        <v>464</v>
      </c>
      <c r="H212">
        <v>246</v>
      </c>
      <c r="I212">
        <v>11882</v>
      </c>
      <c r="J212">
        <v>11500</v>
      </c>
      <c r="K212">
        <v>282</v>
      </c>
      <c r="L212" t="s">
        <v>30</v>
      </c>
      <c r="M212" t="s">
        <v>38</v>
      </c>
      <c r="N212" s="4">
        <v>45717</v>
      </c>
      <c r="O212" s="4">
        <v>45747</v>
      </c>
      <c r="P212" t="s">
        <v>637</v>
      </c>
      <c r="Q212">
        <f>Table1_2[[#This Row],[Likes]]+Table1_2[[#This Row],[Shares]]+Table1_2[[#This Row],[Comments]]</f>
        <v>1624</v>
      </c>
      <c r="R212" s="12">
        <f>(Table1_2[[#This Row],[Likes]]+Table1_2[[#This Row],[Shares]]+Table1_2[[#This Row],[Comments]])/Table1_2[[#This Row],[Impressions]]</f>
        <v>0.13667732704931829</v>
      </c>
      <c r="S212" s="4">
        <f>_xlfn.XLOOKUP(Table1_2[[#This Row],[Campaign_Name]],'Campaign Metadata'!A:A,'Campaign Metadata'!B:B,"not found",0)</f>
        <v>45717</v>
      </c>
      <c r="T212" s="4">
        <f>_xlfn.XLOOKUP(Table1_2[[#This Row],[Campaign_Name]],'Campaign Metadata'!A:A,'Campaign Metadata'!C:C,"not found",0)</f>
        <v>45747</v>
      </c>
      <c r="U212" t="str">
        <f>IF(AND(Table1_2[[#This Row],[Date]]&gt;=Table1_2[[#This Row],[Campaign Start Date2]],Table1_2[[#This Row],[Date]]&lt;=Table1_2[[#This Row],[Campaign End Date3]]),"During Campaign","Before Campaign")</f>
        <v>Before Campaign</v>
      </c>
      <c r="V212" s="30">
        <f>_xlfn.XLOOKUP(Table1_2[[#This Row],[Campaign_Name]],'Campaign Metadata'!A:A,'Campaign Metadata'!E:E,"Not Available",0)</f>
        <v>180000</v>
      </c>
      <c r="W212">
        <f>Table1_2[[#This Row],[Engagement]]/Table1_2[[#This Row],[Campaign Budget]]</f>
        <v>9.0222222222222214E-3</v>
      </c>
      <c r="X212">
        <f>_xlfn.XLOOKUP(Table1_2[[#This Row],[Platform]],'Engagement Summary'!B:B,'Engagement Summary'!H:H,"Not Available",0)</f>
        <v>1047</v>
      </c>
      <c r="Y212">
        <f>WEEKNUM(Table1_2[[#This Row],[Date]])</f>
        <v>33</v>
      </c>
      <c r="Z212">
        <f>_xlfn.XLOOKUP(Table1_2[[#This Row],[Platform]],'Engagement Summary'!B:B,'Engagement Summary'!G:G,"Notavailable",0)</f>
        <v>5904</v>
      </c>
    </row>
    <row r="213" spans="1:26" x14ac:dyDescent="0.3">
      <c r="A213" t="s">
        <v>403</v>
      </c>
      <c r="B213" t="s">
        <v>33</v>
      </c>
      <c r="C213" s="4">
        <v>45519</v>
      </c>
      <c r="D213" t="s">
        <v>45</v>
      </c>
      <c r="E213" t="s">
        <v>88</v>
      </c>
      <c r="F213">
        <v>914</v>
      </c>
      <c r="G213">
        <v>464</v>
      </c>
      <c r="H213">
        <v>246</v>
      </c>
      <c r="I213">
        <v>11882</v>
      </c>
      <c r="J213">
        <v>11500</v>
      </c>
      <c r="K213">
        <v>282</v>
      </c>
      <c r="L213" t="s">
        <v>615</v>
      </c>
      <c r="M213" t="s">
        <v>38</v>
      </c>
      <c r="N213" s="4">
        <v>45717</v>
      </c>
      <c r="O213" s="4">
        <v>45747</v>
      </c>
      <c r="P213" t="s">
        <v>637</v>
      </c>
      <c r="Q213">
        <f>Table1_2[[#This Row],[Likes]]+Table1_2[[#This Row],[Shares]]+Table1_2[[#This Row],[Comments]]</f>
        <v>1624</v>
      </c>
      <c r="R213" s="12">
        <f>(Table1_2[[#This Row],[Likes]]+Table1_2[[#This Row],[Shares]]+Table1_2[[#This Row],[Comments]])/Table1_2[[#This Row],[Impressions]]</f>
        <v>0.13667732704931829</v>
      </c>
      <c r="S213" s="4">
        <f>_xlfn.XLOOKUP(Table1_2[[#This Row],[Campaign_Name]],'Campaign Metadata'!A:A,'Campaign Metadata'!B:B,"not found",0)</f>
        <v>45717</v>
      </c>
      <c r="T213" s="4">
        <f>_xlfn.XLOOKUP(Table1_2[[#This Row],[Campaign_Name]],'Campaign Metadata'!A:A,'Campaign Metadata'!C:C,"not found",0)</f>
        <v>45747</v>
      </c>
      <c r="U213" t="str">
        <f>IF(AND(Table1_2[[#This Row],[Date]]&gt;=Table1_2[[#This Row],[Campaign Start Date2]],Table1_2[[#This Row],[Date]]&lt;=Table1_2[[#This Row],[Campaign End Date3]]),"During Campaign","Before Campaign")</f>
        <v>Before Campaign</v>
      </c>
      <c r="V213" s="30">
        <f>_xlfn.XLOOKUP(Table1_2[[#This Row],[Campaign_Name]],'Campaign Metadata'!A:A,'Campaign Metadata'!E:E,"Not Available",0)</f>
        <v>180000</v>
      </c>
      <c r="W213">
        <f>Table1_2[[#This Row],[Engagement]]/Table1_2[[#This Row],[Campaign Budget]]</f>
        <v>9.0222222222222214E-3</v>
      </c>
      <c r="X213">
        <f>_xlfn.XLOOKUP(Table1_2[[#This Row],[Platform]],'Engagement Summary'!B:B,'Engagement Summary'!H:H,"Not Available",0)</f>
        <v>1047</v>
      </c>
      <c r="Y213">
        <f>WEEKNUM(Table1_2[[#This Row],[Date]])</f>
        <v>33</v>
      </c>
      <c r="Z213">
        <f>_xlfn.XLOOKUP(Table1_2[[#This Row],[Platform]],'Engagement Summary'!B:B,'Engagement Summary'!G:G,"Notavailable",0)</f>
        <v>5904</v>
      </c>
    </row>
    <row r="214" spans="1:26" x14ac:dyDescent="0.3">
      <c r="A214" t="s">
        <v>405</v>
      </c>
      <c r="B214" t="s">
        <v>33</v>
      </c>
      <c r="C214" s="4">
        <v>45645</v>
      </c>
      <c r="D214" t="s">
        <v>22</v>
      </c>
      <c r="E214" t="s">
        <v>113</v>
      </c>
      <c r="F214">
        <v>1813</v>
      </c>
      <c r="G214">
        <v>623</v>
      </c>
      <c r="H214">
        <v>72</v>
      </c>
      <c r="I214">
        <v>19943</v>
      </c>
      <c r="J214">
        <v>18959</v>
      </c>
      <c r="K214">
        <v>85</v>
      </c>
      <c r="L214" t="s">
        <v>37</v>
      </c>
      <c r="M214" t="s">
        <v>31</v>
      </c>
      <c r="N214" s="4">
        <v>45651</v>
      </c>
      <c r="O214" s="4">
        <v>45667</v>
      </c>
      <c r="P214" t="s">
        <v>637</v>
      </c>
      <c r="Q214">
        <f>Table1_2[[#This Row],[Likes]]+Table1_2[[#This Row],[Shares]]+Table1_2[[#This Row],[Comments]]</f>
        <v>2508</v>
      </c>
      <c r="R214" s="12">
        <f>(Table1_2[[#This Row],[Likes]]+Table1_2[[#This Row],[Shares]]+Table1_2[[#This Row],[Comments]])/Table1_2[[#This Row],[Impressions]]</f>
        <v>0.12575841147269717</v>
      </c>
      <c r="S214" s="4">
        <f>_xlfn.XLOOKUP(Table1_2[[#This Row],[Campaign_Name]],'Campaign Metadata'!A:A,'Campaign Metadata'!B:B,"not found",0)</f>
        <v>45651</v>
      </c>
      <c r="T214" s="4">
        <f>_xlfn.XLOOKUP(Table1_2[[#This Row],[Campaign_Name]],'Campaign Metadata'!A:A,'Campaign Metadata'!C:C,"not found",0)</f>
        <v>45667</v>
      </c>
      <c r="U214" t="str">
        <f>IF(AND(Table1_2[[#This Row],[Date]]&gt;=Table1_2[[#This Row],[Campaign Start Date2]],Table1_2[[#This Row],[Date]]&lt;=Table1_2[[#This Row],[Campaign End Date3]]),"During Campaign","Before Campaign")</f>
        <v>Before Campaign</v>
      </c>
      <c r="V214" s="30">
        <f>_xlfn.XLOOKUP(Table1_2[[#This Row],[Campaign_Name]],'Campaign Metadata'!A:A,'Campaign Metadata'!E:E,"Not Available",0)</f>
        <v>250000</v>
      </c>
      <c r="W214">
        <f>Table1_2[[#This Row],[Engagement]]/Table1_2[[#This Row],[Campaign Budget]]</f>
        <v>1.0031999999999999E-2</v>
      </c>
      <c r="X214">
        <f>_xlfn.XLOOKUP(Table1_2[[#This Row],[Platform]],'Engagement Summary'!B:B,'Engagement Summary'!H:H,"Not Available",0)</f>
        <v>1047</v>
      </c>
      <c r="Y214">
        <f>WEEKNUM(Table1_2[[#This Row],[Date]])</f>
        <v>51</v>
      </c>
      <c r="Z214">
        <f>_xlfn.XLOOKUP(Table1_2[[#This Row],[Platform]],'Engagement Summary'!B:B,'Engagement Summary'!G:G,"Notavailable",0)</f>
        <v>5904</v>
      </c>
    </row>
    <row r="215" spans="1:26" x14ac:dyDescent="0.3">
      <c r="A215" t="s">
        <v>407</v>
      </c>
      <c r="B215" t="s">
        <v>14</v>
      </c>
      <c r="C215" s="4">
        <v>45587</v>
      </c>
      <c r="D215" t="s">
        <v>16</v>
      </c>
      <c r="E215" t="s">
        <v>17</v>
      </c>
      <c r="F215">
        <v>4782</v>
      </c>
      <c r="G215">
        <v>721</v>
      </c>
      <c r="H215">
        <v>82</v>
      </c>
      <c r="I215">
        <v>86076</v>
      </c>
      <c r="J215">
        <v>85339</v>
      </c>
      <c r="K215">
        <v>19</v>
      </c>
      <c r="L215" t="s">
        <v>37</v>
      </c>
      <c r="M215" t="s">
        <v>19</v>
      </c>
      <c r="N215" s="4">
        <v>45458</v>
      </c>
      <c r="O215" s="4">
        <v>45488</v>
      </c>
      <c r="P215" t="s">
        <v>637</v>
      </c>
      <c r="Q215">
        <f>Table1_2[[#This Row],[Likes]]+Table1_2[[#This Row],[Shares]]+Table1_2[[#This Row],[Comments]]</f>
        <v>5585</v>
      </c>
      <c r="R215" s="12">
        <f>(Table1_2[[#This Row],[Likes]]+Table1_2[[#This Row],[Shares]]+Table1_2[[#This Row],[Comments]])/Table1_2[[#This Row],[Impressions]]</f>
        <v>6.4884520656164318E-2</v>
      </c>
      <c r="S215" s="4">
        <f>_xlfn.XLOOKUP(Table1_2[[#This Row],[Campaign_Name]],'Campaign Metadata'!A:A,'Campaign Metadata'!B:B,"not found",0)</f>
        <v>45458</v>
      </c>
      <c r="T215" s="4">
        <f>_xlfn.XLOOKUP(Table1_2[[#This Row],[Campaign_Name]],'Campaign Metadata'!A:A,'Campaign Metadata'!C:C,"not found",0)</f>
        <v>45488</v>
      </c>
      <c r="U215" t="str">
        <f>IF(AND(Table1_2[[#This Row],[Date]]&gt;=Table1_2[[#This Row],[Campaign Start Date2]],Table1_2[[#This Row],[Date]]&lt;=Table1_2[[#This Row],[Campaign End Date3]]),"During Campaign","Before Campaign")</f>
        <v>Before Campaign</v>
      </c>
      <c r="V215" s="30">
        <f>_xlfn.XLOOKUP(Table1_2[[#This Row],[Campaign_Name]],'Campaign Metadata'!A:A,'Campaign Metadata'!E:E,"Not Available",0)</f>
        <v>150000</v>
      </c>
      <c r="W215">
        <f>Table1_2[[#This Row],[Engagement]]/Table1_2[[#This Row],[Campaign Budget]]</f>
        <v>3.7233333333333334E-2</v>
      </c>
      <c r="X215">
        <f>_xlfn.XLOOKUP(Table1_2[[#This Row],[Platform]],'Engagement Summary'!B:B,'Engagement Summary'!H:H,"Not Available",0)</f>
        <v>415</v>
      </c>
      <c r="Y215">
        <f>WEEKNUM(Table1_2[[#This Row],[Date]])</f>
        <v>43</v>
      </c>
      <c r="Z215">
        <f>_xlfn.XLOOKUP(Table1_2[[#This Row],[Platform]],'Engagement Summary'!B:B,'Engagement Summary'!G:G,"Notavailable",0)</f>
        <v>26752</v>
      </c>
    </row>
    <row r="216" spans="1:26" x14ac:dyDescent="0.3">
      <c r="A216" t="s">
        <v>408</v>
      </c>
      <c r="B216" t="s">
        <v>14</v>
      </c>
      <c r="C216" s="4">
        <v>45549</v>
      </c>
      <c r="D216" t="s">
        <v>52</v>
      </c>
      <c r="E216" t="s">
        <v>132</v>
      </c>
      <c r="F216">
        <v>1048</v>
      </c>
      <c r="G216">
        <v>374</v>
      </c>
      <c r="H216">
        <v>450</v>
      </c>
      <c r="I216">
        <v>9432</v>
      </c>
      <c r="J216">
        <v>8882</v>
      </c>
      <c r="K216">
        <v>158</v>
      </c>
      <c r="L216" t="s">
        <v>30</v>
      </c>
      <c r="M216" t="s">
        <v>31</v>
      </c>
      <c r="N216" s="4">
        <v>45651</v>
      </c>
      <c r="O216" s="4">
        <v>45667</v>
      </c>
      <c r="P216" t="s">
        <v>637</v>
      </c>
      <c r="Q216">
        <f>Table1_2[[#This Row],[Likes]]+Table1_2[[#This Row],[Shares]]+Table1_2[[#This Row],[Comments]]</f>
        <v>1872</v>
      </c>
      <c r="R216" s="12">
        <f>(Table1_2[[#This Row],[Likes]]+Table1_2[[#This Row],[Shares]]+Table1_2[[#This Row],[Comments]])/Table1_2[[#This Row],[Impressions]]</f>
        <v>0.19847328244274809</v>
      </c>
      <c r="S216" s="4">
        <f>_xlfn.XLOOKUP(Table1_2[[#This Row],[Campaign_Name]],'Campaign Metadata'!A:A,'Campaign Metadata'!B:B,"not found",0)</f>
        <v>45651</v>
      </c>
      <c r="T216" s="4">
        <f>_xlfn.XLOOKUP(Table1_2[[#This Row],[Campaign_Name]],'Campaign Metadata'!A:A,'Campaign Metadata'!C:C,"not found",0)</f>
        <v>45667</v>
      </c>
      <c r="U216" t="str">
        <f>IF(AND(Table1_2[[#This Row],[Date]]&gt;=Table1_2[[#This Row],[Campaign Start Date2]],Table1_2[[#This Row],[Date]]&lt;=Table1_2[[#This Row],[Campaign End Date3]]),"During Campaign","Before Campaign")</f>
        <v>Before Campaign</v>
      </c>
      <c r="V216" s="30">
        <f>_xlfn.XLOOKUP(Table1_2[[#This Row],[Campaign_Name]],'Campaign Metadata'!A:A,'Campaign Metadata'!E:E,"Not Available",0)</f>
        <v>250000</v>
      </c>
      <c r="W216">
        <f>Table1_2[[#This Row],[Engagement]]/Table1_2[[#This Row],[Campaign Budget]]</f>
        <v>7.4879999999999999E-3</v>
      </c>
      <c r="X216">
        <f>_xlfn.XLOOKUP(Table1_2[[#This Row],[Platform]],'Engagement Summary'!B:B,'Engagement Summary'!H:H,"Not Available",0)</f>
        <v>415</v>
      </c>
      <c r="Y216">
        <f>WEEKNUM(Table1_2[[#This Row],[Date]])</f>
        <v>37</v>
      </c>
      <c r="Z216">
        <f>_xlfn.XLOOKUP(Table1_2[[#This Row],[Platform]],'Engagement Summary'!B:B,'Engagement Summary'!G:G,"Notavailable",0)</f>
        <v>26752</v>
      </c>
    </row>
    <row r="217" spans="1:26" x14ac:dyDescent="0.3">
      <c r="A217" t="s">
        <v>410</v>
      </c>
      <c r="B217" t="s">
        <v>27</v>
      </c>
      <c r="C217" s="4">
        <v>45626</v>
      </c>
      <c r="D217" t="s">
        <v>45</v>
      </c>
      <c r="E217" t="s">
        <v>68</v>
      </c>
      <c r="F217">
        <v>2509</v>
      </c>
      <c r="G217">
        <v>324</v>
      </c>
      <c r="H217">
        <v>171</v>
      </c>
      <c r="I217">
        <v>35126</v>
      </c>
      <c r="J217">
        <v>34685</v>
      </c>
      <c r="K217">
        <v>277</v>
      </c>
      <c r="L217" t="s">
        <v>30</v>
      </c>
      <c r="M217" t="s">
        <v>25</v>
      </c>
      <c r="N217" s="4">
        <v>45566</v>
      </c>
      <c r="O217" s="4">
        <v>45596</v>
      </c>
      <c r="P217" t="s">
        <v>637</v>
      </c>
      <c r="Q217">
        <f>Table1_2[[#This Row],[Likes]]+Table1_2[[#This Row],[Shares]]+Table1_2[[#This Row],[Comments]]</f>
        <v>3004</v>
      </c>
      <c r="R217" s="12">
        <f>(Table1_2[[#This Row],[Likes]]+Table1_2[[#This Row],[Shares]]+Table1_2[[#This Row],[Comments]])/Table1_2[[#This Row],[Impressions]]</f>
        <v>8.5520696919660646E-2</v>
      </c>
      <c r="S217" s="4">
        <f>_xlfn.XLOOKUP(Table1_2[[#This Row],[Campaign_Name]],'Campaign Metadata'!A:A,'Campaign Metadata'!B:B,"not found",0)</f>
        <v>45566</v>
      </c>
      <c r="T217" s="4">
        <f>_xlfn.XLOOKUP(Table1_2[[#This Row],[Campaign_Name]],'Campaign Metadata'!A:A,'Campaign Metadata'!C:C,"not found",0)</f>
        <v>45596</v>
      </c>
      <c r="U217" t="str">
        <f>IF(AND(Table1_2[[#This Row],[Date]]&gt;=Table1_2[[#This Row],[Campaign Start Date2]],Table1_2[[#This Row],[Date]]&lt;=Table1_2[[#This Row],[Campaign End Date3]]),"During Campaign","Before Campaign")</f>
        <v>Before Campaign</v>
      </c>
      <c r="V217" s="30">
        <f>_xlfn.XLOOKUP(Table1_2[[#This Row],[Campaign_Name]],'Campaign Metadata'!A:A,'Campaign Metadata'!E:E,"Not Available",0)</f>
        <v>200000</v>
      </c>
      <c r="W217">
        <f>Table1_2[[#This Row],[Engagement]]/Table1_2[[#This Row],[Campaign Budget]]</f>
        <v>1.502E-2</v>
      </c>
      <c r="X217">
        <f>_xlfn.XLOOKUP(Table1_2[[#This Row],[Platform]],'Engagement Summary'!B:B,'Engagement Summary'!H:H,"Not Available",0)</f>
        <v>1090</v>
      </c>
      <c r="Y217">
        <f>WEEKNUM(Table1_2[[#This Row],[Date]])</f>
        <v>48</v>
      </c>
      <c r="Z217">
        <f>_xlfn.XLOOKUP(Table1_2[[#This Row],[Platform]],'Engagement Summary'!B:B,'Engagement Summary'!G:G,"Notavailable",0)</f>
        <v>30671</v>
      </c>
    </row>
    <row r="218" spans="1:26" x14ac:dyDescent="0.3">
      <c r="A218" t="s">
        <v>411</v>
      </c>
      <c r="B218" t="s">
        <v>43</v>
      </c>
      <c r="C218" s="4">
        <v>45754</v>
      </c>
      <c r="D218" t="s">
        <v>16</v>
      </c>
      <c r="E218" t="s">
        <v>65</v>
      </c>
      <c r="F218">
        <v>3718</v>
      </c>
      <c r="G218">
        <v>385</v>
      </c>
      <c r="H218">
        <v>310</v>
      </c>
      <c r="I218">
        <v>70642</v>
      </c>
      <c r="J218">
        <v>69749</v>
      </c>
      <c r="K218">
        <v>233</v>
      </c>
      <c r="L218" t="s">
        <v>30</v>
      </c>
      <c r="M218" t="s">
        <v>25</v>
      </c>
      <c r="N218" s="4">
        <v>45566</v>
      </c>
      <c r="O218" s="4">
        <v>45596</v>
      </c>
      <c r="P218" t="s">
        <v>637</v>
      </c>
      <c r="Q218">
        <f>Table1_2[[#This Row],[Likes]]+Table1_2[[#This Row],[Shares]]+Table1_2[[#This Row],[Comments]]</f>
        <v>4413</v>
      </c>
      <c r="R218" s="12">
        <f>(Table1_2[[#This Row],[Likes]]+Table1_2[[#This Row],[Shares]]+Table1_2[[#This Row],[Comments]])/Table1_2[[#This Row],[Impressions]]</f>
        <v>6.246991874522239E-2</v>
      </c>
      <c r="S218" s="4">
        <f>_xlfn.XLOOKUP(Table1_2[[#This Row],[Campaign_Name]],'Campaign Metadata'!A:A,'Campaign Metadata'!B:B,"not found",0)</f>
        <v>45566</v>
      </c>
      <c r="T218" s="4">
        <f>_xlfn.XLOOKUP(Table1_2[[#This Row],[Campaign_Name]],'Campaign Metadata'!A:A,'Campaign Metadata'!C:C,"not found",0)</f>
        <v>45596</v>
      </c>
      <c r="U218" t="str">
        <f>IF(AND(Table1_2[[#This Row],[Date]]&gt;=Table1_2[[#This Row],[Campaign Start Date2]],Table1_2[[#This Row],[Date]]&lt;=Table1_2[[#This Row],[Campaign End Date3]]),"During Campaign","Before Campaign")</f>
        <v>Before Campaign</v>
      </c>
      <c r="V218" s="30">
        <f>_xlfn.XLOOKUP(Table1_2[[#This Row],[Campaign_Name]],'Campaign Metadata'!A:A,'Campaign Metadata'!E:E,"Not Available",0)</f>
        <v>200000</v>
      </c>
      <c r="W218">
        <f>Table1_2[[#This Row],[Engagement]]/Table1_2[[#This Row],[Campaign Budget]]</f>
        <v>2.2065000000000001E-2</v>
      </c>
      <c r="X218">
        <f>_xlfn.XLOOKUP(Table1_2[[#This Row],[Platform]],'Engagement Summary'!B:B,'Engagement Summary'!H:H,"Not Available",0)</f>
        <v>1002</v>
      </c>
      <c r="Y218">
        <f>WEEKNUM(Table1_2[[#This Row],[Date]])</f>
        <v>15</v>
      </c>
      <c r="Z218">
        <f>_xlfn.XLOOKUP(Table1_2[[#This Row],[Platform]],'Engagement Summary'!B:B,'Engagement Summary'!G:G,"Notavailable",0)</f>
        <v>9566</v>
      </c>
    </row>
    <row r="219" spans="1:26" x14ac:dyDescent="0.3">
      <c r="A219" t="s">
        <v>413</v>
      </c>
      <c r="B219" t="s">
        <v>14</v>
      </c>
      <c r="C219" s="4">
        <v>45672</v>
      </c>
      <c r="D219" t="s">
        <v>16</v>
      </c>
      <c r="E219" t="s">
        <v>17</v>
      </c>
      <c r="F219">
        <v>802</v>
      </c>
      <c r="G219">
        <v>262</v>
      </c>
      <c r="H219">
        <v>244</v>
      </c>
      <c r="I219">
        <v>14436</v>
      </c>
      <c r="J219">
        <v>14280</v>
      </c>
      <c r="K219">
        <v>49</v>
      </c>
      <c r="L219" t="s">
        <v>37</v>
      </c>
      <c r="M219" t="s">
        <v>19</v>
      </c>
      <c r="N219" s="4">
        <v>45458</v>
      </c>
      <c r="O219" s="4">
        <v>45488</v>
      </c>
      <c r="P219" t="s">
        <v>637</v>
      </c>
      <c r="Q219">
        <f>Table1_2[[#This Row],[Likes]]+Table1_2[[#This Row],[Shares]]+Table1_2[[#This Row],[Comments]]</f>
        <v>1308</v>
      </c>
      <c r="R219" s="12">
        <f>(Table1_2[[#This Row],[Likes]]+Table1_2[[#This Row],[Shares]]+Table1_2[[#This Row],[Comments]])/Table1_2[[#This Row],[Impressions]]</f>
        <v>9.0606816292601824E-2</v>
      </c>
      <c r="S219" s="4">
        <f>_xlfn.XLOOKUP(Table1_2[[#This Row],[Campaign_Name]],'Campaign Metadata'!A:A,'Campaign Metadata'!B:B,"not found",0)</f>
        <v>45458</v>
      </c>
      <c r="T219" s="4">
        <f>_xlfn.XLOOKUP(Table1_2[[#This Row],[Campaign_Name]],'Campaign Metadata'!A:A,'Campaign Metadata'!C:C,"not found",0)</f>
        <v>45488</v>
      </c>
      <c r="U219" t="str">
        <f>IF(AND(Table1_2[[#This Row],[Date]]&gt;=Table1_2[[#This Row],[Campaign Start Date2]],Table1_2[[#This Row],[Date]]&lt;=Table1_2[[#This Row],[Campaign End Date3]]),"During Campaign","Before Campaign")</f>
        <v>Before Campaign</v>
      </c>
      <c r="V219" s="30">
        <f>_xlfn.XLOOKUP(Table1_2[[#This Row],[Campaign_Name]],'Campaign Metadata'!A:A,'Campaign Metadata'!E:E,"Not Available",0)</f>
        <v>150000</v>
      </c>
      <c r="W219">
        <f>Table1_2[[#This Row],[Engagement]]/Table1_2[[#This Row],[Campaign Budget]]</f>
        <v>8.7200000000000003E-3</v>
      </c>
      <c r="X219">
        <f>_xlfn.XLOOKUP(Table1_2[[#This Row],[Platform]],'Engagement Summary'!B:B,'Engagement Summary'!H:H,"Not Available",0)</f>
        <v>415</v>
      </c>
      <c r="Y219">
        <f>WEEKNUM(Table1_2[[#This Row],[Date]])</f>
        <v>3</v>
      </c>
      <c r="Z219">
        <f>_xlfn.XLOOKUP(Table1_2[[#This Row],[Platform]],'Engagement Summary'!B:B,'Engagement Summary'!G:G,"Notavailable",0)</f>
        <v>26752</v>
      </c>
    </row>
    <row r="220" spans="1:26" x14ac:dyDescent="0.3">
      <c r="A220" t="s">
        <v>415</v>
      </c>
      <c r="B220" t="s">
        <v>43</v>
      </c>
      <c r="C220" s="4">
        <v>45445</v>
      </c>
      <c r="D220" t="s">
        <v>52</v>
      </c>
      <c r="E220" t="s">
        <v>59</v>
      </c>
      <c r="F220">
        <v>1871</v>
      </c>
      <c r="G220">
        <v>252</v>
      </c>
      <c r="H220">
        <v>335</v>
      </c>
      <c r="I220">
        <v>29936</v>
      </c>
      <c r="J220">
        <v>29576</v>
      </c>
      <c r="K220">
        <v>288</v>
      </c>
      <c r="L220" t="s">
        <v>37</v>
      </c>
      <c r="M220" t="s">
        <v>31</v>
      </c>
      <c r="N220" s="4">
        <v>45651</v>
      </c>
      <c r="O220" s="4">
        <v>45667</v>
      </c>
      <c r="P220" t="s">
        <v>637</v>
      </c>
      <c r="Q220">
        <f>Table1_2[[#This Row],[Likes]]+Table1_2[[#This Row],[Shares]]+Table1_2[[#This Row],[Comments]]</f>
        <v>2458</v>
      </c>
      <c r="R220" s="16">
        <f>(Table1_2[[#This Row],[Likes]]+Table1_2[[#This Row],[Shares]]+Table1_2[[#This Row],[Comments]])/Table1_2[[#This Row],[Impressions]]</f>
        <v>8.2108498129342594E-2</v>
      </c>
      <c r="S220" s="4">
        <f>_xlfn.XLOOKUP(Table1_2[[#This Row],[Campaign_Name]],'Campaign Metadata'!A:A,'Campaign Metadata'!B:B,"not found",0)</f>
        <v>45651</v>
      </c>
      <c r="T220" s="4">
        <f>_xlfn.XLOOKUP(Table1_2[[#This Row],[Campaign_Name]],'Campaign Metadata'!A:A,'Campaign Metadata'!C:C,"not found",0)</f>
        <v>45667</v>
      </c>
      <c r="U220" t="str">
        <f>IF(AND(Table1_2[[#This Row],[Date]]&gt;=Table1_2[[#This Row],[Campaign Start Date2]],Table1_2[[#This Row],[Date]]&lt;=Table1_2[[#This Row],[Campaign End Date3]]),"During Campaign","Before Campaign")</f>
        <v>Before Campaign</v>
      </c>
      <c r="V220" s="30">
        <f>_xlfn.XLOOKUP(Table1_2[[#This Row],[Campaign_Name]],'Campaign Metadata'!A:A,'Campaign Metadata'!E:E,"Not Available",0)</f>
        <v>250000</v>
      </c>
      <c r="W220">
        <f>Table1_2[[#This Row],[Engagement]]/Table1_2[[#This Row],[Campaign Budget]]</f>
        <v>9.8320000000000005E-3</v>
      </c>
      <c r="X220">
        <f>_xlfn.XLOOKUP(Table1_2[[#This Row],[Platform]],'Engagement Summary'!B:B,'Engagement Summary'!H:H,"Not Available",0)</f>
        <v>1002</v>
      </c>
      <c r="Y220">
        <f>WEEKNUM(Table1_2[[#This Row],[Date]])</f>
        <v>23</v>
      </c>
      <c r="Z220">
        <f>_xlfn.XLOOKUP(Table1_2[[#This Row],[Platform]],'Engagement Summary'!B:B,'Engagement Summary'!G:G,"Notavailable",0)</f>
        <v>9566</v>
      </c>
    </row>
    <row r="221" spans="1:26" x14ac:dyDescent="0.3">
      <c r="A221" t="s">
        <v>417</v>
      </c>
      <c r="B221" t="s">
        <v>33</v>
      </c>
      <c r="C221" s="4">
        <v>45617</v>
      </c>
      <c r="D221" t="s">
        <v>45</v>
      </c>
      <c r="E221" t="s">
        <v>88</v>
      </c>
      <c r="F221">
        <v>3773</v>
      </c>
      <c r="G221">
        <v>299</v>
      </c>
      <c r="H221">
        <v>38</v>
      </c>
      <c r="I221">
        <v>71687</v>
      </c>
      <c r="J221">
        <v>71447</v>
      </c>
      <c r="K221">
        <v>286</v>
      </c>
      <c r="L221" t="s">
        <v>62</v>
      </c>
      <c r="M221" t="s">
        <v>19</v>
      </c>
      <c r="N221" s="4">
        <v>45458</v>
      </c>
      <c r="O221" s="4">
        <v>45488</v>
      </c>
      <c r="P221" t="s">
        <v>637</v>
      </c>
      <c r="Q221">
        <f>Table1_2[[#This Row],[Likes]]+Table1_2[[#This Row],[Shares]]+Table1_2[[#This Row],[Comments]]</f>
        <v>4110</v>
      </c>
      <c r="R221" s="12">
        <f>(Table1_2[[#This Row],[Likes]]+Table1_2[[#This Row],[Shares]]+Table1_2[[#This Row],[Comments]])/Table1_2[[#This Row],[Impressions]]</f>
        <v>5.7332570758993957E-2</v>
      </c>
      <c r="S221" s="4">
        <f>_xlfn.XLOOKUP(Table1_2[[#This Row],[Campaign_Name]],'Campaign Metadata'!A:A,'Campaign Metadata'!B:B,"not found",0)</f>
        <v>45458</v>
      </c>
      <c r="T221" s="4">
        <f>_xlfn.XLOOKUP(Table1_2[[#This Row],[Campaign_Name]],'Campaign Metadata'!A:A,'Campaign Metadata'!C:C,"not found",0)</f>
        <v>45488</v>
      </c>
      <c r="U221" t="str">
        <f>IF(AND(Table1_2[[#This Row],[Date]]&gt;=Table1_2[[#This Row],[Campaign Start Date2]],Table1_2[[#This Row],[Date]]&lt;=Table1_2[[#This Row],[Campaign End Date3]]),"During Campaign","Before Campaign")</f>
        <v>Before Campaign</v>
      </c>
      <c r="V221" s="30">
        <f>_xlfn.XLOOKUP(Table1_2[[#This Row],[Campaign_Name]],'Campaign Metadata'!A:A,'Campaign Metadata'!E:E,"Not Available",0)</f>
        <v>150000</v>
      </c>
      <c r="W221">
        <f>Table1_2[[#This Row],[Engagement]]/Table1_2[[#This Row],[Campaign Budget]]</f>
        <v>2.7400000000000001E-2</v>
      </c>
      <c r="X221">
        <f>_xlfn.XLOOKUP(Table1_2[[#This Row],[Platform]],'Engagement Summary'!B:B,'Engagement Summary'!H:H,"Not Available",0)</f>
        <v>1047</v>
      </c>
      <c r="Y221">
        <f>WEEKNUM(Table1_2[[#This Row],[Date]])</f>
        <v>47</v>
      </c>
      <c r="Z221">
        <f>_xlfn.XLOOKUP(Table1_2[[#This Row],[Platform]],'Engagement Summary'!B:B,'Engagement Summary'!G:G,"Notavailable",0)</f>
        <v>5904</v>
      </c>
    </row>
    <row r="222" spans="1:26" x14ac:dyDescent="0.3">
      <c r="A222" t="s">
        <v>419</v>
      </c>
      <c r="B222" t="s">
        <v>33</v>
      </c>
      <c r="C222" s="4">
        <v>45658</v>
      </c>
      <c r="D222" t="s">
        <v>45</v>
      </c>
      <c r="E222" t="s">
        <v>88</v>
      </c>
      <c r="F222">
        <v>2234</v>
      </c>
      <c r="G222">
        <v>653</v>
      </c>
      <c r="H222">
        <v>432</v>
      </c>
      <c r="I222">
        <v>11170</v>
      </c>
      <c r="J222">
        <v>10569</v>
      </c>
      <c r="K222">
        <v>198</v>
      </c>
      <c r="L222" t="s">
        <v>62</v>
      </c>
      <c r="M222" t="s">
        <v>31</v>
      </c>
      <c r="N222" s="4">
        <v>45651</v>
      </c>
      <c r="O222" s="4">
        <v>45667</v>
      </c>
      <c r="P222" t="s">
        <v>637</v>
      </c>
      <c r="Q222">
        <f>Table1_2[[#This Row],[Likes]]+Table1_2[[#This Row],[Shares]]+Table1_2[[#This Row],[Comments]]</f>
        <v>3319</v>
      </c>
      <c r="R222" s="12">
        <f>(Table1_2[[#This Row],[Likes]]+Table1_2[[#This Row],[Shares]]+Table1_2[[#This Row],[Comments]])/Table1_2[[#This Row],[Impressions]]</f>
        <v>0.29713518352730528</v>
      </c>
      <c r="S222" s="4">
        <f>_xlfn.XLOOKUP(Table1_2[[#This Row],[Campaign_Name]],'Campaign Metadata'!A:A,'Campaign Metadata'!B:B,"not found",0)</f>
        <v>45651</v>
      </c>
      <c r="T222" s="4">
        <f>_xlfn.XLOOKUP(Table1_2[[#This Row],[Campaign_Name]],'Campaign Metadata'!A:A,'Campaign Metadata'!C:C,"not found",0)</f>
        <v>45667</v>
      </c>
      <c r="U222" t="str">
        <f>IF(AND(Table1_2[[#This Row],[Date]]&gt;=Table1_2[[#This Row],[Campaign Start Date2]],Table1_2[[#This Row],[Date]]&lt;=Table1_2[[#This Row],[Campaign End Date3]]),"During Campaign","Before Campaign")</f>
        <v>During Campaign</v>
      </c>
      <c r="V222" s="30">
        <f>_xlfn.XLOOKUP(Table1_2[[#This Row],[Campaign_Name]],'Campaign Metadata'!A:A,'Campaign Metadata'!E:E,"Not Available",0)</f>
        <v>250000</v>
      </c>
      <c r="W222">
        <f>Table1_2[[#This Row],[Engagement]]/Table1_2[[#This Row],[Campaign Budget]]</f>
        <v>1.3276E-2</v>
      </c>
      <c r="X222">
        <f>_xlfn.XLOOKUP(Table1_2[[#This Row],[Platform]],'Engagement Summary'!B:B,'Engagement Summary'!H:H,"Not Available",0)</f>
        <v>1047</v>
      </c>
      <c r="Y222">
        <f>WEEKNUM(Table1_2[[#This Row],[Date]])</f>
        <v>1</v>
      </c>
      <c r="Z222">
        <f>_xlfn.XLOOKUP(Table1_2[[#This Row],[Platform]],'Engagement Summary'!B:B,'Engagement Summary'!G:G,"Notavailable",0)</f>
        <v>5904</v>
      </c>
    </row>
    <row r="223" spans="1:26" x14ac:dyDescent="0.3">
      <c r="A223" t="s">
        <v>420</v>
      </c>
      <c r="B223" t="s">
        <v>14</v>
      </c>
      <c r="C223" s="4">
        <v>45771</v>
      </c>
      <c r="D223" t="s">
        <v>74</v>
      </c>
      <c r="E223" t="s">
        <v>145</v>
      </c>
      <c r="F223">
        <v>3820</v>
      </c>
      <c r="G223">
        <v>697</v>
      </c>
      <c r="H223">
        <v>268</v>
      </c>
      <c r="I223">
        <v>45840</v>
      </c>
      <c r="J223">
        <v>45631</v>
      </c>
      <c r="K223">
        <v>171</v>
      </c>
      <c r="L223" t="s">
        <v>30</v>
      </c>
      <c r="M223" t="s">
        <v>38</v>
      </c>
      <c r="N223" s="4">
        <v>45717</v>
      </c>
      <c r="O223" s="4">
        <v>45747</v>
      </c>
      <c r="P223" t="s">
        <v>637</v>
      </c>
      <c r="Q223">
        <f>Table1_2[[#This Row],[Likes]]+Table1_2[[#This Row],[Shares]]+Table1_2[[#This Row],[Comments]]</f>
        <v>4785</v>
      </c>
      <c r="R223" s="12">
        <f>(Table1_2[[#This Row],[Likes]]+Table1_2[[#This Row],[Shares]]+Table1_2[[#This Row],[Comments]])/Table1_2[[#This Row],[Impressions]]</f>
        <v>0.1043848167539267</v>
      </c>
      <c r="S223" s="4">
        <f>_xlfn.XLOOKUP(Table1_2[[#This Row],[Campaign_Name]],'Campaign Metadata'!A:A,'Campaign Metadata'!B:B,"not found",0)</f>
        <v>45717</v>
      </c>
      <c r="T223" s="4">
        <f>_xlfn.XLOOKUP(Table1_2[[#This Row],[Campaign_Name]],'Campaign Metadata'!A:A,'Campaign Metadata'!C:C,"not found",0)</f>
        <v>45747</v>
      </c>
      <c r="U223" t="str">
        <f>IF(AND(Table1_2[[#This Row],[Date]]&gt;=Table1_2[[#This Row],[Campaign Start Date2]],Table1_2[[#This Row],[Date]]&lt;=Table1_2[[#This Row],[Campaign End Date3]]),"During Campaign","Before Campaign")</f>
        <v>Before Campaign</v>
      </c>
      <c r="V223" s="30">
        <f>_xlfn.XLOOKUP(Table1_2[[#This Row],[Campaign_Name]],'Campaign Metadata'!A:A,'Campaign Metadata'!E:E,"Not Available",0)</f>
        <v>180000</v>
      </c>
      <c r="W223">
        <f>Table1_2[[#This Row],[Engagement]]/Table1_2[[#This Row],[Campaign Budget]]</f>
        <v>2.6583333333333334E-2</v>
      </c>
      <c r="X223">
        <f>_xlfn.XLOOKUP(Table1_2[[#This Row],[Platform]],'Engagement Summary'!B:B,'Engagement Summary'!H:H,"Not Available",0)</f>
        <v>415</v>
      </c>
      <c r="Y223">
        <f>WEEKNUM(Table1_2[[#This Row],[Date]])</f>
        <v>17</v>
      </c>
      <c r="Z223">
        <f>_xlfn.XLOOKUP(Table1_2[[#This Row],[Platform]],'Engagement Summary'!B:B,'Engagement Summary'!G:G,"Notavailable",0)</f>
        <v>26752</v>
      </c>
    </row>
    <row r="224" spans="1:26" x14ac:dyDescent="0.3">
      <c r="A224" t="s">
        <v>420</v>
      </c>
      <c r="B224" t="s">
        <v>14</v>
      </c>
      <c r="C224" s="4">
        <v>45771</v>
      </c>
      <c r="D224" t="s">
        <v>74</v>
      </c>
      <c r="E224" t="s">
        <v>145</v>
      </c>
      <c r="F224">
        <v>3820</v>
      </c>
      <c r="G224">
        <v>697</v>
      </c>
      <c r="H224">
        <v>268</v>
      </c>
      <c r="I224">
        <v>45840</v>
      </c>
      <c r="J224">
        <v>45631</v>
      </c>
      <c r="K224">
        <v>171</v>
      </c>
      <c r="L224" t="s">
        <v>603</v>
      </c>
      <c r="M224" t="s">
        <v>38</v>
      </c>
      <c r="N224" s="4">
        <v>45717</v>
      </c>
      <c r="O224" s="4">
        <v>45747</v>
      </c>
      <c r="P224" t="s">
        <v>637</v>
      </c>
      <c r="Q224">
        <f>Table1_2[[#This Row],[Likes]]+Table1_2[[#This Row],[Shares]]+Table1_2[[#This Row],[Comments]]</f>
        <v>4785</v>
      </c>
      <c r="R224" s="12">
        <f>(Table1_2[[#This Row],[Likes]]+Table1_2[[#This Row],[Shares]]+Table1_2[[#This Row],[Comments]])/Table1_2[[#This Row],[Impressions]]</f>
        <v>0.1043848167539267</v>
      </c>
      <c r="S224" s="4">
        <f>_xlfn.XLOOKUP(Table1_2[[#This Row],[Campaign_Name]],'Campaign Metadata'!A:A,'Campaign Metadata'!B:B,"not found",0)</f>
        <v>45717</v>
      </c>
      <c r="T224" s="4">
        <f>_xlfn.XLOOKUP(Table1_2[[#This Row],[Campaign_Name]],'Campaign Metadata'!A:A,'Campaign Metadata'!C:C,"not found",0)</f>
        <v>45747</v>
      </c>
      <c r="U224" t="str">
        <f>IF(AND(Table1_2[[#This Row],[Date]]&gt;=Table1_2[[#This Row],[Campaign Start Date2]],Table1_2[[#This Row],[Date]]&lt;=Table1_2[[#This Row],[Campaign End Date3]]),"During Campaign","Before Campaign")</f>
        <v>Before Campaign</v>
      </c>
      <c r="V224" s="30">
        <f>_xlfn.XLOOKUP(Table1_2[[#This Row],[Campaign_Name]],'Campaign Metadata'!A:A,'Campaign Metadata'!E:E,"Not Available",0)</f>
        <v>180000</v>
      </c>
      <c r="W224">
        <f>Table1_2[[#This Row],[Engagement]]/Table1_2[[#This Row],[Campaign Budget]]</f>
        <v>2.6583333333333334E-2</v>
      </c>
      <c r="X224">
        <f>_xlfn.XLOOKUP(Table1_2[[#This Row],[Platform]],'Engagement Summary'!B:B,'Engagement Summary'!H:H,"Not Available",0)</f>
        <v>415</v>
      </c>
      <c r="Y224">
        <f>WEEKNUM(Table1_2[[#This Row],[Date]])</f>
        <v>17</v>
      </c>
      <c r="Z224">
        <f>_xlfn.XLOOKUP(Table1_2[[#This Row],[Platform]],'Engagement Summary'!B:B,'Engagement Summary'!G:G,"Notavailable",0)</f>
        <v>26752</v>
      </c>
    </row>
    <row r="225" spans="1:26" x14ac:dyDescent="0.3">
      <c r="A225" t="s">
        <v>422</v>
      </c>
      <c r="B225" t="s">
        <v>14</v>
      </c>
      <c r="C225" s="4">
        <v>45467</v>
      </c>
      <c r="D225" t="s">
        <v>22</v>
      </c>
      <c r="E225" t="s">
        <v>23</v>
      </c>
      <c r="F225">
        <v>941</v>
      </c>
      <c r="G225">
        <v>121</v>
      </c>
      <c r="H225">
        <v>458</v>
      </c>
      <c r="I225">
        <v>14115</v>
      </c>
      <c r="J225">
        <v>13838</v>
      </c>
      <c r="K225">
        <v>87</v>
      </c>
      <c r="L225" t="s">
        <v>37</v>
      </c>
      <c r="M225" t="s">
        <v>19</v>
      </c>
      <c r="N225" s="4">
        <v>45458</v>
      </c>
      <c r="O225" s="4">
        <v>45488</v>
      </c>
      <c r="P225" t="s">
        <v>637</v>
      </c>
      <c r="Q225">
        <f>Table1_2[[#This Row],[Likes]]+Table1_2[[#This Row],[Shares]]+Table1_2[[#This Row],[Comments]]</f>
        <v>1520</v>
      </c>
      <c r="R225" s="12">
        <f>(Table1_2[[#This Row],[Likes]]+Table1_2[[#This Row],[Shares]]+Table1_2[[#This Row],[Comments]])/Table1_2[[#This Row],[Impressions]]</f>
        <v>0.10768685795253277</v>
      </c>
      <c r="S225" s="4">
        <f>_xlfn.XLOOKUP(Table1_2[[#This Row],[Campaign_Name]],'Campaign Metadata'!A:A,'Campaign Metadata'!B:B,"not found",0)</f>
        <v>45458</v>
      </c>
      <c r="T225" s="4">
        <f>_xlfn.XLOOKUP(Table1_2[[#This Row],[Campaign_Name]],'Campaign Metadata'!A:A,'Campaign Metadata'!C:C,"not found",0)</f>
        <v>45488</v>
      </c>
      <c r="U225" t="str">
        <f>IF(AND(Table1_2[[#This Row],[Date]]&gt;=Table1_2[[#This Row],[Campaign Start Date2]],Table1_2[[#This Row],[Date]]&lt;=Table1_2[[#This Row],[Campaign End Date3]]),"During Campaign","Before Campaign")</f>
        <v>During Campaign</v>
      </c>
      <c r="V225" s="30">
        <f>_xlfn.XLOOKUP(Table1_2[[#This Row],[Campaign_Name]],'Campaign Metadata'!A:A,'Campaign Metadata'!E:E,"Not Available",0)</f>
        <v>150000</v>
      </c>
      <c r="W225">
        <f>Table1_2[[#This Row],[Engagement]]/Table1_2[[#This Row],[Campaign Budget]]</f>
        <v>1.0133333333333333E-2</v>
      </c>
      <c r="X225">
        <f>_xlfn.XLOOKUP(Table1_2[[#This Row],[Platform]],'Engagement Summary'!B:B,'Engagement Summary'!H:H,"Not Available",0)</f>
        <v>415</v>
      </c>
      <c r="Y225">
        <f>WEEKNUM(Table1_2[[#This Row],[Date]])</f>
        <v>26</v>
      </c>
      <c r="Z225">
        <f>_xlfn.XLOOKUP(Table1_2[[#This Row],[Platform]],'Engagement Summary'!B:B,'Engagement Summary'!G:G,"Notavailable",0)</f>
        <v>26752</v>
      </c>
    </row>
    <row r="226" spans="1:26" x14ac:dyDescent="0.3">
      <c r="A226" t="s">
        <v>423</v>
      </c>
      <c r="B226" t="s">
        <v>14</v>
      </c>
      <c r="C226" s="4">
        <v>45655</v>
      </c>
      <c r="D226" t="s">
        <v>45</v>
      </c>
      <c r="E226" t="s">
        <v>49</v>
      </c>
      <c r="F226">
        <v>4274</v>
      </c>
      <c r="G226">
        <v>340</v>
      </c>
      <c r="H226">
        <v>281</v>
      </c>
      <c r="I226">
        <v>34192</v>
      </c>
      <c r="J226">
        <v>33446</v>
      </c>
      <c r="K226">
        <v>129</v>
      </c>
      <c r="L226" t="s">
        <v>30</v>
      </c>
      <c r="M226" t="s">
        <v>31</v>
      </c>
      <c r="N226" s="4">
        <v>45651</v>
      </c>
      <c r="O226" s="4">
        <v>45667</v>
      </c>
      <c r="P226" t="s">
        <v>637</v>
      </c>
      <c r="Q226">
        <f>Table1_2[[#This Row],[Likes]]+Table1_2[[#This Row],[Shares]]+Table1_2[[#This Row],[Comments]]</f>
        <v>4895</v>
      </c>
      <c r="R226" s="12">
        <f>(Table1_2[[#This Row],[Likes]]+Table1_2[[#This Row],[Shares]]+Table1_2[[#This Row],[Comments]])/Table1_2[[#This Row],[Impressions]]</f>
        <v>0.14316214319138981</v>
      </c>
      <c r="S226" s="4">
        <f>_xlfn.XLOOKUP(Table1_2[[#This Row],[Campaign_Name]],'Campaign Metadata'!A:A,'Campaign Metadata'!B:B,"not found",0)</f>
        <v>45651</v>
      </c>
      <c r="T226" s="4">
        <f>_xlfn.XLOOKUP(Table1_2[[#This Row],[Campaign_Name]],'Campaign Metadata'!A:A,'Campaign Metadata'!C:C,"not found",0)</f>
        <v>45667</v>
      </c>
      <c r="U226" t="str">
        <f>IF(AND(Table1_2[[#This Row],[Date]]&gt;=Table1_2[[#This Row],[Campaign Start Date2]],Table1_2[[#This Row],[Date]]&lt;=Table1_2[[#This Row],[Campaign End Date3]]),"During Campaign","Before Campaign")</f>
        <v>During Campaign</v>
      </c>
      <c r="V226" s="30">
        <f>_xlfn.XLOOKUP(Table1_2[[#This Row],[Campaign_Name]],'Campaign Metadata'!A:A,'Campaign Metadata'!E:E,"Not Available",0)</f>
        <v>250000</v>
      </c>
      <c r="W226">
        <f>Table1_2[[#This Row],[Engagement]]/Table1_2[[#This Row],[Campaign Budget]]</f>
        <v>1.958E-2</v>
      </c>
      <c r="X226">
        <f>_xlfn.XLOOKUP(Table1_2[[#This Row],[Platform]],'Engagement Summary'!B:B,'Engagement Summary'!H:H,"Not Available",0)</f>
        <v>415</v>
      </c>
      <c r="Y226">
        <f>WEEKNUM(Table1_2[[#This Row],[Date]])</f>
        <v>53</v>
      </c>
      <c r="Z226">
        <f>_xlfn.XLOOKUP(Table1_2[[#This Row],[Platform]],'Engagement Summary'!B:B,'Engagement Summary'!G:G,"Notavailable",0)</f>
        <v>26752</v>
      </c>
    </row>
    <row r="227" spans="1:26" x14ac:dyDescent="0.3">
      <c r="A227" t="s">
        <v>423</v>
      </c>
      <c r="B227" t="s">
        <v>14</v>
      </c>
      <c r="C227" s="4">
        <v>45655</v>
      </c>
      <c r="D227" t="s">
        <v>45</v>
      </c>
      <c r="E227" t="s">
        <v>49</v>
      </c>
      <c r="F227">
        <v>4274</v>
      </c>
      <c r="G227">
        <v>340</v>
      </c>
      <c r="H227">
        <v>281</v>
      </c>
      <c r="I227">
        <v>34192</v>
      </c>
      <c r="J227">
        <v>33446</v>
      </c>
      <c r="K227">
        <v>129</v>
      </c>
      <c r="L227" t="s">
        <v>603</v>
      </c>
      <c r="M227" t="s">
        <v>31</v>
      </c>
      <c r="N227" s="4">
        <v>45651</v>
      </c>
      <c r="O227" s="4">
        <v>45667</v>
      </c>
      <c r="P227" t="s">
        <v>637</v>
      </c>
      <c r="Q227">
        <f>Table1_2[[#This Row],[Likes]]+Table1_2[[#This Row],[Shares]]+Table1_2[[#This Row],[Comments]]</f>
        <v>4895</v>
      </c>
      <c r="R227" s="12">
        <f>(Table1_2[[#This Row],[Likes]]+Table1_2[[#This Row],[Shares]]+Table1_2[[#This Row],[Comments]])/Table1_2[[#This Row],[Impressions]]</f>
        <v>0.14316214319138981</v>
      </c>
      <c r="S227" s="4">
        <f>_xlfn.XLOOKUP(Table1_2[[#This Row],[Campaign_Name]],'Campaign Metadata'!A:A,'Campaign Metadata'!B:B,"not found",0)</f>
        <v>45651</v>
      </c>
      <c r="T227" s="4">
        <f>_xlfn.XLOOKUP(Table1_2[[#This Row],[Campaign_Name]],'Campaign Metadata'!A:A,'Campaign Metadata'!C:C,"not found",0)</f>
        <v>45667</v>
      </c>
      <c r="U227" t="str">
        <f>IF(AND(Table1_2[[#This Row],[Date]]&gt;=Table1_2[[#This Row],[Campaign Start Date2]],Table1_2[[#This Row],[Date]]&lt;=Table1_2[[#This Row],[Campaign End Date3]]),"During Campaign","Before Campaign")</f>
        <v>During Campaign</v>
      </c>
      <c r="V227" s="30">
        <f>_xlfn.XLOOKUP(Table1_2[[#This Row],[Campaign_Name]],'Campaign Metadata'!A:A,'Campaign Metadata'!E:E,"Not Available",0)</f>
        <v>250000</v>
      </c>
      <c r="W227">
        <f>Table1_2[[#This Row],[Engagement]]/Table1_2[[#This Row],[Campaign Budget]]</f>
        <v>1.958E-2</v>
      </c>
      <c r="X227">
        <f>_xlfn.XLOOKUP(Table1_2[[#This Row],[Platform]],'Engagement Summary'!B:B,'Engagement Summary'!H:H,"Not Available",0)</f>
        <v>415</v>
      </c>
      <c r="Y227">
        <f>WEEKNUM(Table1_2[[#This Row],[Date]])</f>
        <v>53</v>
      </c>
      <c r="Z227">
        <f>_xlfn.XLOOKUP(Table1_2[[#This Row],[Platform]],'Engagement Summary'!B:B,'Engagement Summary'!G:G,"Notavailable",0)</f>
        <v>26752</v>
      </c>
    </row>
    <row r="228" spans="1:26" x14ac:dyDescent="0.3">
      <c r="A228" t="s">
        <v>425</v>
      </c>
      <c r="B228" t="s">
        <v>27</v>
      </c>
      <c r="C228" s="4">
        <v>45467</v>
      </c>
      <c r="D228" t="s">
        <v>74</v>
      </c>
      <c r="E228" t="s">
        <v>219</v>
      </c>
      <c r="F228">
        <v>2949</v>
      </c>
      <c r="G228">
        <v>476</v>
      </c>
      <c r="H228">
        <v>403</v>
      </c>
      <c r="I228">
        <v>44235</v>
      </c>
      <c r="J228">
        <v>43705</v>
      </c>
      <c r="K228">
        <v>135</v>
      </c>
      <c r="L228" t="s">
        <v>30</v>
      </c>
      <c r="M228" t="s">
        <v>25</v>
      </c>
      <c r="N228" s="4">
        <v>45566</v>
      </c>
      <c r="O228" s="4">
        <v>45596</v>
      </c>
      <c r="P228" t="s">
        <v>637</v>
      </c>
      <c r="Q228">
        <f>Table1_2[[#This Row],[Likes]]+Table1_2[[#This Row],[Shares]]+Table1_2[[#This Row],[Comments]]</f>
        <v>3828</v>
      </c>
      <c r="R228" s="12">
        <f>(Table1_2[[#This Row],[Likes]]+Table1_2[[#This Row],[Shares]]+Table1_2[[#This Row],[Comments]])/Table1_2[[#This Row],[Impressions]]</f>
        <v>8.6537809426924378E-2</v>
      </c>
      <c r="S228" s="4">
        <f>_xlfn.XLOOKUP(Table1_2[[#This Row],[Campaign_Name]],'Campaign Metadata'!A:A,'Campaign Metadata'!B:B,"not found",0)</f>
        <v>45566</v>
      </c>
      <c r="T228" s="4">
        <f>_xlfn.XLOOKUP(Table1_2[[#This Row],[Campaign_Name]],'Campaign Metadata'!A:A,'Campaign Metadata'!C:C,"not found",0)</f>
        <v>45596</v>
      </c>
      <c r="U228" t="str">
        <f>IF(AND(Table1_2[[#This Row],[Date]]&gt;=Table1_2[[#This Row],[Campaign Start Date2]],Table1_2[[#This Row],[Date]]&lt;=Table1_2[[#This Row],[Campaign End Date3]]),"During Campaign","Before Campaign")</f>
        <v>Before Campaign</v>
      </c>
      <c r="V228" s="30">
        <f>_xlfn.XLOOKUP(Table1_2[[#This Row],[Campaign_Name]],'Campaign Metadata'!A:A,'Campaign Metadata'!E:E,"Not Available",0)</f>
        <v>200000</v>
      </c>
      <c r="W228">
        <f>Table1_2[[#This Row],[Engagement]]/Table1_2[[#This Row],[Campaign Budget]]</f>
        <v>1.9140000000000001E-2</v>
      </c>
      <c r="X228">
        <f>_xlfn.XLOOKUP(Table1_2[[#This Row],[Platform]],'Engagement Summary'!B:B,'Engagement Summary'!H:H,"Not Available",0)</f>
        <v>1090</v>
      </c>
      <c r="Y228">
        <f>WEEKNUM(Table1_2[[#This Row],[Date]])</f>
        <v>26</v>
      </c>
      <c r="Z228">
        <f>_xlfn.XLOOKUP(Table1_2[[#This Row],[Platform]],'Engagement Summary'!B:B,'Engagement Summary'!G:G,"Notavailable",0)</f>
        <v>30671</v>
      </c>
    </row>
    <row r="229" spans="1:26" x14ac:dyDescent="0.3">
      <c r="A229" t="s">
        <v>426</v>
      </c>
      <c r="B229" t="s">
        <v>14</v>
      </c>
      <c r="C229" s="4">
        <v>45735</v>
      </c>
      <c r="D229" t="s">
        <v>74</v>
      </c>
      <c r="E229" t="s">
        <v>145</v>
      </c>
      <c r="F229">
        <v>3160</v>
      </c>
      <c r="G229">
        <v>204</v>
      </c>
      <c r="H229">
        <v>297</v>
      </c>
      <c r="I229">
        <v>44240</v>
      </c>
      <c r="J229">
        <v>43666</v>
      </c>
      <c r="K229">
        <v>49</v>
      </c>
      <c r="L229" t="s">
        <v>62</v>
      </c>
      <c r="M229" t="s">
        <v>38</v>
      </c>
      <c r="N229" s="4">
        <v>45717</v>
      </c>
      <c r="O229" s="4">
        <v>45747</v>
      </c>
      <c r="P229" t="s">
        <v>637</v>
      </c>
      <c r="Q229">
        <f>Table1_2[[#This Row],[Likes]]+Table1_2[[#This Row],[Shares]]+Table1_2[[#This Row],[Comments]]</f>
        <v>3661</v>
      </c>
      <c r="R229" s="12">
        <f>(Table1_2[[#This Row],[Likes]]+Table1_2[[#This Row],[Shares]]+Table1_2[[#This Row],[Comments]])/Table1_2[[#This Row],[Impressions]]</f>
        <v>8.2753164556962022E-2</v>
      </c>
      <c r="S229" s="4">
        <f>_xlfn.XLOOKUP(Table1_2[[#This Row],[Campaign_Name]],'Campaign Metadata'!A:A,'Campaign Metadata'!B:B,"not found",0)</f>
        <v>45717</v>
      </c>
      <c r="T229" s="4">
        <f>_xlfn.XLOOKUP(Table1_2[[#This Row],[Campaign_Name]],'Campaign Metadata'!A:A,'Campaign Metadata'!C:C,"not found",0)</f>
        <v>45747</v>
      </c>
      <c r="U229" t="str">
        <f>IF(AND(Table1_2[[#This Row],[Date]]&gt;=Table1_2[[#This Row],[Campaign Start Date2]],Table1_2[[#This Row],[Date]]&lt;=Table1_2[[#This Row],[Campaign End Date3]]),"During Campaign","Before Campaign")</f>
        <v>During Campaign</v>
      </c>
      <c r="V229" s="30">
        <f>_xlfn.XLOOKUP(Table1_2[[#This Row],[Campaign_Name]],'Campaign Metadata'!A:A,'Campaign Metadata'!E:E,"Not Available",0)</f>
        <v>180000</v>
      </c>
      <c r="W229">
        <f>Table1_2[[#This Row],[Engagement]]/Table1_2[[#This Row],[Campaign Budget]]</f>
        <v>2.0338888888888889E-2</v>
      </c>
      <c r="X229">
        <f>_xlfn.XLOOKUP(Table1_2[[#This Row],[Platform]],'Engagement Summary'!B:B,'Engagement Summary'!H:H,"Not Available",0)</f>
        <v>415</v>
      </c>
      <c r="Y229">
        <f>WEEKNUM(Table1_2[[#This Row],[Date]])</f>
        <v>12</v>
      </c>
      <c r="Z229">
        <f>_xlfn.XLOOKUP(Table1_2[[#This Row],[Platform]],'Engagement Summary'!B:B,'Engagement Summary'!G:G,"Notavailable",0)</f>
        <v>26752</v>
      </c>
    </row>
    <row r="230" spans="1:26" x14ac:dyDescent="0.3">
      <c r="A230" t="s">
        <v>426</v>
      </c>
      <c r="B230" t="s">
        <v>14</v>
      </c>
      <c r="C230" s="4">
        <v>45735</v>
      </c>
      <c r="D230" t="s">
        <v>74</v>
      </c>
      <c r="E230" t="s">
        <v>145</v>
      </c>
      <c r="F230">
        <v>3160</v>
      </c>
      <c r="G230">
        <v>204</v>
      </c>
      <c r="H230">
        <v>297</v>
      </c>
      <c r="I230">
        <v>44240</v>
      </c>
      <c r="J230">
        <v>43666</v>
      </c>
      <c r="K230">
        <v>49</v>
      </c>
      <c r="L230" t="s">
        <v>615</v>
      </c>
      <c r="M230" t="s">
        <v>38</v>
      </c>
      <c r="N230" s="4">
        <v>45717</v>
      </c>
      <c r="O230" s="4">
        <v>45747</v>
      </c>
      <c r="P230" t="s">
        <v>637</v>
      </c>
      <c r="Q230">
        <f>Table1_2[[#This Row],[Likes]]+Table1_2[[#This Row],[Shares]]+Table1_2[[#This Row],[Comments]]</f>
        <v>3661</v>
      </c>
      <c r="R230" s="12">
        <f>(Table1_2[[#This Row],[Likes]]+Table1_2[[#This Row],[Shares]]+Table1_2[[#This Row],[Comments]])/Table1_2[[#This Row],[Impressions]]</f>
        <v>8.2753164556962022E-2</v>
      </c>
      <c r="S230" s="4">
        <f>_xlfn.XLOOKUP(Table1_2[[#This Row],[Campaign_Name]],'Campaign Metadata'!A:A,'Campaign Metadata'!B:B,"not found",0)</f>
        <v>45717</v>
      </c>
      <c r="T230" s="4">
        <f>_xlfn.XLOOKUP(Table1_2[[#This Row],[Campaign_Name]],'Campaign Metadata'!A:A,'Campaign Metadata'!C:C,"not found",0)</f>
        <v>45747</v>
      </c>
      <c r="U230" t="str">
        <f>IF(AND(Table1_2[[#This Row],[Date]]&gt;=Table1_2[[#This Row],[Campaign Start Date2]],Table1_2[[#This Row],[Date]]&lt;=Table1_2[[#This Row],[Campaign End Date3]]),"During Campaign","Before Campaign")</f>
        <v>During Campaign</v>
      </c>
      <c r="V230" s="30">
        <f>_xlfn.XLOOKUP(Table1_2[[#This Row],[Campaign_Name]],'Campaign Metadata'!A:A,'Campaign Metadata'!E:E,"Not Available",0)</f>
        <v>180000</v>
      </c>
      <c r="W230">
        <f>Table1_2[[#This Row],[Engagement]]/Table1_2[[#This Row],[Campaign Budget]]</f>
        <v>2.0338888888888889E-2</v>
      </c>
      <c r="X230">
        <f>_xlfn.XLOOKUP(Table1_2[[#This Row],[Platform]],'Engagement Summary'!B:B,'Engagement Summary'!H:H,"Not Available",0)</f>
        <v>415</v>
      </c>
      <c r="Y230">
        <f>WEEKNUM(Table1_2[[#This Row],[Date]])</f>
        <v>12</v>
      </c>
      <c r="Z230">
        <f>_xlfn.XLOOKUP(Table1_2[[#This Row],[Platform]],'Engagement Summary'!B:B,'Engagement Summary'!G:G,"Notavailable",0)</f>
        <v>26752</v>
      </c>
    </row>
    <row r="231" spans="1:26" x14ac:dyDescent="0.3">
      <c r="A231" t="s">
        <v>428</v>
      </c>
      <c r="B231" t="s">
        <v>27</v>
      </c>
      <c r="C231" s="4">
        <v>45707</v>
      </c>
      <c r="D231" t="s">
        <v>52</v>
      </c>
      <c r="E231" t="s">
        <v>53</v>
      </c>
      <c r="F231">
        <v>257</v>
      </c>
      <c r="G231">
        <v>966</v>
      </c>
      <c r="H231">
        <v>398</v>
      </c>
      <c r="I231">
        <v>3341</v>
      </c>
      <c r="J231">
        <v>2753</v>
      </c>
      <c r="K231">
        <v>287</v>
      </c>
      <c r="L231" t="s">
        <v>62</v>
      </c>
      <c r="M231" t="s">
        <v>19</v>
      </c>
      <c r="N231" s="4">
        <v>45458</v>
      </c>
      <c r="O231" s="4">
        <v>45488</v>
      </c>
      <c r="P231" t="s">
        <v>637</v>
      </c>
      <c r="Q231">
        <f>Table1_2[[#This Row],[Likes]]+Table1_2[[#This Row],[Shares]]+Table1_2[[#This Row],[Comments]]</f>
        <v>1621</v>
      </c>
      <c r="R231" s="12">
        <f>(Table1_2[[#This Row],[Likes]]+Table1_2[[#This Row],[Shares]]+Table1_2[[#This Row],[Comments]])/Table1_2[[#This Row],[Impressions]]</f>
        <v>0.48518407662376534</v>
      </c>
      <c r="S231" s="4">
        <f>_xlfn.XLOOKUP(Table1_2[[#This Row],[Campaign_Name]],'Campaign Metadata'!A:A,'Campaign Metadata'!B:B,"not found",0)</f>
        <v>45458</v>
      </c>
      <c r="T231" s="4">
        <f>_xlfn.XLOOKUP(Table1_2[[#This Row],[Campaign_Name]],'Campaign Metadata'!A:A,'Campaign Metadata'!C:C,"not found",0)</f>
        <v>45488</v>
      </c>
      <c r="U231" t="str">
        <f>IF(AND(Table1_2[[#This Row],[Date]]&gt;=Table1_2[[#This Row],[Campaign Start Date2]],Table1_2[[#This Row],[Date]]&lt;=Table1_2[[#This Row],[Campaign End Date3]]),"During Campaign","Before Campaign")</f>
        <v>Before Campaign</v>
      </c>
      <c r="V231" s="30">
        <f>_xlfn.XLOOKUP(Table1_2[[#This Row],[Campaign_Name]],'Campaign Metadata'!A:A,'Campaign Metadata'!E:E,"Not Available",0)</f>
        <v>150000</v>
      </c>
      <c r="W231">
        <f>Table1_2[[#This Row],[Engagement]]/Table1_2[[#This Row],[Campaign Budget]]</f>
        <v>1.0806666666666666E-2</v>
      </c>
      <c r="X231">
        <f>_xlfn.XLOOKUP(Table1_2[[#This Row],[Platform]],'Engagement Summary'!B:B,'Engagement Summary'!H:H,"Not Available",0)</f>
        <v>1090</v>
      </c>
      <c r="Y231">
        <f>WEEKNUM(Table1_2[[#This Row],[Date]])</f>
        <v>8</v>
      </c>
      <c r="Z231">
        <f>_xlfn.XLOOKUP(Table1_2[[#This Row],[Platform]],'Engagement Summary'!B:B,'Engagement Summary'!G:G,"Notavailable",0)</f>
        <v>30671</v>
      </c>
    </row>
    <row r="232" spans="1:26" x14ac:dyDescent="0.3">
      <c r="A232" t="s">
        <v>429</v>
      </c>
      <c r="B232" t="s">
        <v>14</v>
      </c>
      <c r="C232" s="4">
        <v>45491</v>
      </c>
      <c r="D232" t="s">
        <v>45</v>
      </c>
      <c r="E232" t="s">
        <v>49</v>
      </c>
      <c r="F232">
        <v>2120</v>
      </c>
      <c r="G232">
        <v>38</v>
      </c>
      <c r="H232">
        <v>212</v>
      </c>
      <c r="I232">
        <v>12720</v>
      </c>
      <c r="J232">
        <v>12564</v>
      </c>
      <c r="K232">
        <v>21</v>
      </c>
      <c r="L232" t="s">
        <v>62</v>
      </c>
      <c r="M232" t="s">
        <v>38</v>
      </c>
      <c r="N232" s="4">
        <v>45717</v>
      </c>
      <c r="O232" s="4">
        <v>45747</v>
      </c>
      <c r="P232" t="s">
        <v>637</v>
      </c>
      <c r="Q232">
        <f>Table1_2[[#This Row],[Likes]]+Table1_2[[#This Row],[Shares]]+Table1_2[[#This Row],[Comments]]</f>
        <v>2370</v>
      </c>
      <c r="R232" s="12">
        <f>(Table1_2[[#This Row],[Likes]]+Table1_2[[#This Row],[Shares]]+Table1_2[[#This Row],[Comments]])/Table1_2[[#This Row],[Impressions]]</f>
        <v>0.18632075471698112</v>
      </c>
      <c r="S232" s="4">
        <f>_xlfn.XLOOKUP(Table1_2[[#This Row],[Campaign_Name]],'Campaign Metadata'!A:A,'Campaign Metadata'!B:B,"not found",0)</f>
        <v>45717</v>
      </c>
      <c r="T232" s="4">
        <f>_xlfn.XLOOKUP(Table1_2[[#This Row],[Campaign_Name]],'Campaign Metadata'!A:A,'Campaign Metadata'!C:C,"not found",0)</f>
        <v>45747</v>
      </c>
      <c r="U232" t="str">
        <f>IF(AND(Table1_2[[#This Row],[Date]]&gt;=Table1_2[[#This Row],[Campaign Start Date2]],Table1_2[[#This Row],[Date]]&lt;=Table1_2[[#This Row],[Campaign End Date3]]),"During Campaign","Before Campaign")</f>
        <v>Before Campaign</v>
      </c>
      <c r="V232" s="30">
        <f>_xlfn.XLOOKUP(Table1_2[[#This Row],[Campaign_Name]],'Campaign Metadata'!A:A,'Campaign Metadata'!E:E,"Not Available",0)</f>
        <v>180000</v>
      </c>
      <c r="W232">
        <f>Table1_2[[#This Row],[Engagement]]/Table1_2[[#This Row],[Campaign Budget]]</f>
        <v>1.3166666666666667E-2</v>
      </c>
      <c r="X232">
        <f>_xlfn.XLOOKUP(Table1_2[[#This Row],[Platform]],'Engagement Summary'!B:B,'Engagement Summary'!H:H,"Not Available",0)</f>
        <v>415</v>
      </c>
      <c r="Y232">
        <f>WEEKNUM(Table1_2[[#This Row],[Date]])</f>
        <v>29</v>
      </c>
      <c r="Z232">
        <f>_xlfn.XLOOKUP(Table1_2[[#This Row],[Platform]],'Engagement Summary'!B:B,'Engagement Summary'!G:G,"Notavailable",0)</f>
        <v>26752</v>
      </c>
    </row>
    <row r="233" spans="1:26" x14ac:dyDescent="0.3">
      <c r="A233" t="s">
        <v>431</v>
      </c>
      <c r="B233" t="s">
        <v>27</v>
      </c>
      <c r="C233" s="4">
        <v>45719</v>
      </c>
      <c r="D233" t="s">
        <v>74</v>
      </c>
      <c r="E233" t="s">
        <v>219</v>
      </c>
      <c r="F233">
        <v>3874</v>
      </c>
      <c r="G233">
        <v>884</v>
      </c>
      <c r="H233">
        <v>19</v>
      </c>
      <c r="I233">
        <v>38740</v>
      </c>
      <c r="J233">
        <v>38552</v>
      </c>
      <c r="K233">
        <v>219</v>
      </c>
      <c r="L233" t="s">
        <v>30</v>
      </c>
      <c r="M233" t="s">
        <v>25</v>
      </c>
      <c r="N233" s="4">
        <v>45566</v>
      </c>
      <c r="O233" s="4">
        <v>45596</v>
      </c>
      <c r="P233" t="s">
        <v>637</v>
      </c>
      <c r="Q233">
        <f>Table1_2[[#This Row],[Likes]]+Table1_2[[#This Row],[Shares]]+Table1_2[[#This Row],[Comments]]</f>
        <v>4777</v>
      </c>
      <c r="R233" s="12">
        <f>(Table1_2[[#This Row],[Likes]]+Table1_2[[#This Row],[Shares]]+Table1_2[[#This Row],[Comments]])/Table1_2[[#This Row],[Impressions]]</f>
        <v>0.123309241094476</v>
      </c>
      <c r="S233" s="4">
        <f>_xlfn.XLOOKUP(Table1_2[[#This Row],[Campaign_Name]],'Campaign Metadata'!A:A,'Campaign Metadata'!B:B,"not found",0)</f>
        <v>45566</v>
      </c>
      <c r="T233" s="4">
        <f>_xlfn.XLOOKUP(Table1_2[[#This Row],[Campaign_Name]],'Campaign Metadata'!A:A,'Campaign Metadata'!C:C,"not found",0)</f>
        <v>45596</v>
      </c>
      <c r="U233" t="str">
        <f>IF(AND(Table1_2[[#This Row],[Date]]&gt;=Table1_2[[#This Row],[Campaign Start Date2]],Table1_2[[#This Row],[Date]]&lt;=Table1_2[[#This Row],[Campaign End Date3]]),"During Campaign","Before Campaign")</f>
        <v>Before Campaign</v>
      </c>
      <c r="V233" s="30">
        <f>_xlfn.XLOOKUP(Table1_2[[#This Row],[Campaign_Name]],'Campaign Metadata'!A:A,'Campaign Metadata'!E:E,"Not Available",0)</f>
        <v>200000</v>
      </c>
      <c r="W233">
        <f>Table1_2[[#This Row],[Engagement]]/Table1_2[[#This Row],[Campaign Budget]]</f>
        <v>2.3885E-2</v>
      </c>
      <c r="X233">
        <f>_xlfn.XLOOKUP(Table1_2[[#This Row],[Platform]],'Engagement Summary'!B:B,'Engagement Summary'!H:H,"Not Available",0)</f>
        <v>1090</v>
      </c>
      <c r="Y233">
        <f>WEEKNUM(Table1_2[[#This Row],[Date]])</f>
        <v>10</v>
      </c>
      <c r="Z233">
        <f>_xlfn.XLOOKUP(Table1_2[[#This Row],[Platform]],'Engagement Summary'!B:B,'Engagement Summary'!G:G,"Notavailable",0)</f>
        <v>30671</v>
      </c>
    </row>
    <row r="234" spans="1:26" x14ac:dyDescent="0.3">
      <c r="A234" t="s">
        <v>432</v>
      </c>
      <c r="B234" t="s">
        <v>43</v>
      </c>
      <c r="C234" s="4">
        <v>45778</v>
      </c>
      <c r="D234" t="s">
        <v>45</v>
      </c>
      <c r="E234" t="s">
        <v>46</v>
      </c>
      <c r="F234">
        <v>2696</v>
      </c>
      <c r="G234">
        <v>628</v>
      </c>
      <c r="H234">
        <v>443</v>
      </c>
      <c r="I234">
        <v>45832</v>
      </c>
      <c r="J234">
        <v>45632</v>
      </c>
      <c r="K234">
        <v>248</v>
      </c>
      <c r="L234" t="s">
        <v>37</v>
      </c>
      <c r="M234" t="s">
        <v>38</v>
      </c>
      <c r="N234" s="4">
        <v>45717</v>
      </c>
      <c r="O234" s="4">
        <v>45747</v>
      </c>
      <c r="P234" t="s">
        <v>637</v>
      </c>
      <c r="Q234">
        <f>Table1_2[[#This Row],[Likes]]+Table1_2[[#This Row],[Shares]]+Table1_2[[#This Row],[Comments]]</f>
        <v>3767</v>
      </c>
      <c r="R234" s="12">
        <f>(Table1_2[[#This Row],[Likes]]+Table1_2[[#This Row],[Shares]]+Table1_2[[#This Row],[Comments]])/Table1_2[[#This Row],[Impressions]]</f>
        <v>8.21914819340199E-2</v>
      </c>
      <c r="S234" s="4">
        <f>_xlfn.XLOOKUP(Table1_2[[#This Row],[Campaign_Name]],'Campaign Metadata'!A:A,'Campaign Metadata'!B:B,"not found",0)</f>
        <v>45717</v>
      </c>
      <c r="T234" s="4">
        <f>_xlfn.XLOOKUP(Table1_2[[#This Row],[Campaign_Name]],'Campaign Metadata'!A:A,'Campaign Metadata'!C:C,"not found",0)</f>
        <v>45747</v>
      </c>
      <c r="U234" t="str">
        <f>IF(AND(Table1_2[[#This Row],[Date]]&gt;=Table1_2[[#This Row],[Campaign Start Date2]],Table1_2[[#This Row],[Date]]&lt;=Table1_2[[#This Row],[Campaign End Date3]]),"During Campaign","Before Campaign")</f>
        <v>Before Campaign</v>
      </c>
      <c r="V234" s="30">
        <f>_xlfn.XLOOKUP(Table1_2[[#This Row],[Campaign_Name]],'Campaign Metadata'!A:A,'Campaign Metadata'!E:E,"Not Available",0)</f>
        <v>180000</v>
      </c>
      <c r="W234">
        <f>Table1_2[[#This Row],[Engagement]]/Table1_2[[#This Row],[Campaign Budget]]</f>
        <v>2.0927777777777778E-2</v>
      </c>
      <c r="X234">
        <f>_xlfn.XLOOKUP(Table1_2[[#This Row],[Platform]],'Engagement Summary'!B:B,'Engagement Summary'!H:H,"Not Available",0)</f>
        <v>1002</v>
      </c>
      <c r="Y234">
        <f>WEEKNUM(Table1_2[[#This Row],[Date]])</f>
        <v>18</v>
      </c>
      <c r="Z234">
        <f>_xlfn.XLOOKUP(Table1_2[[#This Row],[Platform]],'Engagement Summary'!B:B,'Engagement Summary'!G:G,"Notavailable",0)</f>
        <v>9566</v>
      </c>
    </row>
    <row r="235" spans="1:26" x14ac:dyDescent="0.3">
      <c r="A235" t="s">
        <v>434</v>
      </c>
      <c r="B235" t="s">
        <v>33</v>
      </c>
      <c r="C235" s="4">
        <v>45649</v>
      </c>
      <c r="D235" t="s">
        <v>52</v>
      </c>
      <c r="E235" t="s">
        <v>215</v>
      </c>
      <c r="F235">
        <v>521</v>
      </c>
      <c r="G235">
        <v>746</v>
      </c>
      <c r="H235">
        <v>315</v>
      </c>
      <c r="I235">
        <v>4168</v>
      </c>
      <c r="J235">
        <v>3399</v>
      </c>
      <c r="K235">
        <v>282</v>
      </c>
      <c r="L235" t="s">
        <v>62</v>
      </c>
      <c r="M235" t="s">
        <v>25</v>
      </c>
      <c r="N235" s="4">
        <v>45566</v>
      </c>
      <c r="O235" s="4">
        <v>45596</v>
      </c>
      <c r="P235" t="s">
        <v>637</v>
      </c>
      <c r="Q235">
        <f>Table1_2[[#This Row],[Likes]]+Table1_2[[#This Row],[Shares]]+Table1_2[[#This Row],[Comments]]</f>
        <v>1582</v>
      </c>
      <c r="R235" s="12">
        <f>(Table1_2[[#This Row],[Likes]]+Table1_2[[#This Row],[Shares]]+Table1_2[[#This Row],[Comments]])/Table1_2[[#This Row],[Impressions]]</f>
        <v>0.37955854126679461</v>
      </c>
      <c r="S235" s="4">
        <f>_xlfn.XLOOKUP(Table1_2[[#This Row],[Campaign_Name]],'Campaign Metadata'!A:A,'Campaign Metadata'!B:B,"not found",0)</f>
        <v>45566</v>
      </c>
      <c r="T235" s="4">
        <f>_xlfn.XLOOKUP(Table1_2[[#This Row],[Campaign_Name]],'Campaign Metadata'!A:A,'Campaign Metadata'!C:C,"not found",0)</f>
        <v>45596</v>
      </c>
      <c r="U235" t="str">
        <f>IF(AND(Table1_2[[#This Row],[Date]]&gt;=Table1_2[[#This Row],[Campaign Start Date2]],Table1_2[[#This Row],[Date]]&lt;=Table1_2[[#This Row],[Campaign End Date3]]),"During Campaign","Before Campaign")</f>
        <v>Before Campaign</v>
      </c>
      <c r="V235" s="30">
        <f>_xlfn.XLOOKUP(Table1_2[[#This Row],[Campaign_Name]],'Campaign Metadata'!A:A,'Campaign Metadata'!E:E,"Not Available",0)</f>
        <v>200000</v>
      </c>
      <c r="W235">
        <f>Table1_2[[#This Row],[Engagement]]/Table1_2[[#This Row],[Campaign Budget]]</f>
        <v>7.9100000000000004E-3</v>
      </c>
      <c r="X235">
        <f>_xlfn.XLOOKUP(Table1_2[[#This Row],[Platform]],'Engagement Summary'!B:B,'Engagement Summary'!H:H,"Not Available",0)</f>
        <v>1047</v>
      </c>
      <c r="Y235">
        <f>WEEKNUM(Table1_2[[#This Row],[Date]])</f>
        <v>52</v>
      </c>
      <c r="Z235">
        <f>_xlfn.XLOOKUP(Table1_2[[#This Row],[Platform]],'Engagement Summary'!B:B,'Engagement Summary'!G:G,"Notavailable",0)</f>
        <v>5904</v>
      </c>
    </row>
    <row r="236" spans="1:26" x14ac:dyDescent="0.3">
      <c r="A236" t="s">
        <v>435</v>
      </c>
      <c r="B236" t="s">
        <v>43</v>
      </c>
      <c r="C236" s="4">
        <v>45783</v>
      </c>
      <c r="D236" t="s">
        <v>52</v>
      </c>
      <c r="E236" t="s">
        <v>59</v>
      </c>
      <c r="F236">
        <v>4872</v>
      </c>
      <c r="G236">
        <v>925</v>
      </c>
      <c r="H236">
        <v>176</v>
      </c>
      <c r="I236">
        <v>82824</v>
      </c>
      <c r="J236">
        <v>82543</v>
      </c>
      <c r="K236">
        <v>89</v>
      </c>
      <c r="L236" t="s">
        <v>37</v>
      </c>
      <c r="M236" t="s">
        <v>25</v>
      </c>
      <c r="N236" s="4">
        <v>45566</v>
      </c>
      <c r="O236" s="4">
        <v>45596</v>
      </c>
      <c r="P236" t="s">
        <v>637</v>
      </c>
      <c r="Q236">
        <f>Table1_2[[#This Row],[Likes]]+Table1_2[[#This Row],[Shares]]+Table1_2[[#This Row],[Comments]]</f>
        <v>5973</v>
      </c>
      <c r="R236" s="12">
        <f>(Table1_2[[#This Row],[Likes]]+Table1_2[[#This Row],[Shares]]+Table1_2[[#This Row],[Comments]])/Table1_2[[#This Row],[Impressions]]</f>
        <v>7.2116777745580993E-2</v>
      </c>
      <c r="S236" s="4">
        <f>_xlfn.XLOOKUP(Table1_2[[#This Row],[Campaign_Name]],'Campaign Metadata'!A:A,'Campaign Metadata'!B:B,"not found",0)</f>
        <v>45566</v>
      </c>
      <c r="T236" s="4">
        <f>_xlfn.XLOOKUP(Table1_2[[#This Row],[Campaign_Name]],'Campaign Metadata'!A:A,'Campaign Metadata'!C:C,"not found",0)</f>
        <v>45596</v>
      </c>
      <c r="U236" t="str">
        <f>IF(AND(Table1_2[[#This Row],[Date]]&gt;=Table1_2[[#This Row],[Campaign Start Date2]],Table1_2[[#This Row],[Date]]&lt;=Table1_2[[#This Row],[Campaign End Date3]]),"During Campaign","Before Campaign")</f>
        <v>Before Campaign</v>
      </c>
      <c r="V236" s="30">
        <f>_xlfn.XLOOKUP(Table1_2[[#This Row],[Campaign_Name]],'Campaign Metadata'!A:A,'Campaign Metadata'!E:E,"Not Available",0)</f>
        <v>200000</v>
      </c>
      <c r="W236">
        <f>Table1_2[[#This Row],[Engagement]]/Table1_2[[#This Row],[Campaign Budget]]</f>
        <v>2.9864999999999999E-2</v>
      </c>
      <c r="X236">
        <f>_xlfn.XLOOKUP(Table1_2[[#This Row],[Platform]],'Engagement Summary'!B:B,'Engagement Summary'!H:H,"Not Available",0)</f>
        <v>1002</v>
      </c>
      <c r="Y236">
        <f>WEEKNUM(Table1_2[[#This Row],[Date]])</f>
        <v>19</v>
      </c>
      <c r="Z236">
        <f>_xlfn.XLOOKUP(Table1_2[[#This Row],[Platform]],'Engagement Summary'!B:B,'Engagement Summary'!G:G,"Notavailable",0)</f>
        <v>9566</v>
      </c>
    </row>
    <row r="237" spans="1:26" x14ac:dyDescent="0.3">
      <c r="A237" t="s">
        <v>437</v>
      </c>
      <c r="B237" t="s">
        <v>27</v>
      </c>
      <c r="C237" s="4">
        <v>45502</v>
      </c>
      <c r="D237" t="s">
        <v>35</v>
      </c>
      <c r="E237" t="s">
        <v>154</v>
      </c>
      <c r="F237">
        <v>1509</v>
      </c>
      <c r="G237">
        <v>88</v>
      </c>
      <c r="H237">
        <v>163</v>
      </c>
      <c r="I237">
        <v>30180</v>
      </c>
      <c r="J237">
        <v>29689</v>
      </c>
      <c r="K237">
        <v>119</v>
      </c>
      <c r="L237" t="s">
        <v>37</v>
      </c>
      <c r="M237" t="s">
        <v>25</v>
      </c>
      <c r="N237" s="4">
        <v>45566</v>
      </c>
      <c r="O237" s="4">
        <v>45596</v>
      </c>
      <c r="P237" t="s">
        <v>637</v>
      </c>
      <c r="Q237">
        <f>Table1_2[[#This Row],[Likes]]+Table1_2[[#This Row],[Shares]]+Table1_2[[#This Row],[Comments]]</f>
        <v>1760</v>
      </c>
      <c r="R237" s="12">
        <f>(Table1_2[[#This Row],[Likes]]+Table1_2[[#This Row],[Shares]]+Table1_2[[#This Row],[Comments]])/Table1_2[[#This Row],[Impressions]]</f>
        <v>5.8316766070245198E-2</v>
      </c>
      <c r="S237" s="4">
        <f>_xlfn.XLOOKUP(Table1_2[[#This Row],[Campaign_Name]],'Campaign Metadata'!A:A,'Campaign Metadata'!B:B,"not found",0)</f>
        <v>45566</v>
      </c>
      <c r="T237" s="4">
        <f>_xlfn.XLOOKUP(Table1_2[[#This Row],[Campaign_Name]],'Campaign Metadata'!A:A,'Campaign Metadata'!C:C,"not found",0)</f>
        <v>45596</v>
      </c>
      <c r="U237" t="str">
        <f>IF(AND(Table1_2[[#This Row],[Date]]&gt;=Table1_2[[#This Row],[Campaign Start Date2]],Table1_2[[#This Row],[Date]]&lt;=Table1_2[[#This Row],[Campaign End Date3]]),"During Campaign","Before Campaign")</f>
        <v>Before Campaign</v>
      </c>
      <c r="V237" s="30">
        <f>_xlfn.XLOOKUP(Table1_2[[#This Row],[Campaign_Name]],'Campaign Metadata'!A:A,'Campaign Metadata'!E:E,"Not Available",0)</f>
        <v>200000</v>
      </c>
      <c r="W237">
        <f>Table1_2[[#This Row],[Engagement]]/Table1_2[[#This Row],[Campaign Budget]]</f>
        <v>8.8000000000000005E-3</v>
      </c>
      <c r="X237">
        <f>_xlfn.XLOOKUP(Table1_2[[#This Row],[Platform]],'Engagement Summary'!B:B,'Engagement Summary'!H:H,"Not Available",0)</f>
        <v>1090</v>
      </c>
      <c r="Y237">
        <f>WEEKNUM(Table1_2[[#This Row],[Date]])</f>
        <v>31</v>
      </c>
      <c r="Z237">
        <f>_xlfn.XLOOKUP(Table1_2[[#This Row],[Platform]],'Engagement Summary'!B:B,'Engagement Summary'!G:G,"Notavailable",0)</f>
        <v>30671</v>
      </c>
    </row>
    <row r="238" spans="1:26" x14ac:dyDescent="0.3">
      <c r="A238" t="s">
        <v>438</v>
      </c>
      <c r="B238" t="s">
        <v>43</v>
      </c>
      <c r="C238" s="4">
        <v>45629</v>
      </c>
      <c r="D238" t="s">
        <v>52</v>
      </c>
      <c r="E238" t="s">
        <v>59</v>
      </c>
      <c r="F238">
        <v>4606</v>
      </c>
      <c r="G238">
        <v>931</v>
      </c>
      <c r="H238">
        <v>230</v>
      </c>
      <c r="I238">
        <v>92120</v>
      </c>
      <c r="J238">
        <v>91440</v>
      </c>
      <c r="K238">
        <v>56</v>
      </c>
      <c r="L238" t="s">
        <v>30</v>
      </c>
      <c r="M238" t="s">
        <v>617</v>
      </c>
      <c r="N238" s="4">
        <v>0</v>
      </c>
      <c r="O238" s="4">
        <v>0</v>
      </c>
      <c r="P238" t="s">
        <v>637</v>
      </c>
      <c r="Q238">
        <f>Table1_2[[#This Row],[Likes]]+Table1_2[[#This Row],[Shares]]+Table1_2[[#This Row],[Comments]]</f>
        <v>5767</v>
      </c>
      <c r="R238" s="12">
        <f>(Table1_2[[#This Row],[Likes]]+Table1_2[[#This Row],[Shares]]+Table1_2[[#This Row],[Comments]])/Table1_2[[#This Row],[Impressions]]</f>
        <v>6.2603126356925748E-2</v>
      </c>
      <c r="S238" s="4" t="str">
        <f>_xlfn.XLOOKUP(Table1_2[[#This Row],[Campaign_Name]],'Campaign Metadata'!A:A,'Campaign Metadata'!B:B,"not found",0)</f>
        <v>not found</v>
      </c>
      <c r="T238" s="4" t="str">
        <f>_xlfn.XLOOKUP(Table1_2[[#This Row],[Campaign_Name]],'Campaign Metadata'!A:A,'Campaign Metadata'!C:C,"not found",0)</f>
        <v>not found</v>
      </c>
      <c r="U238" t="str">
        <f>IF(AND(Table1_2[[#This Row],[Date]]&gt;=Table1_2[[#This Row],[Campaign Start Date2]],Table1_2[[#This Row],[Date]]&lt;=Table1_2[[#This Row],[Campaign End Date3]]),"During Campaign","Before Campaign")</f>
        <v>Before Campaign</v>
      </c>
      <c r="V238" s="30" t="str">
        <f>_xlfn.XLOOKUP(Table1_2[[#This Row],[Campaign_Name]],'Campaign Metadata'!A:A,'Campaign Metadata'!E:E,"Not Available",0)</f>
        <v>Not Available</v>
      </c>
      <c r="W238" t="e">
        <f>Table1_2[[#This Row],[Engagement]]/Table1_2[[#This Row],[Campaign Budget]]</f>
        <v>#VALUE!</v>
      </c>
      <c r="X238">
        <f>_xlfn.XLOOKUP(Table1_2[[#This Row],[Platform]],'Engagement Summary'!B:B,'Engagement Summary'!H:H,"Not Available",0)</f>
        <v>1002</v>
      </c>
      <c r="Y238">
        <f>WEEKNUM(Table1_2[[#This Row],[Date]])</f>
        <v>49</v>
      </c>
      <c r="Z238">
        <f>_xlfn.XLOOKUP(Table1_2[[#This Row],[Platform]],'Engagement Summary'!B:B,'Engagement Summary'!G:G,"Notavailable",0)</f>
        <v>9566</v>
      </c>
    </row>
    <row r="239" spans="1:26" x14ac:dyDescent="0.3">
      <c r="A239" t="s">
        <v>439</v>
      </c>
      <c r="B239" t="s">
        <v>43</v>
      </c>
      <c r="C239" s="4">
        <v>45454</v>
      </c>
      <c r="D239" t="s">
        <v>45</v>
      </c>
      <c r="E239" t="s">
        <v>46</v>
      </c>
      <c r="F239">
        <v>1869</v>
      </c>
      <c r="G239">
        <v>453</v>
      </c>
      <c r="H239">
        <v>490</v>
      </c>
      <c r="I239">
        <v>14952</v>
      </c>
      <c r="J239">
        <v>14309</v>
      </c>
      <c r="K239">
        <v>275</v>
      </c>
      <c r="L239" t="s">
        <v>30</v>
      </c>
      <c r="M239" t="s">
        <v>38</v>
      </c>
      <c r="N239" s="4">
        <v>45717</v>
      </c>
      <c r="O239" s="4">
        <v>45747</v>
      </c>
      <c r="P239" t="s">
        <v>637</v>
      </c>
      <c r="Q239">
        <f>Table1_2[[#This Row],[Likes]]+Table1_2[[#This Row],[Shares]]+Table1_2[[#This Row],[Comments]]</f>
        <v>2812</v>
      </c>
      <c r="R239" s="12">
        <f>(Table1_2[[#This Row],[Likes]]+Table1_2[[#This Row],[Shares]]+Table1_2[[#This Row],[Comments]])/Table1_2[[#This Row],[Impressions]]</f>
        <v>0.18806848582129482</v>
      </c>
      <c r="S239" s="4">
        <f>_xlfn.XLOOKUP(Table1_2[[#This Row],[Campaign_Name]],'Campaign Metadata'!A:A,'Campaign Metadata'!B:B,"not found",0)</f>
        <v>45717</v>
      </c>
      <c r="T239" s="4">
        <f>_xlfn.XLOOKUP(Table1_2[[#This Row],[Campaign_Name]],'Campaign Metadata'!A:A,'Campaign Metadata'!C:C,"not found",0)</f>
        <v>45747</v>
      </c>
      <c r="U239" t="str">
        <f>IF(AND(Table1_2[[#This Row],[Date]]&gt;=Table1_2[[#This Row],[Campaign Start Date2]],Table1_2[[#This Row],[Date]]&lt;=Table1_2[[#This Row],[Campaign End Date3]]),"During Campaign","Before Campaign")</f>
        <v>Before Campaign</v>
      </c>
      <c r="V239" s="30">
        <f>_xlfn.XLOOKUP(Table1_2[[#This Row],[Campaign_Name]],'Campaign Metadata'!A:A,'Campaign Metadata'!E:E,"Not Available",0)</f>
        <v>180000</v>
      </c>
      <c r="W239">
        <f>Table1_2[[#This Row],[Engagement]]/Table1_2[[#This Row],[Campaign Budget]]</f>
        <v>1.5622222222222221E-2</v>
      </c>
      <c r="X239">
        <f>_xlfn.XLOOKUP(Table1_2[[#This Row],[Platform]],'Engagement Summary'!B:B,'Engagement Summary'!H:H,"Not Available",0)</f>
        <v>1002</v>
      </c>
      <c r="Y239">
        <f>WEEKNUM(Table1_2[[#This Row],[Date]])</f>
        <v>24</v>
      </c>
      <c r="Z239">
        <f>_xlfn.XLOOKUP(Table1_2[[#This Row],[Platform]],'Engagement Summary'!B:B,'Engagement Summary'!G:G,"Notavailable",0)</f>
        <v>9566</v>
      </c>
    </row>
    <row r="240" spans="1:26" x14ac:dyDescent="0.3">
      <c r="A240" t="s">
        <v>440</v>
      </c>
      <c r="B240" t="s">
        <v>14</v>
      </c>
      <c r="C240" s="4">
        <v>45685</v>
      </c>
      <c r="D240" t="s">
        <v>16</v>
      </c>
      <c r="E240" t="s">
        <v>17</v>
      </c>
      <c r="F240">
        <v>1188</v>
      </c>
      <c r="G240">
        <v>470</v>
      </c>
      <c r="H240">
        <v>174</v>
      </c>
      <c r="I240">
        <v>7128</v>
      </c>
      <c r="J240">
        <v>6145</v>
      </c>
      <c r="K240">
        <v>270</v>
      </c>
      <c r="L240" t="s">
        <v>30</v>
      </c>
      <c r="M240" t="s">
        <v>38</v>
      </c>
      <c r="N240" s="4">
        <v>45717</v>
      </c>
      <c r="O240" s="4">
        <v>45747</v>
      </c>
      <c r="P240" t="s">
        <v>637</v>
      </c>
      <c r="Q240">
        <f>Table1_2[[#This Row],[Likes]]+Table1_2[[#This Row],[Shares]]+Table1_2[[#This Row],[Comments]]</f>
        <v>1832</v>
      </c>
      <c r="R240" s="12">
        <f>(Table1_2[[#This Row],[Likes]]+Table1_2[[#This Row],[Shares]]+Table1_2[[#This Row],[Comments]])/Table1_2[[#This Row],[Impressions]]</f>
        <v>0.25701459034792368</v>
      </c>
      <c r="S240" s="4">
        <f>_xlfn.XLOOKUP(Table1_2[[#This Row],[Campaign_Name]],'Campaign Metadata'!A:A,'Campaign Metadata'!B:B,"not found",0)</f>
        <v>45717</v>
      </c>
      <c r="T240" s="4">
        <f>_xlfn.XLOOKUP(Table1_2[[#This Row],[Campaign_Name]],'Campaign Metadata'!A:A,'Campaign Metadata'!C:C,"not found",0)</f>
        <v>45747</v>
      </c>
      <c r="U240" t="str">
        <f>IF(AND(Table1_2[[#This Row],[Date]]&gt;=Table1_2[[#This Row],[Campaign Start Date2]],Table1_2[[#This Row],[Date]]&lt;=Table1_2[[#This Row],[Campaign End Date3]]),"During Campaign","Before Campaign")</f>
        <v>Before Campaign</v>
      </c>
      <c r="V240" s="30">
        <f>_xlfn.XLOOKUP(Table1_2[[#This Row],[Campaign_Name]],'Campaign Metadata'!A:A,'Campaign Metadata'!E:E,"Not Available",0)</f>
        <v>180000</v>
      </c>
      <c r="W240">
        <f>Table1_2[[#This Row],[Engagement]]/Table1_2[[#This Row],[Campaign Budget]]</f>
        <v>1.0177777777777779E-2</v>
      </c>
      <c r="X240">
        <f>_xlfn.XLOOKUP(Table1_2[[#This Row],[Platform]],'Engagement Summary'!B:B,'Engagement Summary'!H:H,"Not Available",0)</f>
        <v>415</v>
      </c>
      <c r="Y240">
        <f>WEEKNUM(Table1_2[[#This Row],[Date]])</f>
        <v>5</v>
      </c>
      <c r="Z240">
        <f>_xlfn.XLOOKUP(Table1_2[[#This Row],[Platform]],'Engagement Summary'!B:B,'Engagement Summary'!G:G,"Notavailable",0)</f>
        <v>26752</v>
      </c>
    </row>
    <row r="241" spans="1:26" x14ac:dyDescent="0.3">
      <c r="A241" t="s">
        <v>441</v>
      </c>
      <c r="B241" t="s">
        <v>33</v>
      </c>
      <c r="C241" s="4">
        <v>45445</v>
      </c>
      <c r="D241" t="s">
        <v>35</v>
      </c>
      <c r="E241" t="s">
        <v>36</v>
      </c>
      <c r="F241">
        <v>84</v>
      </c>
      <c r="G241">
        <v>897</v>
      </c>
      <c r="H241">
        <v>85</v>
      </c>
      <c r="I241">
        <v>588</v>
      </c>
      <c r="J241">
        <v>8</v>
      </c>
      <c r="K241">
        <v>12</v>
      </c>
      <c r="L241" t="s">
        <v>37</v>
      </c>
      <c r="M241" t="s">
        <v>617</v>
      </c>
      <c r="N241" s="4">
        <v>0</v>
      </c>
      <c r="O241" s="4">
        <v>0</v>
      </c>
      <c r="P241" t="s">
        <v>637</v>
      </c>
      <c r="Q241">
        <f>Table1_2[[#This Row],[Likes]]+Table1_2[[#This Row],[Shares]]+Table1_2[[#This Row],[Comments]]</f>
        <v>1066</v>
      </c>
      <c r="R241" s="12">
        <f>(Table1_2[[#This Row],[Likes]]+Table1_2[[#This Row],[Shares]]+Table1_2[[#This Row],[Comments]])/Table1_2[[#This Row],[Impressions]]</f>
        <v>1.8129251700680271</v>
      </c>
      <c r="S241" s="4" t="str">
        <f>_xlfn.XLOOKUP(Table1_2[[#This Row],[Campaign_Name]],'Campaign Metadata'!A:A,'Campaign Metadata'!B:B,"not found",0)</f>
        <v>not found</v>
      </c>
      <c r="T241" s="4" t="str">
        <f>_xlfn.XLOOKUP(Table1_2[[#This Row],[Campaign_Name]],'Campaign Metadata'!A:A,'Campaign Metadata'!C:C,"not found",0)</f>
        <v>not found</v>
      </c>
      <c r="U241" t="str">
        <f>IF(AND(Table1_2[[#This Row],[Date]]&gt;=Table1_2[[#This Row],[Campaign Start Date2]],Table1_2[[#This Row],[Date]]&lt;=Table1_2[[#This Row],[Campaign End Date3]]),"During Campaign","Before Campaign")</f>
        <v>Before Campaign</v>
      </c>
      <c r="V241" s="30" t="str">
        <f>_xlfn.XLOOKUP(Table1_2[[#This Row],[Campaign_Name]],'Campaign Metadata'!A:A,'Campaign Metadata'!E:E,"Not Available",0)</f>
        <v>Not Available</v>
      </c>
      <c r="W241" t="e">
        <f>Table1_2[[#This Row],[Engagement]]/Table1_2[[#This Row],[Campaign Budget]]</f>
        <v>#VALUE!</v>
      </c>
      <c r="X241">
        <f>_xlfn.XLOOKUP(Table1_2[[#This Row],[Platform]],'Engagement Summary'!B:B,'Engagement Summary'!H:H,"Not Available",0)</f>
        <v>1047</v>
      </c>
      <c r="Y241">
        <f>WEEKNUM(Table1_2[[#This Row],[Date]])</f>
        <v>23</v>
      </c>
      <c r="Z241">
        <f>_xlfn.XLOOKUP(Table1_2[[#This Row],[Platform]],'Engagement Summary'!B:B,'Engagement Summary'!G:G,"Notavailable",0)</f>
        <v>5904</v>
      </c>
    </row>
    <row r="242" spans="1:26" x14ac:dyDescent="0.3">
      <c r="A242" t="s">
        <v>442</v>
      </c>
      <c r="B242" t="s">
        <v>43</v>
      </c>
      <c r="C242" s="4">
        <v>45739</v>
      </c>
      <c r="D242" t="s">
        <v>74</v>
      </c>
      <c r="E242" t="s">
        <v>75</v>
      </c>
      <c r="F242">
        <v>4453</v>
      </c>
      <c r="G242">
        <v>111</v>
      </c>
      <c r="H242">
        <v>420</v>
      </c>
      <c r="I242">
        <v>31171</v>
      </c>
      <c r="J242">
        <v>30565</v>
      </c>
      <c r="K242">
        <v>23</v>
      </c>
      <c r="L242" t="s">
        <v>30</v>
      </c>
      <c r="M242" t="s">
        <v>617</v>
      </c>
      <c r="N242" s="4">
        <v>0</v>
      </c>
      <c r="O242" s="4">
        <v>0</v>
      </c>
      <c r="P242" t="s">
        <v>637</v>
      </c>
      <c r="Q242">
        <f>Table1_2[[#This Row],[Likes]]+Table1_2[[#This Row],[Shares]]+Table1_2[[#This Row],[Comments]]</f>
        <v>4984</v>
      </c>
      <c r="R242" s="12">
        <f>(Table1_2[[#This Row],[Likes]]+Table1_2[[#This Row],[Shares]]+Table1_2[[#This Row],[Comments]])/Table1_2[[#This Row],[Impressions]]</f>
        <v>0.15989220750056141</v>
      </c>
      <c r="S242" s="4" t="str">
        <f>_xlfn.XLOOKUP(Table1_2[[#This Row],[Campaign_Name]],'Campaign Metadata'!A:A,'Campaign Metadata'!B:B,"not found",0)</f>
        <v>not found</v>
      </c>
      <c r="T242" s="4" t="str">
        <f>_xlfn.XLOOKUP(Table1_2[[#This Row],[Campaign_Name]],'Campaign Metadata'!A:A,'Campaign Metadata'!C:C,"not found",0)</f>
        <v>not found</v>
      </c>
      <c r="U242" t="str">
        <f>IF(AND(Table1_2[[#This Row],[Date]]&gt;=Table1_2[[#This Row],[Campaign Start Date2]],Table1_2[[#This Row],[Date]]&lt;=Table1_2[[#This Row],[Campaign End Date3]]),"During Campaign","Before Campaign")</f>
        <v>Before Campaign</v>
      </c>
      <c r="V242" s="30" t="str">
        <f>_xlfn.XLOOKUP(Table1_2[[#This Row],[Campaign_Name]],'Campaign Metadata'!A:A,'Campaign Metadata'!E:E,"Not Available",0)</f>
        <v>Not Available</v>
      </c>
      <c r="W242" t="e">
        <f>Table1_2[[#This Row],[Engagement]]/Table1_2[[#This Row],[Campaign Budget]]</f>
        <v>#VALUE!</v>
      </c>
      <c r="X242">
        <f>_xlfn.XLOOKUP(Table1_2[[#This Row],[Platform]],'Engagement Summary'!B:B,'Engagement Summary'!H:H,"Not Available",0)</f>
        <v>1002</v>
      </c>
      <c r="Y242">
        <f>WEEKNUM(Table1_2[[#This Row],[Date]])</f>
        <v>13</v>
      </c>
      <c r="Z242">
        <f>_xlfn.XLOOKUP(Table1_2[[#This Row],[Platform]],'Engagement Summary'!B:B,'Engagement Summary'!G:G,"Notavailable",0)</f>
        <v>9566</v>
      </c>
    </row>
    <row r="243" spans="1:26" x14ac:dyDescent="0.3">
      <c r="A243" t="s">
        <v>443</v>
      </c>
      <c r="B243" t="s">
        <v>43</v>
      </c>
      <c r="C243" s="4">
        <v>45573</v>
      </c>
      <c r="D243" t="s">
        <v>16</v>
      </c>
      <c r="E243" t="s">
        <v>65</v>
      </c>
      <c r="F243">
        <v>1814</v>
      </c>
      <c r="G243">
        <v>653</v>
      </c>
      <c r="H243">
        <v>363</v>
      </c>
      <c r="I243">
        <v>25396</v>
      </c>
      <c r="J243">
        <v>25286</v>
      </c>
      <c r="K243">
        <v>39</v>
      </c>
      <c r="L243" t="s">
        <v>62</v>
      </c>
      <c r="M243" t="s">
        <v>19</v>
      </c>
      <c r="N243" s="4">
        <v>45458</v>
      </c>
      <c r="O243" s="4">
        <v>45488</v>
      </c>
      <c r="P243" t="s">
        <v>637</v>
      </c>
      <c r="Q243">
        <f>Table1_2[[#This Row],[Likes]]+Table1_2[[#This Row],[Shares]]+Table1_2[[#This Row],[Comments]]</f>
        <v>2830</v>
      </c>
      <c r="R243" s="12">
        <f>(Table1_2[[#This Row],[Likes]]+Table1_2[[#This Row],[Shares]]+Table1_2[[#This Row],[Comments]])/Table1_2[[#This Row],[Impressions]]</f>
        <v>0.11143487163332809</v>
      </c>
      <c r="S243" s="4">
        <f>_xlfn.XLOOKUP(Table1_2[[#This Row],[Campaign_Name]],'Campaign Metadata'!A:A,'Campaign Metadata'!B:B,"not found",0)</f>
        <v>45458</v>
      </c>
      <c r="T243" s="4">
        <f>_xlfn.XLOOKUP(Table1_2[[#This Row],[Campaign_Name]],'Campaign Metadata'!A:A,'Campaign Metadata'!C:C,"not found",0)</f>
        <v>45488</v>
      </c>
      <c r="U243" t="str">
        <f>IF(AND(Table1_2[[#This Row],[Date]]&gt;=Table1_2[[#This Row],[Campaign Start Date2]],Table1_2[[#This Row],[Date]]&lt;=Table1_2[[#This Row],[Campaign End Date3]]),"During Campaign","Before Campaign")</f>
        <v>Before Campaign</v>
      </c>
      <c r="V243" s="30">
        <f>_xlfn.XLOOKUP(Table1_2[[#This Row],[Campaign_Name]],'Campaign Metadata'!A:A,'Campaign Metadata'!E:E,"Not Available",0)</f>
        <v>150000</v>
      </c>
      <c r="W243">
        <f>Table1_2[[#This Row],[Engagement]]/Table1_2[[#This Row],[Campaign Budget]]</f>
        <v>1.8866666666666667E-2</v>
      </c>
      <c r="X243">
        <f>_xlfn.XLOOKUP(Table1_2[[#This Row],[Platform]],'Engagement Summary'!B:B,'Engagement Summary'!H:H,"Not Available",0)</f>
        <v>1002</v>
      </c>
      <c r="Y243">
        <f>WEEKNUM(Table1_2[[#This Row],[Date]])</f>
        <v>41</v>
      </c>
      <c r="Z243">
        <f>_xlfn.XLOOKUP(Table1_2[[#This Row],[Platform]],'Engagement Summary'!B:B,'Engagement Summary'!G:G,"Notavailable",0)</f>
        <v>9566</v>
      </c>
    </row>
    <row r="244" spans="1:26" x14ac:dyDescent="0.3">
      <c r="A244" t="s">
        <v>443</v>
      </c>
      <c r="B244" t="s">
        <v>43</v>
      </c>
      <c r="C244" s="4">
        <v>45573</v>
      </c>
      <c r="D244" t="s">
        <v>16</v>
      </c>
      <c r="E244" t="s">
        <v>65</v>
      </c>
      <c r="F244">
        <v>1814</v>
      </c>
      <c r="G244">
        <v>653</v>
      </c>
      <c r="H244">
        <v>363</v>
      </c>
      <c r="I244">
        <v>25396</v>
      </c>
      <c r="J244">
        <v>25286</v>
      </c>
      <c r="K244">
        <v>39</v>
      </c>
      <c r="L244" t="s">
        <v>603</v>
      </c>
      <c r="M244" t="s">
        <v>19</v>
      </c>
      <c r="N244" s="4">
        <v>45458</v>
      </c>
      <c r="O244" s="4">
        <v>45488</v>
      </c>
      <c r="P244" t="s">
        <v>637</v>
      </c>
      <c r="Q244">
        <f>Table1_2[[#This Row],[Likes]]+Table1_2[[#This Row],[Shares]]+Table1_2[[#This Row],[Comments]]</f>
        <v>2830</v>
      </c>
      <c r="R244" s="12">
        <f>(Table1_2[[#This Row],[Likes]]+Table1_2[[#This Row],[Shares]]+Table1_2[[#This Row],[Comments]])/Table1_2[[#This Row],[Impressions]]</f>
        <v>0.11143487163332809</v>
      </c>
      <c r="S244" s="4">
        <f>_xlfn.XLOOKUP(Table1_2[[#This Row],[Campaign_Name]],'Campaign Metadata'!A:A,'Campaign Metadata'!B:B,"not found",0)</f>
        <v>45458</v>
      </c>
      <c r="T244" s="4">
        <f>_xlfn.XLOOKUP(Table1_2[[#This Row],[Campaign_Name]],'Campaign Metadata'!A:A,'Campaign Metadata'!C:C,"not found",0)</f>
        <v>45488</v>
      </c>
      <c r="U244" t="str">
        <f>IF(AND(Table1_2[[#This Row],[Date]]&gt;=Table1_2[[#This Row],[Campaign Start Date2]],Table1_2[[#This Row],[Date]]&lt;=Table1_2[[#This Row],[Campaign End Date3]]),"During Campaign","Before Campaign")</f>
        <v>Before Campaign</v>
      </c>
      <c r="V244" s="30">
        <f>_xlfn.XLOOKUP(Table1_2[[#This Row],[Campaign_Name]],'Campaign Metadata'!A:A,'Campaign Metadata'!E:E,"Not Available",0)</f>
        <v>150000</v>
      </c>
      <c r="W244">
        <f>Table1_2[[#This Row],[Engagement]]/Table1_2[[#This Row],[Campaign Budget]]</f>
        <v>1.8866666666666667E-2</v>
      </c>
      <c r="X244">
        <f>_xlfn.XLOOKUP(Table1_2[[#This Row],[Platform]],'Engagement Summary'!B:B,'Engagement Summary'!H:H,"Not Available",0)</f>
        <v>1002</v>
      </c>
      <c r="Y244">
        <f>WEEKNUM(Table1_2[[#This Row],[Date]])</f>
        <v>41</v>
      </c>
      <c r="Z244">
        <f>_xlfn.XLOOKUP(Table1_2[[#This Row],[Platform]],'Engagement Summary'!B:B,'Engagement Summary'!G:G,"Notavailable",0)</f>
        <v>9566</v>
      </c>
    </row>
    <row r="245" spans="1:26" x14ac:dyDescent="0.3">
      <c r="A245" t="s">
        <v>446</v>
      </c>
      <c r="B245" t="s">
        <v>14</v>
      </c>
      <c r="C245" s="4">
        <v>45608</v>
      </c>
      <c r="D245" t="s">
        <v>52</v>
      </c>
      <c r="E245" t="s">
        <v>132</v>
      </c>
      <c r="F245">
        <v>3338</v>
      </c>
      <c r="G245">
        <v>277</v>
      </c>
      <c r="H245">
        <v>118</v>
      </c>
      <c r="I245">
        <v>60084</v>
      </c>
      <c r="J245">
        <v>59842</v>
      </c>
      <c r="K245">
        <v>252</v>
      </c>
      <c r="L245" t="s">
        <v>30</v>
      </c>
      <c r="M245" t="s">
        <v>617</v>
      </c>
      <c r="N245" s="4">
        <v>0</v>
      </c>
      <c r="O245" s="4">
        <v>0</v>
      </c>
      <c r="P245" t="s">
        <v>637</v>
      </c>
      <c r="Q245">
        <f>Table1_2[[#This Row],[Likes]]+Table1_2[[#This Row],[Shares]]+Table1_2[[#This Row],[Comments]]</f>
        <v>3733</v>
      </c>
      <c r="R245" s="12">
        <f>(Table1_2[[#This Row],[Likes]]+Table1_2[[#This Row],[Shares]]+Table1_2[[#This Row],[Comments]])/Table1_2[[#This Row],[Impressions]]</f>
        <v>6.2129685107516146E-2</v>
      </c>
      <c r="S245" s="4" t="str">
        <f>_xlfn.XLOOKUP(Table1_2[[#This Row],[Campaign_Name]],'Campaign Metadata'!A:A,'Campaign Metadata'!B:B,"not found",0)</f>
        <v>not found</v>
      </c>
      <c r="T245" s="4" t="str">
        <f>_xlfn.XLOOKUP(Table1_2[[#This Row],[Campaign_Name]],'Campaign Metadata'!A:A,'Campaign Metadata'!C:C,"not found",0)</f>
        <v>not found</v>
      </c>
      <c r="U245" t="str">
        <f>IF(AND(Table1_2[[#This Row],[Date]]&gt;=Table1_2[[#This Row],[Campaign Start Date2]],Table1_2[[#This Row],[Date]]&lt;=Table1_2[[#This Row],[Campaign End Date3]]),"During Campaign","Before Campaign")</f>
        <v>Before Campaign</v>
      </c>
      <c r="V245" s="30" t="str">
        <f>_xlfn.XLOOKUP(Table1_2[[#This Row],[Campaign_Name]],'Campaign Metadata'!A:A,'Campaign Metadata'!E:E,"Not Available",0)</f>
        <v>Not Available</v>
      </c>
      <c r="W245" t="e">
        <f>Table1_2[[#This Row],[Engagement]]/Table1_2[[#This Row],[Campaign Budget]]</f>
        <v>#VALUE!</v>
      </c>
      <c r="X245">
        <f>_xlfn.XLOOKUP(Table1_2[[#This Row],[Platform]],'Engagement Summary'!B:B,'Engagement Summary'!H:H,"Not Available",0)</f>
        <v>415</v>
      </c>
      <c r="Y245">
        <f>WEEKNUM(Table1_2[[#This Row],[Date]])</f>
        <v>46</v>
      </c>
      <c r="Z245">
        <f>_xlfn.XLOOKUP(Table1_2[[#This Row],[Platform]],'Engagement Summary'!B:B,'Engagement Summary'!G:G,"Notavailable",0)</f>
        <v>26752</v>
      </c>
    </row>
    <row r="246" spans="1:26" x14ac:dyDescent="0.3">
      <c r="A246" t="s">
        <v>447</v>
      </c>
      <c r="B246" t="s">
        <v>43</v>
      </c>
      <c r="C246" s="4">
        <v>45790</v>
      </c>
      <c r="D246" t="s">
        <v>52</v>
      </c>
      <c r="E246" t="s">
        <v>59</v>
      </c>
      <c r="F246">
        <v>602</v>
      </c>
      <c r="G246">
        <v>594</v>
      </c>
      <c r="H246">
        <v>156</v>
      </c>
      <c r="I246">
        <v>4214</v>
      </c>
      <c r="J246">
        <v>3363</v>
      </c>
      <c r="K246">
        <v>164</v>
      </c>
      <c r="L246" t="s">
        <v>30</v>
      </c>
      <c r="M246" t="s">
        <v>31</v>
      </c>
      <c r="N246" s="4">
        <v>45651</v>
      </c>
      <c r="O246" s="4">
        <v>45667</v>
      </c>
      <c r="P246" t="s">
        <v>637</v>
      </c>
      <c r="Q246">
        <f>Table1_2[[#This Row],[Likes]]+Table1_2[[#This Row],[Shares]]+Table1_2[[#This Row],[Comments]]</f>
        <v>1352</v>
      </c>
      <c r="R246" s="12">
        <f>(Table1_2[[#This Row],[Likes]]+Table1_2[[#This Row],[Shares]]+Table1_2[[#This Row],[Comments]])/Table1_2[[#This Row],[Impressions]]</f>
        <v>0.32083531086853345</v>
      </c>
      <c r="S246" s="4">
        <f>_xlfn.XLOOKUP(Table1_2[[#This Row],[Campaign_Name]],'Campaign Metadata'!A:A,'Campaign Metadata'!B:B,"not found",0)</f>
        <v>45651</v>
      </c>
      <c r="T246" s="4">
        <f>_xlfn.XLOOKUP(Table1_2[[#This Row],[Campaign_Name]],'Campaign Metadata'!A:A,'Campaign Metadata'!C:C,"not found",0)</f>
        <v>45667</v>
      </c>
      <c r="U246" t="str">
        <f>IF(AND(Table1_2[[#This Row],[Date]]&gt;=Table1_2[[#This Row],[Campaign Start Date2]],Table1_2[[#This Row],[Date]]&lt;=Table1_2[[#This Row],[Campaign End Date3]]),"During Campaign","Before Campaign")</f>
        <v>Before Campaign</v>
      </c>
      <c r="V246" s="30">
        <f>_xlfn.XLOOKUP(Table1_2[[#This Row],[Campaign_Name]],'Campaign Metadata'!A:A,'Campaign Metadata'!E:E,"Not Available",0)</f>
        <v>250000</v>
      </c>
      <c r="W246">
        <f>Table1_2[[#This Row],[Engagement]]/Table1_2[[#This Row],[Campaign Budget]]</f>
        <v>5.4079999999999996E-3</v>
      </c>
      <c r="X246">
        <f>_xlfn.XLOOKUP(Table1_2[[#This Row],[Platform]],'Engagement Summary'!B:B,'Engagement Summary'!H:H,"Not Available",0)</f>
        <v>1002</v>
      </c>
      <c r="Y246">
        <f>WEEKNUM(Table1_2[[#This Row],[Date]])</f>
        <v>20</v>
      </c>
      <c r="Z246">
        <f>_xlfn.XLOOKUP(Table1_2[[#This Row],[Platform]],'Engagement Summary'!B:B,'Engagement Summary'!G:G,"Notavailable",0)</f>
        <v>9566</v>
      </c>
    </row>
    <row r="247" spans="1:26" x14ac:dyDescent="0.3">
      <c r="A247" t="s">
        <v>449</v>
      </c>
      <c r="B247" t="s">
        <v>14</v>
      </c>
      <c r="C247" s="4">
        <v>45463</v>
      </c>
      <c r="D247" t="s">
        <v>45</v>
      </c>
      <c r="E247" t="s">
        <v>49</v>
      </c>
      <c r="F247">
        <v>4672</v>
      </c>
      <c r="G247">
        <v>325</v>
      </c>
      <c r="H247">
        <v>32</v>
      </c>
      <c r="I247">
        <v>88768</v>
      </c>
      <c r="J247">
        <v>87833</v>
      </c>
      <c r="K247">
        <v>118</v>
      </c>
      <c r="L247" t="s">
        <v>37</v>
      </c>
      <c r="M247" t="s">
        <v>617</v>
      </c>
      <c r="N247" s="4">
        <v>0</v>
      </c>
      <c r="O247" s="4">
        <v>0</v>
      </c>
      <c r="P247" t="s">
        <v>637</v>
      </c>
      <c r="Q247">
        <f>Table1_2[[#This Row],[Likes]]+Table1_2[[#This Row],[Shares]]+Table1_2[[#This Row],[Comments]]</f>
        <v>5029</v>
      </c>
      <c r="R247" s="12">
        <f>(Table1_2[[#This Row],[Likes]]+Table1_2[[#This Row],[Shares]]+Table1_2[[#This Row],[Comments]])/Table1_2[[#This Row],[Impressions]]</f>
        <v>5.6653298485940883E-2</v>
      </c>
      <c r="S247" s="4" t="str">
        <f>_xlfn.XLOOKUP(Table1_2[[#This Row],[Campaign_Name]],'Campaign Metadata'!A:A,'Campaign Metadata'!B:B,"not found",0)</f>
        <v>not found</v>
      </c>
      <c r="T247" s="4" t="str">
        <f>_xlfn.XLOOKUP(Table1_2[[#This Row],[Campaign_Name]],'Campaign Metadata'!A:A,'Campaign Metadata'!C:C,"not found",0)</f>
        <v>not found</v>
      </c>
      <c r="U247" t="str">
        <f>IF(AND(Table1_2[[#This Row],[Date]]&gt;=Table1_2[[#This Row],[Campaign Start Date2]],Table1_2[[#This Row],[Date]]&lt;=Table1_2[[#This Row],[Campaign End Date3]]),"During Campaign","Before Campaign")</f>
        <v>Before Campaign</v>
      </c>
      <c r="V247" s="30" t="str">
        <f>_xlfn.XLOOKUP(Table1_2[[#This Row],[Campaign_Name]],'Campaign Metadata'!A:A,'Campaign Metadata'!E:E,"Not Available",0)</f>
        <v>Not Available</v>
      </c>
      <c r="W247" t="e">
        <f>Table1_2[[#This Row],[Engagement]]/Table1_2[[#This Row],[Campaign Budget]]</f>
        <v>#VALUE!</v>
      </c>
      <c r="X247">
        <f>_xlfn.XLOOKUP(Table1_2[[#This Row],[Platform]],'Engagement Summary'!B:B,'Engagement Summary'!H:H,"Not Available",0)</f>
        <v>415</v>
      </c>
      <c r="Y247">
        <f>WEEKNUM(Table1_2[[#This Row],[Date]])</f>
        <v>25</v>
      </c>
      <c r="Z247">
        <f>_xlfn.XLOOKUP(Table1_2[[#This Row],[Platform]],'Engagement Summary'!B:B,'Engagement Summary'!G:G,"Notavailable",0)</f>
        <v>26752</v>
      </c>
    </row>
    <row r="248" spans="1:26" x14ac:dyDescent="0.3">
      <c r="A248" t="s">
        <v>450</v>
      </c>
      <c r="B248" t="s">
        <v>33</v>
      </c>
      <c r="C248" s="4">
        <v>45511</v>
      </c>
      <c r="D248" t="s">
        <v>45</v>
      </c>
      <c r="E248" t="s">
        <v>88</v>
      </c>
      <c r="F248">
        <v>1741</v>
      </c>
      <c r="G248">
        <v>164</v>
      </c>
      <c r="H248">
        <v>318</v>
      </c>
      <c r="I248">
        <v>8705</v>
      </c>
      <c r="J248">
        <v>8272</v>
      </c>
      <c r="K248">
        <v>121</v>
      </c>
      <c r="L248" t="s">
        <v>30</v>
      </c>
      <c r="M248" t="s">
        <v>617</v>
      </c>
      <c r="N248" s="4">
        <v>0</v>
      </c>
      <c r="O248" s="4">
        <v>0</v>
      </c>
      <c r="P248" t="s">
        <v>637</v>
      </c>
      <c r="Q248">
        <f>Table1_2[[#This Row],[Likes]]+Table1_2[[#This Row],[Shares]]+Table1_2[[#This Row],[Comments]]</f>
        <v>2223</v>
      </c>
      <c r="R248" s="12">
        <f>(Table1_2[[#This Row],[Likes]]+Table1_2[[#This Row],[Shares]]+Table1_2[[#This Row],[Comments]])/Table1_2[[#This Row],[Impressions]]</f>
        <v>0.25537047673750718</v>
      </c>
      <c r="S248" s="4" t="str">
        <f>_xlfn.XLOOKUP(Table1_2[[#This Row],[Campaign_Name]],'Campaign Metadata'!A:A,'Campaign Metadata'!B:B,"not found",0)</f>
        <v>not found</v>
      </c>
      <c r="T248" s="4" t="str">
        <f>_xlfn.XLOOKUP(Table1_2[[#This Row],[Campaign_Name]],'Campaign Metadata'!A:A,'Campaign Metadata'!C:C,"not found",0)</f>
        <v>not found</v>
      </c>
      <c r="U248" t="str">
        <f>IF(AND(Table1_2[[#This Row],[Date]]&gt;=Table1_2[[#This Row],[Campaign Start Date2]],Table1_2[[#This Row],[Date]]&lt;=Table1_2[[#This Row],[Campaign End Date3]]),"During Campaign","Before Campaign")</f>
        <v>Before Campaign</v>
      </c>
      <c r="V248" s="30" t="str">
        <f>_xlfn.XLOOKUP(Table1_2[[#This Row],[Campaign_Name]],'Campaign Metadata'!A:A,'Campaign Metadata'!E:E,"Not Available",0)</f>
        <v>Not Available</v>
      </c>
      <c r="W248" t="e">
        <f>Table1_2[[#This Row],[Engagement]]/Table1_2[[#This Row],[Campaign Budget]]</f>
        <v>#VALUE!</v>
      </c>
      <c r="X248">
        <f>_xlfn.XLOOKUP(Table1_2[[#This Row],[Platform]],'Engagement Summary'!B:B,'Engagement Summary'!H:H,"Not Available",0)</f>
        <v>1047</v>
      </c>
      <c r="Y248">
        <f>WEEKNUM(Table1_2[[#This Row],[Date]])</f>
        <v>32</v>
      </c>
      <c r="Z248">
        <f>_xlfn.XLOOKUP(Table1_2[[#This Row],[Platform]],'Engagement Summary'!B:B,'Engagement Summary'!G:G,"Notavailable",0)</f>
        <v>5904</v>
      </c>
    </row>
    <row r="249" spans="1:26" x14ac:dyDescent="0.3">
      <c r="A249" t="s">
        <v>452</v>
      </c>
      <c r="B249" t="s">
        <v>33</v>
      </c>
      <c r="C249" s="4">
        <v>45455</v>
      </c>
      <c r="D249" t="s">
        <v>22</v>
      </c>
      <c r="E249" t="s">
        <v>113</v>
      </c>
      <c r="F249">
        <v>246</v>
      </c>
      <c r="G249">
        <v>149</v>
      </c>
      <c r="H249">
        <v>130</v>
      </c>
      <c r="I249">
        <v>4674</v>
      </c>
      <c r="J249">
        <v>4390</v>
      </c>
      <c r="K249">
        <v>217</v>
      </c>
      <c r="L249" t="s">
        <v>62</v>
      </c>
      <c r="M249" t="s">
        <v>31</v>
      </c>
      <c r="N249" s="4">
        <v>45651</v>
      </c>
      <c r="O249" s="4">
        <v>45667</v>
      </c>
      <c r="P249" t="s">
        <v>637</v>
      </c>
      <c r="Q249">
        <f>Table1_2[[#This Row],[Likes]]+Table1_2[[#This Row],[Shares]]+Table1_2[[#This Row],[Comments]]</f>
        <v>525</v>
      </c>
      <c r="R249" s="12">
        <f>(Table1_2[[#This Row],[Likes]]+Table1_2[[#This Row],[Shares]]+Table1_2[[#This Row],[Comments]])/Table1_2[[#This Row],[Impressions]]</f>
        <v>0.11232349165596919</v>
      </c>
      <c r="S249" s="4">
        <f>_xlfn.XLOOKUP(Table1_2[[#This Row],[Campaign_Name]],'Campaign Metadata'!A:A,'Campaign Metadata'!B:B,"not found",0)</f>
        <v>45651</v>
      </c>
      <c r="T249" s="4">
        <f>_xlfn.XLOOKUP(Table1_2[[#This Row],[Campaign_Name]],'Campaign Metadata'!A:A,'Campaign Metadata'!C:C,"not found",0)</f>
        <v>45667</v>
      </c>
      <c r="U249" t="str">
        <f>IF(AND(Table1_2[[#This Row],[Date]]&gt;=Table1_2[[#This Row],[Campaign Start Date2]],Table1_2[[#This Row],[Date]]&lt;=Table1_2[[#This Row],[Campaign End Date3]]),"During Campaign","Before Campaign")</f>
        <v>Before Campaign</v>
      </c>
      <c r="V249" s="30">
        <f>_xlfn.XLOOKUP(Table1_2[[#This Row],[Campaign_Name]],'Campaign Metadata'!A:A,'Campaign Metadata'!E:E,"Not Available",0)</f>
        <v>250000</v>
      </c>
      <c r="W249">
        <f>Table1_2[[#This Row],[Engagement]]/Table1_2[[#This Row],[Campaign Budget]]</f>
        <v>2.0999999999999999E-3</v>
      </c>
      <c r="X249">
        <f>_xlfn.XLOOKUP(Table1_2[[#This Row],[Platform]],'Engagement Summary'!B:B,'Engagement Summary'!H:H,"Not Available",0)</f>
        <v>1047</v>
      </c>
      <c r="Y249">
        <f>WEEKNUM(Table1_2[[#This Row],[Date]])</f>
        <v>24</v>
      </c>
      <c r="Z249">
        <f>_xlfn.XLOOKUP(Table1_2[[#This Row],[Platform]],'Engagement Summary'!B:B,'Engagement Summary'!G:G,"Notavailable",0)</f>
        <v>5904</v>
      </c>
    </row>
    <row r="250" spans="1:26" x14ac:dyDescent="0.3">
      <c r="A250" t="s">
        <v>454</v>
      </c>
      <c r="B250" t="s">
        <v>33</v>
      </c>
      <c r="C250" s="4">
        <v>45474</v>
      </c>
      <c r="D250" t="s">
        <v>35</v>
      </c>
      <c r="E250" t="s">
        <v>36</v>
      </c>
      <c r="F250">
        <v>4808</v>
      </c>
      <c r="G250">
        <v>772</v>
      </c>
      <c r="H250">
        <v>320</v>
      </c>
      <c r="I250">
        <v>72120</v>
      </c>
      <c r="J250">
        <v>71696</v>
      </c>
      <c r="K250">
        <v>195</v>
      </c>
      <c r="L250" t="s">
        <v>37</v>
      </c>
      <c r="M250" t="s">
        <v>19</v>
      </c>
      <c r="N250" s="4">
        <v>45458</v>
      </c>
      <c r="O250" s="4">
        <v>45488</v>
      </c>
      <c r="P250" t="s">
        <v>637</v>
      </c>
      <c r="Q250">
        <f>Table1_2[[#This Row],[Likes]]+Table1_2[[#This Row],[Shares]]+Table1_2[[#This Row],[Comments]]</f>
        <v>5900</v>
      </c>
      <c r="R250" s="12">
        <f>(Table1_2[[#This Row],[Likes]]+Table1_2[[#This Row],[Shares]]+Table1_2[[#This Row],[Comments]])/Table1_2[[#This Row],[Impressions]]</f>
        <v>8.1808097615085965E-2</v>
      </c>
      <c r="S250" s="4">
        <f>_xlfn.XLOOKUP(Table1_2[[#This Row],[Campaign_Name]],'Campaign Metadata'!A:A,'Campaign Metadata'!B:B,"not found",0)</f>
        <v>45458</v>
      </c>
      <c r="T250" s="4">
        <f>_xlfn.XLOOKUP(Table1_2[[#This Row],[Campaign_Name]],'Campaign Metadata'!A:A,'Campaign Metadata'!C:C,"not found",0)</f>
        <v>45488</v>
      </c>
      <c r="U250" t="str">
        <f>IF(AND(Table1_2[[#This Row],[Date]]&gt;=Table1_2[[#This Row],[Campaign Start Date2]],Table1_2[[#This Row],[Date]]&lt;=Table1_2[[#This Row],[Campaign End Date3]]),"During Campaign","Before Campaign")</f>
        <v>During Campaign</v>
      </c>
      <c r="V250" s="30">
        <f>_xlfn.XLOOKUP(Table1_2[[#This Row],[Campaign_Name]],'Campaign Metadata'!A:A,'Campaign Metadata'!E:E,"Not Available",0)</f>
        <v>150000</v>
      </c>
      <c r="W250">
        <f>Table1_2[[#This Row],[Engagement]]/Table1_2[[#This Row],[Campaign Budget]]</f>
        <v>3.9333333333333331E-2</v>
      </c>
      <c r="X250">
        <f>_xlfn.XLOOKUP(Table1_2[[#This Row],[Platform]],'Engagement Summary'!B:B,'Engagement Summary'!H:H,"Not Available",0)</f>
        <v>1047</v>
      </c>
      <c r="Y250">
        <f>WEEKNUM(Table1_2[[#This Row],[Date]])</f>
        <v>27</v>
      </c>
      <c r="Z250">
        <f>_xlfn.XLOOKUP(Table1_2[[#This Row],[Platform]],'Engagement Summary'!B:B,'Engagement Summary'!G:G,"Notavailable",0)</f>
        <v>5904</v>
      </c>
    </row>
    <row r="251" spans="1:26" x14ac:dyDescent="0.3">
      <c r="A251" t="s">
        <v>456</v>
      </c>
      <c r="B251" t="s">
        <v>33</v>
      </c>
      <c r="C251" s="4">
        <v>45476</v>
      </c>
      <c r="D251" t="s">
        <v>45</v>
      </c>
      <c r="E251" t="s">
        <v>88</v>
      </c>
      <c r="F251">
        <v>4799</v>
      </c>
      <c r="G251">
        <v>694</v>
      </c>
      <c r="H251">
        <v>289</v>
      </c>
      <c r="I251">
        <v>43191</v>
      </c>
      <c r="J251">
        <v>42228</v>
      </c>
      <c r="K251">
        <v>118</v>
      </c>
      <c r="L251" t="s">
        <v>30</v>
      </c>
      <c r="M251" t="s">
        <v>617</v>
      </c>
      <c r="N251" s="4">
        <v>0</v>
      </c>
      <c r="O251" s="4">
        <v>0</v>
      </c>
      <c r="P251" t="s">
        <v>637</v>
      </c>
      <c r="Q251">
        <f>Table1_2[[#This Row],[Likes]]+Table1_2[[#This Row],[Shares]]+Table1_2[[#This Row],[Comments]]</f>
        <v>5782</v>
      </c>
      <c r="R251" s="12">
        <f>(Table1_2[[#This Row],[Likes]]+Table1_2[[#This Row],[Shares]]+Table1_2[[#This Row],[Comments]])/Table1_2[[#This Row],[Impressions]]</f>
        <v>0.13387048227640017</v>
      </c>
      <c r="S251" s="4" t="str">
        <f>_xlfn.XLOOKUP(Table1_2[[#This Row],[Campaign_Name]],'Campaign Metadata'!A:A,'Campaign Metadata'!B:B,"not found",0)</f>
        <v>not found</v>
      </c>
      <c r="T251" s="4" t="str">
        <f>_xlfn.XLOOKUP(Table1_2[[#This Row],[Campaign_Name]],'Campaign Metadata'!A:A,'Campaign Metadata'!C:C,"not found",0)</f>
        <v>not found</v>
      </c>
      <c r="U251" t="str">
        <f>IF(AND(Table1_2[[#This Row],[Date]]&gt;=Table1_2[[#This Row],[Campaign Start Date2]],Table1_2[[#This Row],[Date]]&lt;=Table1_2[[#This Row],[Campaign End Date3]]),"During Campaign","Before Campaign")</f>
        <v>Before Campaign</v>
      </c>
      <c r="V251" s="30" t="str">
        <f>_xlfn.XLOOKUP(Table1_2[[#This Row],[Campaign_Name]],'Campaign Metadata'!A:A,'Campaign Metadata'!E:E,"Not Available",0)</f>
        <v>Not Available</v>
      </c>
      <c r="W251" t="e">
        <f>Table1_2[[#This Row],[Engagement]]/Table1_2[[#This Row],[Campaign Budget]]</f>
        <v>#VALUE!</v>
      </c>
      <c r="X251">
        <f>_xlfn.XLOOKUP(Table1_2[[#This Row],[Platform]],'Engagement Summary'!B:B,'Engagement Summary'!H:H,"Not Available",0)</f>
        <v>1047</v>
      </c>
      <c r="Y251">
        <f>WEEKNUM(Table1_2[[#This Row],[Date]])</f>
        <v>27</v>
      </c>
      <c r="Z251">
        <f>_xlfn.XLOOKUP(Table1_2[[#This Row],[Platform]],'Engagement Summary'!B:B,'Engagement Summary'!G:G,"Notavailable",0)</f>
        <v>5904</v>
      </c>
    </row>
    <row r="252" spans="1:26" x14ac:dyDescent="0.3">
      <c r="A252" t="s">
        <v>457</v>
      </c>
      <c r="B252" t="s">
        <v>43</v>
      </c>
      <c r="C252" s="4">
        <v>45488</v>
      </c>
      <c r="D252" t="s">
        <v>16</v>
      </c>
      <c r="E252" t="s">
        <v>65</v>
      </c>
      <c r="F252">
        <v>3663</v>
      </c>
      <c r="G252">
        <v>17</v>
      </c>
      <c r="H252">
        <v>295</v>
      </c>
      <c r="I252">
        <v>51282</v>
      </c>
      <c r="J252">
        <v>50567</v>
      </c>
      <c r="K252">
        <v>84</v>
      </c>
      <c r="L252" t="s">
        <v>37</v>
      </c>
      <c r="M252" t="s">
        <v>31</v>
      </c>
      <c r="N252" s="4">
        <v>45651</v>
      </c>
      <c r="O252" s="4">
        <v>45667</v>
      </c>
      <c r="P252" t="s">
        <v>637</v>
      </c>
      <c r="Q252">
        <f>Table1_2[[#This Row],[Likes]]+Table1_2[[#This Row],[Shares]]+Table1_2[[#This Row],[Comments]]</f>
        <v>3975</v>
      </c>
      <c r="R252" s="12">
        <f>(Table1_2[[#This Row],[Likes]]+Table1_2[[#This Row],[Shares]]+Table1_2[[#This Row],[Comments]])/Table1_2[[#This Row],[Impressions]]</f>
        <v>7.7512577512577507E-2</v>
      </c>
      <c r="S252" s="4">
        <f>_xlfn.XLOOKUP(Table1_2[[#This Row],[Campaign_Name]],'Campaign Metadata'!A:A,'Campaign Metadata'!B:B,"not found",0)</f>
        <v>45651</v>
      </c>
      <c r="T252" s="4">
        <f>_xlfn.XLOOKUP(Table1_2[[#This Row],[Campaign_Name]],'Campaign Metadata'!A:A,'Campaign Metadata'!C:C,"not found",0)</f>
        <v>45667</v>
      </c>
      <c r="U252" t="str">
        <f>IF(AND(Table1_2[[#This Row],[Date]]&gt;=Table1_2[[#This Row],[Campaign Start Date2]],Table1_2[[#This Row],[Date]]&lt;=Table1_2[[#This Row],[Campaign End Date3]]),"During Campaign","Before Campaign")</f>
        <v>Before Campaign</v>
      </c>
      <c r="V252" s="30">
        <f>_xlfn.XLOOKUP(Table1_2[[#This Row],[Campaign_Name]],'Campaign Metadata'!A:A,'Campaign Metadata'!E:E,"Not Available",0)</f>
        <v>250000</v>
      </c>
      <c r="W252">
        <f>Table1_2[[#This Row],[Engagement]]/Table1_2[[#This Row],[Campaign Budget]]</f>
        <v>1.5900000000000001E-2</v>
      </c>
      <c r="X252">
        <f>_xlfn.XLOOKUP(Table1_2[[#This Row],[Platform]],'Engagement Summary'!B:B,'Engagement Summary'!H:H,"Not Available",0)</f>
        <v>1002</v>
      </c>
      <c r="Y252">
        <f>WEEKNUM(Table1_2[[#This Row],[Date]])</f>
        <v>29</v>
      </c>
      <c r="Z252">
        <f>_xlfn.XLOOKUP(Table1_2[[#This Row],[Platform]],'Engagement Summary'!B:B,'Engagement Summary'!G:G,"Notavailable",0)</f>
        <v>9566</v>
      </c>
    </row>
    <row r="253" spans="1:26" x14ac:dyDescent="0.3">
      <c r="A253" t="s">
        <v>458</v>
      </c>
      <c r="B253" t="s">
        <v>33</v>
      </c>
      <c r="C253" s="4">
        <v>45778</v>
      </c>
      <c r="D253" t="s">
        <v>22</v>
      </c>
      <c r="E253" t="s">
        <v>113</v>
      </c>
      <c r="F253">
        <v>1430</v>
      </c>
      <c r="G253">
        <v>376</v>
      </c>
      <c r="H253">
        <v>33</v>
      </c>
      <c r="I253">
        <v>21450</v>
      </c>
      <c r="J253">
        <v>20509</v>
      </c>
      <c r="K253">
        <v>251</v>
      </c>
      <c r="L253" t="s">
        <v>62</v>
      </c>
      <c r="M253" t="s">
        <v>19</v>
      </c>
      <c r="N253" s="4">
        <v>45458</v>
      </c>
      <c r="O253" s="4">
        <v>45488</v>
      </c>
      <c r="P253" t="s">
        <v>637</v>
      </c>
      <c r="Q253">
        <f>Table1_2[[#This Row],[Likes]]+Table1_2[[#This Row],[Shares]]+Table1_2[[#This Row],[Comments]]</f>
        <v>1839</v>
      </c>
      <c r="R253" s="12">
        <f>(Table1_2[[#This Row],[Likes]]+Table1_2[[#This Row],[Shares]]+Table1_2[[#This Row],[Comments]])/Table1_2[[#This Row],[Impressions]]</f>
        <v>8.5734265734265735E-2</v>
      </c>
      <c r="S253" s="4">
        <f>_xlfn.XLOOKUP(Table1_2[[#This Row],[Campaign_Name]],'Campaign Metadata'!A:A,'Campaign Metadata'!B:B,"not found",0)</f>
        <v>45458</v>
      </c>
      <c r="T253" s="4">
        <f>_xlfn.XLOOKUP(Table1_2[[#This Row],[Campaign_Name]],'Campaign Metadata'!A:A,'Campaign Metadata'!C:C,"not found",0)</f>
        <v>45488</v>
      </c>
      <c r="U253" t="str">
        <f>IF(AND(Table1_2[[#This Row],[Date]]&gt;=Table1_2[[#This Row],[Campaign Start Date2]],Table1_2[[#This Row],[Date]]&lt;=Table1_2[[#This Row],[Campaign End Date3]]),"During Campaign","Before Campaign")</f>
        <v>Before Campaign</v>
      </c>
      <c r="V253" s="30">
        <f>_xlfn.XLOOKUP(Table1_2[[#This Row],[Campaign_Name]],'Campaign Metadata'!A:A,'Campaign Metadata'!E:E,"Not Available",0)</f>
        <v>150000</v>
      </c>
      <c r="W253">
        <f>Table1_2[[#This Row],[Engagement]]/Table1_2[[#This Row],[Campaign Budget]]</f>
        <v>1.226E-2</v>
      </c>
      <c r="X253">
        <f>_xlfn.XLOOKUP(Table1_2[[#This Row],[Platform]],'Engagement Summary'!B:B,'Engagement Summary'!H:H,"Not Available",0)</f>
        <v>1047</v>
      </c>
      <c r="Y253">
        <f>WEEKNUM(Table1_2[[#This Row],[Date]])</f>
        <v>18</v>
      </c>
      <c r="Z253">
        <f>_xlfn.XLOOKUP(Table1_2[[#This Row],[Platform]],'Engagement Summary'!B:B,'Engagement Summary'!G:G,"Notavailable",0)</f>
        <v>5904</v>
      </c>
    </row>
    <row r="254" spans="1:26" x14ac:dyDescent="0.3">
      <c r="A254" t="s">
        <v>459</v>
      </c>
      <c r="B254" t="s">
        <v>14</v>
      </c>
      <c r="C254" s="4">
        <v>45776</v>
      </c>
      <c r="D254" t="s">
        <v>35</v>
      </c>
      <c r="E254" t="s">
        <v>149</v>
      </c>
      <c r="F254">
        <v>249</v>
      </c>
      <c r="G254">
        <v>592</v>
      </c>
      <c r="H254">
        <v>230</v>
      </c>
      <c r="I254">
        <v>1494</v>
      </c>
      <c r="J254">
        <v>1044</v>
      </c>
      <c r="K254">
        <v>201</v>
      </c>
      <c r="L254" t="s">
        <v>37</v>
      </c>
      <c r="M254" t="s">
        <v>38</v>
      </c>
      <c r="N254" s="4">
        <v>45717</v>
      </c>
      <c r="O254" s="4">
        <v>45747</v>
      </c>
      <c r="P254" t="s">
        <v>637</v>
      </c>
      <c r="Q254">
        <f>Table1_2[[#This Row],[Likes]]+Table1_2[[#This Row],[Shares]]+Table1_2[[#This Row],[Comments]]</f>
        <v>1071</v>
      </c>
      <c r="R254" s="12">
        <f>(Table1_2[[#This Row],[Likes]]+Table1_2[[#This Row],[Shares]]+Table1_2[[#This Row],[Comments]])/Table1_2[[#This Row],[Impressions]]</f>
        <v>0.7168674698795181</v>
      </c>
      <c r="S254" s="4">
        <f>_xlfn.XLOOKUP(Table1_2[[#This Row],[Campaign_Name]],'Campaign Metadata'!A:A,'Campaign Metadata'!B:B,"not found",0)</f>
        <v>45717</v>
      </c>
      <c r="T254" s="4">
        <f>_xlfn.XLOOKUP(Table1_2[[#This Row],[Campaign_Name]],'Campaign Metadata'!A:A,'Campaign Metadata'!C:C,"not found",0)</f>
        <v>45747</v>
      </c>
      <c r="U254" t="str">
        <f>IF(AND(Table1_2[[#This Row],[Date]]&gt;=Table1_2[[#This Row],[Campaign Start Date2]],Table1_2[[#This Row],[Date]]&lt;=Table1_2[[#This Row],[Campaign End Date3]]),"During Campaign","Before Campaign")</f>
        <v>Before Campaign</v>
      </c>
      <c r="V254" s="30">
        <f>_xlfn.XLOOKUP(Table1_2[[#This Row],[Campaign_Name]],'Campaign Metadata'!A:A,'Campaign Metadata'!E:E,"Not Available",0)</f>
        <v>180000</v>
      </c>
      <c r="W254">
        <f>Table1_2[[#This Row],[Engagement]]/Table1_2[[#This Row],[Campaign Budget]]</f>
        <v>5.9500000000000004E-3</v>
      </c>
      <c r="X254">
        <f>_xlfn.XLOOKUP(Table1_2[[#This Row],[Platform]],'Engagement Summary'!B:B,'Engagement Summary'!H:H,"Not Available",0)</f>
        <v>415</v>
      </c>
      <c r="Y254">
        <f>WEEKNUM(Table1_2[[#This Row],[Date]])</f>
        <v>18</v>
      </c>
      <c r="Z254">
        <f>_xlfn.XLOOKUP(Table1_2[[#This Row],[Platform]],'Engagement Summary'!B:B,'Engagement Summary'!G:G,"Notavailable",0)</f>
        <v>26752</v>
      </c>
    </row>
    <row r="255" spans="1:26" x14ac:dyDescent="0.3">
      <c r="A255" t="s">
        <v>461</v>
      </c>
      <c r="B255" t="s">
        <v>43</v>
      </c>
      <c r="C255" s="4">
        <v>45724</v>
      </c>
      <c r="D255" t="s">
        <v>52</v>
      </c>
      <c r="E255" t="s">
        <v>59</v>
      </c>
      <c r="F255">
        <v>2382</v>
      </c>
      <c r="G255">
        <v>265</v>
      </c>
      <c r="H255">
        <v>134</v>
      </c>
      <c r="I255">
        <v>38112</v>
      </c>
      <c r="J255">
        <v>37437</v>
      </c>
      <c r="K255">
        <v>249</v>
      </c>
      <c r="L255" t="s">
        <v>62</v>
      </c>
      <c r="M255" t="s">
        <v>38</v>
      </c>
      <c r="N255" s="4">
        <v>45717</v>
      </c>
      <c r="O255" s="4">
        <v>45747</v>
      </c>
      <c r="P255" t="s">
        <v>637</v>
      </c>
      <c r="Q255">
        <f>Table1_2[[#This Row],[Likes]]+Table1_2[[#This Row],[Shares]]+Table1_2[[#This Row],[Comments]]</f>
        <v>2781</v>
      </c>
      <c r="R255" s="12">
        <f>(Table1_2[[#This Row],[Likes]]+Table1_2[[#This Row],[Shares]]+Table1_2[[#This Row],[Comments]])/Table1_2[[#This Row],[Impressions]]</f>
        <v>7.2969143576826198E-2</v>
      </c>
      <c r="S255" s="4">
        <f>_xlfn.XLOOKUP(Table1_2[[#This Row],[Campaign_Name]],'Campaign Metadata'!A:A,'Campaign Metadata'!B:B,"not found",0)</f>
        <v>45717</v>
      </c>
      <c r="T255" s="4">
        <f>_xlfn.XLOOKUP(Table1_2[[#This Row],[Campaign_Name]],'Campaign Metadata'!A:A,'Campaign Metadata'!C:C,"not found",0)</f>
        <v>45747</v>
      </c>
      <c r="U255" t="str">
        <f>IF(AND(Table1_2[[#This Row],[Date]]&gt;=Table1_2[[#This Row],[Campaign Start Date2]],Table1_2[[#This Row],[Date]]&lt;=Table1_2[[#This Row],[Campaign End Date3]]),"During Campaign","Before Campaign")</f>
        <v>During Campaign</v>
      </c>
      <c r="V255" s="30">
        <f>_xlfn.XLOOKUP(Table1_2[[#This Row],[Campaign_Name]],'Campaign Metadata'!A:A,'Campaign Metadata'!E:E,"Not Available",0)</f>
        <v>180000</v>
      </c>
      <c r="W255">
        <f>Table1_2[[#This Row],[Engagement]]/Table1_2[[#This Row],[Campaign Budget]]</f>
        <v>1.545E-2</v>
      </c>
      <c r="X255">
        <f>_xlfn.XLOOKUP(Table1_2[[#This Row],[Platform]],'Engagement Summary'!B:B,'Engagement Summary'!H:H,"Not Available",0)</f>
        <v>1002</v>
      </c>
      <c r="Y255">
        <f>WEEKNUM(Table1_2[[#This Row],[Date]])</f>
        <v>10</v>
      </c>
      <c r="Z255">
        <f>_xlfn.XLOOKUP(Table1_2[[#This Row],[Platform]],'Engagement Summary'!B:B,'Engagement Summary'!G:G,"Notavailable",0)</f>
        <v>9566</v>
      </c>
    </row>
    <row r="256" spans="1:26" x14ac:dyDescent="0.3">
      <c r="A256" t="s">
        <v>462</v>
      </c>
      <c r="B256" t="s">
        <v>43</v>
      </c>
      <c r="C256" s="4">
        <v>45444</v>
      </c>
      <c r="D256" t="s">
        <v>22</v>
      </c>
      <c r="E256" t="s">
        <v>56</v>
      </c>
      <c r="F256">
        <v>1272</v>
      </c>
      <c r="G256">
        <v>465</v>
      </c>
      <c r="H256">
        <v>99</v>
      </c>
      <c r="I256">
        <v>24168</v>
      </c>
      <c r="J256">
        <v>23719</v>
      </c>
      <c r="K256">
        <v>42</v>
      </c>
      <c r="L256" t="s">
        <v>30</v>
      </c>
      <c r="M256" t="s">
        <v>617</v>
      </c>
      <c r="N256" s="4">
        <v>0</v>
      </c>
      <c r="O256" s="4">
        <v>0</v>
      </c>
      <c r="P256" t="s">
        <v>637</v>
      </c>
      <c r="Q256">
        <f>Table1_2[[#This Row],[Likes]]+Table1_2[[#This Row],[Shares]]+Table1_2[[#This Row],[Comments]]</f>
        <v>1836</v>
      </c>
      <c r="R256" s="12">
        <f>(Table1_2[[#This Row],[Likes]]+Table1_2[[#This Row],[Shares]]+Table1_2[[#This Row],[Comments]])/Table1_2[[#This Row],[Impressions]]</f>
        <v>7.5968222442899705E-2</v>
      </c>
      <c r="S256" s="4" t="str">
        <f>_xlfn.XLOOKUP(Table1_2[[#This Row],[Campaign_Name]],'Campaign Metadata'!A:A,'Campaign Metadata'!B:B,"not found",0)</f>
        <v>not found</v>
      </c>
      <c r="T256" s="4" t="str">
        <f>_xlfn.XLOOKUP(Table1_2[[#This Row],[Campaign_Name]],'Campaign Metadata'!A:A,'Campaign Metadata'!C:C,"not found",0)</f>
        <v>not found</v>
      </c>
      <c r="U256" t="str">
        <f>IF(AND(Table1_2[[#This Row],[Date]]&gt;=Table1_2[[#This Row],[Campaign Start Date2]],Table1_2[[#This Row],[Date]]&lt;=Table1_2[[#This Row],[Campaign End Date3]]),"During Campaign","Before Campaign")</f>
        <v>Before Campaign</v>
      </c>
      <c r="V256" s="30" t="str">
        <f>_xlfn.XLOOKUP(Table1_2[[#This Row],[Campaign_Name]],'Campaign Metadata'!A:A,'Campaign Metadata'!E:E,"Not Available",0)</f>
        <v>Not Available</v>
      </c>
      <c r="W256" t="e">
        <f>Table1_2[[#This Row],[Engagement]]/Table1_2[[#This Row],[Campaign Budget]]</f>
        <v>#VALUE!</v>
      </c>
      <c r="X256">
        <f>_xlfn.XLOOKUP(Table1_2[[#This Row],[Platform]],'Engagement Summary'!B:B,'Engagement Summary'!H:H,"Not Available",0)</f>
        <v>1002</v>
      </c>
      <c r="Y256">
        <f>WEEKNUM(Table1_2[[#This Row],[Date]])</f>
        <v>22</v>
      </c>
      <c r="Z256">
        <f>_xlfn.XLOOKUP(Table1_2[[#This Row],[Platform]],'Engagement Summary'!B:B,'Engagement Summary'!G:G,"Notavailable",0)</f>
        <v>9566</v>
      </c>
    </row>
    <row r="257" spans="1:26" x14ac:dyDescent="0.3">
      <c r="A257" t="s">
        <v>464</v>
      </c>
      <c r="B257" t="s">
        <v>43</v>
      </c>
      <c r="C257" s="4">
        <v>45648</v>
      </c>
      <c r="D257" t="s">
        <v>52</v>
      </c>
      <c r="E257" t="s">
        <v>59</v>
      </c>
      <c r="F257">
        <v>3196</v>
      </c>
      <c r="G257">
        <v>941</v>
      </c>
      <c r="H257">
        <v>376</v>
      </c>
      <c r="I257">
        <v>35156</v>
      </c>
      <c r="J257">
        <v>34444</v>
      </c>
      <c r="K257">
        <v>241</v>
      </c>
      <c r="L257" t="s">
        <v>30</v>
      </c>
      <c r="M257" t="s">
        <v>31</v>
      </c>
      <c r="N257" s="4">
        <v>45651</v>
      </c>
      <c r="O257" s="4">
        <v>45667</v>
      </c>
      <c r="P257" t="s">
        <v>637</v>
      </c>
      <c r="Q257">
        <f>Table1_2[[#This Row],[Likes]]+Table1_2[[#This Row],[Shares]]+Table1_2[[#This Row],[Comments]]</f>
        <v>4513</v>
      </c>
      <c r="R257" s="12">
        <f>(Table1_2[[#This Row],[Likes]]+Table1_2[[#This Row],[Shares]]+Table1_2[[#This Row],[Comments]])/Table1_2[[#This Row],[Impressions]]</f>
        <v>0.1283706906360223</v>
      </c>
      <c r="S257" s="4">
        <f>_xlfn.XLOOKUP(Table1_2[[#This Row],[Campaign_Name]],'Campaign Metadata'!A:A,'Campaign Metadata'!B:B,"not found",0)</f>
        <v>45651</v>
      </c>
      <c r="T257" s="4">
        <f>_xlfn.XLOOKUP(Table1_2[[#This Row],[Campaign_Name]],'Campaign Metadata'!A:A,'Campaign Metadata'!C:C,"not found",0)</f>
        <v>45667</v>
      </c>
      <c r="U257" t="str">
        <f>IF(AND(Table1_2[[#This Row],[Date]]&gt;=Table1_2[[#This Row],[Campaign Start Date2]],Table1_2[[#This Row],[Date]]&lt;=Table1_2[[#This Row],[Campaign End Date3]]),"During Campaign","Before Campaign")</f>
        <v>Before Campaign</v>
      </c>
      <c r="V257" s="30">
        <f>_xlfn.XLOOKUP(Table1_2[[#This Row],[Campaign_Name]],'Campaign Metadata'!A:A,'Campaign Metadata'!E:E,"Not Available",0)</f>
        <v>250000</v>
      </c>
      <c r="W257">
        <f>Table1_2[[#This Row],[Engagement]]/Table1_2[[#This Row],[Campaign Budget]]</f>
        <v>1.8051999999999999E-2</v>
      </c>
      <c r="X257">
        <f>_xlfn.XLOOKUP(Table1_2[[#This Row],[Platform]],'Engagement Summary'!B:B,'Engagement Summary'!H:H,"Not Available",0)</f>
        <v>1002</v>
      </c>
      <c r="Y257">
        <f>WEEKNUM(Table1_2[[#This Row],[Date]])</f>
        <v>52</v>
      </c>
      <c r="Z257">
        <f>_xlfn.XLOOKUP(Table1_2[[#This Row],[Platform]],'Engagement Summary'!B:B,'Engagement Summary'!G:G,"Notavailable",0)</f>
        <v>9566</v>
      </c>
    </row>
    <row r="258" spans="1:26" x14ac:dyDescent="0.3">
      <c r="A258" t="s">
        <v>465</v>
      </c>
      <c r="B258" t="s">
        <v>43</v>
      </c>
      <c r="C258" s="4">
        <v>45523</v>
      </c>
      <c r="D258" t="s">
        <v>22</v>
      </c>
      <c r="E258" t="s">
        <v>56</v>
      </c>
      <c r="F258">
        <v>1257</v>
      </c>
      <c r="G258">
        <v>19</v>
      </c>
      <c r="H258">
        <v>351</v>
      </c>
      <c r="I258">
        <v>12570</v>
      </c>
      <c r="J258">
        <v>11660</v>
      </c>
      <c r="K258">
        <v>194</v>
      </c>
      <c r="L258" t="s">
        <v>62</v>
      </c>
      <c r="M258" t="s">
        <v>25</v>
      </c>
      <c r="N258" s="4">
        <v>45566</v>
      </c>
      <c r="O258" s="4">
        <v>45596</v>
      </c>
      <c r="P258" t="s">
        <v>637</v>
      </c>
      <c r="Q258">
        <f>Table1_2[[#This Row],[Likes]]+Table1_2[[#This Row],[Shares]]+Table1_2[[#This Row],[Comments]]</f>
        <v>1627</v>
      </c>
      <c r="R258" s="12">
        <f>(Table1_2[[#This Row],[Likes]]+Table1_2[[#This Row],[Shares]]+Table1_2[[#This Row],[Comments]])/Table1_2[[#This Row],[Impressions]]</f>
        <v>0.12943516308671441</v>
      </c>
      <c r="S258" s="4">
        <f>_xlfn.XLOOKUP(Table1_2[[#This Row],[Campaign_Name]],'Campaign Metadata'!A:A,'Campaign Metadata'!B:B,"not found",0)</f>
        <v>45566</v>
      </c>
      <c r="T258" s="4">
        <f>_xlfn.XLOOKUP(Table1_2[[#This Row],[Campaign_Name]],'Campaign Metadata'!A:A,'Campaign Metadata'!C:C,"not found",0)</f>
        <v>45596</v>
      </c>
      <c r="U258" t="str">
        <f>IF(AND(Table1_2[[#This Row],[Date]]&gt;=Table1_2[[#This Row],[Campaign Start Date2]],Table1_2[[#This Row],[Date]]&lt;=Table1_2[[#This Row],[Campaign End Date3]]),"During Campaign","Before Campaign")</f>
        <v>Before Campaign</v>
      </c>
      <c r="V258" s="30">
        <f>_xlfn.XLOOKUP(Table1_2[[#This Row],[Campaign_Name]],'Campaign Metadata'!A:A,'Campaign Metadata'!E:E,"Not Available",0)</f>
        <v>200000</v>
      </c>
      <c r="W258">
        <f>Table1_2[[#This Row],[Engagement]]/Table1_2[[#This Row],[Campaign Budget]]</f>
        <v>8.1349999999999999E-3</v>
      </c>
      <c r="X258">
        <f>_xlfn.XLOOKUP(Table1_2[[#This Row],[Platform]],'Engagement Summary'!B:B,'Engagement Summary'!H:H,"Not Available",0)</f>
        <v>1002</v>
      </c>
      <c r="Y258">
        <f>WEEKNUM(Table1_2[[#This Row],[Date]])</f>
        <v>34</v>
      </c>
      <c r="Z258">
        <f>_xlfn.XLOOKUP(Table1_2[[#This Row],[Platform]],'Engagement Summary'!B:B,'Engagement Summary'!G:G,"Notavailable",0)</f>
        <v>9566</v>
      </c>
    </row>
    <row r="259" spans="1:26" x14ac:dyDescent="0.3">
      <c r="A259" t="s">
        <v>465</v>
      </c>
      <c r="B259" t="s">
        <v>43</v>
      </c>
      <c r="C259" s="4">
        <v>45523</v>
      </c>
      <c r="D259" t="s">
        <v>22</v>
      </c>
      <c r="E259" t="s">
        <v>56</v>
      </c>
      <c r="F259">
        <v>1257</v>
      </c>
      <c r="G259">
        <v>19</v>
      </c>
      <c r="H259">
        <v>351</v>
      </c>
      <c r="I259">
        <v>12570</v>
      </c>
      <c r="J259">
        <v>11660</v>
      </c>
      <c r="K259">
        <v>194</v>
      </c>
      <c r="L259" t="s">
        <v>615</v>
      </c>
      <c r="M259" t="s">
        <v>25</v>
      </c>
      <c r="N259" s="4">
        <v>45566</v>
      </c>
      <c r="O259" s="4">
        <v>45596</v>
      </c>
      <c r="P259" t="s">
        <v>637</v>
      </c>
      <c r="Q259">
        <f>Table1_2[[#This Row],[Likes]]+Table1_2[[#This Row],[Shares]]+Table1_2[[#This Row],[Comments]]</f>
        <v>1627</v>
      </c>
      <c r="R259" s="12">
        <f>(Table1_2[[#This Row],[Likes]]+Table1_2[[#This Row],[Shares]]+Table1_2[[#This Row],[Comments]])/Table1_2[[#This Row],[Impressions]]</f>
        <v>0.12943516308671441</v>
      </c>
      <c r="S259" s="4">
        <f>_xlfn.XLOOKUP(Table1_2[[#This Row],[Campaign_Name]],'Campaign Metadata'!A:A,'Campaign Metadata'!B:B,"not found",0)</f>
        <v>45566</v>
      </c>
      <c r="T259" s="4">
        <f>_xlfn.XLOOKUP(Table1_2[[#This Row],[Campaign_Name]],'Campaign Metadata'!A:A,'Campaign Metadata'!C:C,"not found",0)</f>
        <v>45596</v>
      </c>
      <c r="U259" t="str">
        <f>IF(AND(Table1_2[[#This Row],[Date]]&gt;=Table1_2[[#This Row],[Campaign Start Date2]],Table1_2[[#This Row],[Date]]&lt;=Table1_2[[#This Row],[Campaign End Date3]]),"During Campaign","Before Campaign")</f>
        <v>Before Campaign</v>
      </c>
      <c r="V259" s="30">
        <f>_xlfn.XLOOKUP(Table1_2[[#This Row],[Campaign_Name]],'Campaign Metadata'!A:A,'Campaign Metadata'!E:E,"Not Available",0)</f>
        <v>200000</v>
      </c>
      <c r="W259">
        <f>Table1_2[[#This Row],[Engagement]]/Table1_2[[#This Row],[Campaign Budget]]</f>
        <v>8.1349999999999999E-3</v>
      </c>
      <c r="X259">
        <f>_xlfn.XLOOKUP(Table1_2[[#This Row],[Platform]],'Engagement Summary'!B:B,'Engagement Summary'!H:H,"Not Available",0)</f>
        <v>1002</v>
      </c>
      <c r="Y259">
        <f>WEEKNUM(Table1_2[[#This Row],[Date]])</f>
        <v>34</v>
      </c>
      <c r="Z259">
        <f>_xlfn.XLOOKUP(Table1_2[[#This Row],[Platform]],'Engagement Summary'!B:B,'Engagement Summary'!G:G,"Notavailable",0)</f>
        <v>9566</v>
      </c>
    </row>
    <row r="260" spans="1:26" x14ac:dyDescent="0.3">
      <c r="A260" t="s">
        <v>465</v>
      </c>
      <c r="B260" t="s">
        <v>43</v>
      </c>
      <c r="C260" s="4">
        <v>45523</v>
      </c>
      <c r="D260" t="s">
        <v>22</v>
      </c>
      <c r="E260" t="s">
        <v>56</v>
      </c>
      <c r="F260">
        <v>1257</v>
      </c>
      <c r="G260">
        <v>19</v>
      </c>
      <c r="H260">
        <v>351</v>
      </c>
      <c r="I260">
        <v>12570</v>
      </c>
      <c r="J260">
        <v>11660</v>
      </c>
      <c r="K260">
        <v>194</v>
      </c>
      <c r="L260" t="s">
        <v>37</v>
      </c>
      <c r="M260" t="s">
        <v>25</v>
      </c>
      <c r="N260" s="4">
        <v>45566</v>
      </c>
      <c r="O260" s="4">
        <v>45596</v>
      </c>
      <c r="P260" t="s">
        <v>637</v>
      </c>
      <c r="Q260">
        <f>Table1_2[[#This Row],[Likes]]+Table1_2[[#This Row],[Shares]]+Table1_2[[#This Row],[Comments]]</f>
        <v>1627</v>
      </c>
      <c r="R260" s="12">
        <f>(Table1_2[[#This Row],[Likes]]+Table1_2[[#This Row],[Shares]]+Table1_2[[#This Row],[Comments]])/Table1_2[[#This Row],[Impressions]]</f>
        <v>0.12943516308671441</v>
      </c>
      <c r="S260" s="4">
        <f>_xlfn.XLOOKUP(Table1_2[[#This Row],[Campaign_Name]],'Campaign Metadata'!A:A,'Campaign Metadata'!B:B,"not found",0)</f>
        <v>45566</v>
      </c>
      <c r="T260" s="4">
        <f>_xlfn.XLOOKUP(Table1_2[[#This Row],[Campaign_Name]],'Campaign Metadata'!A:A,'Campaign Metadata'!C:C,"not found",0)</f>
        <v>45596</v>
      </c>
      <c r="U260" t="str">
        <f>IF(AND(Table1_2[[#This Row],[Date]]&gt;=Table1_2[[#This Row],[Campaign Start Date2]],Table1_2[[#This Row],[Date]]&lt;=Table1_2[[#This Row],[Campaign End Date3]]),"During Campaign","Before Campaign")</f>
        <v>Before Campaign</v>
      </c>
      <c r="V260" s="30">
        <f>_xlfn.XLOOKUP(Table1_2[[#This Row],[Campaign_Name]],'Campaign Metadata'!A:A,'Campaign Metadata'!E:E,"Not Available",0)</f>
        <v>200000</v>
      </c>
      <c r="W260">
        <f>Table1_2[[#This Row],[Engagement]]/Table1_2[[#This Row],[Campaign Budget]]</f>
        <v>8.1349999999999999E-3</v>
      </c>
      <c r="X260">
        <f>_xlfn.XLOOKUP(Table1_2[[#This Row],[Platform]],'Engagement Summary'!B:B,'Engagement Summary'!H:H,"Not Available",0)</f>
        <v>1002</v>
      </c>
      <c r="Y260">
        <f>WEEKNUM(Table1_2[[#This Row],[Date]])</f>
        <v>34</v>
      </c>
      <c r="Z260">
        <f>_xlfn.XLOOKUP(Table1_2[[#This Row],[Platform]],'Engagement Summary'!B:B,'Engagement Summary'!G:G,"Notavailable",0)</f>
        <v>9566</v>
      </c>
    </row>
    <row r="261" spans="1:26" x14ac:dyDescent="0.3">
      <c r="A261" t="s">
        <v>467</v>
      </c>
      <c r="B261" t="s">
        <v>33</v>
      </c>
      <c r="C261" s="4">
        <v>45587</v>
      </c>
      <c r="D261" t="s">
        <v>35</v>
      </c>
      <c r="E261" t="s">
        <v>36</v>
      </c>
      <c r="F261">
        <v>3770</v>
      </c>
      <c r="G261">
        <v>917</v>
      </c>
      <c r="H261">
        <v>129</v>
      </c>
      <c r="I261">
        <v>71630</v>
      </c>
      <c r="J261">
        <v>71322</v>
      </c>
      <c r="K261">
        <v>76</v>
      </c>
      <c r="L261" t="s">
        <v>62</v>
      </c>
      <c r="M261" t="s">
        <v>19</v>
      </c>
      <c r="N261" s="4">
        <v>45458</v>
      </c>
      <c r="O261" s="4">
        <v>45488</v>
      </c>
      <c r="P261" t="s">
        <v>637</v>
      </c>
      <c r="Q261">
        <f>Table1_2[[#This Row],[Likes]]+Table1_2[[#This Row],[Shares]]+Table1_2[[#This Row],[Comments]]</f>
        <v>4816</v>
      </c>
      <c r="R261" s="12">
        <f>(Table1_2[[#This Row],[Likes]]+Table1_2[[#This Row],[Shares]]+Table1_2[[#This Row],[Comments]])/Table1_2[[#This Row],[Impressions]]</f>
        <v>6.7234398994834563E-2</v>
      </c>
      <c r="S261" s="4">
        <f>_xlfn.XLOOKUP(Table1_2[[#This Row],[Campaign_Name]],'Campaign Metadata'!A:A,'Campaign Metadata'!B:B,"not found",0)</f>
        <v>45458</v>
      </c>
      <c r="T261" s="4">
        <f>_xlfn.XLOOKUP(Table1_2[[#This Row],[Campaign_Name]],'Campaign Metadata'!A:A,'Campaign Metadata'!C:C,"not found",0)</f>
        <v>45488</v>
      </c>
      <c r="U261" t="str">
        <f>IF(AND(Table1_2[[#This Row],[Date]]&gt;=Table1_2[[#This Row],[Campaign Start Date2]],Table1_2[[#This Row],[Date]]&lt;=Table1_2[[#This Row],[Campaign End Date3]]),"During Campaign","Before Campaign")</f>
        <v>Before Campaign</v>
      </c>
      <c r="V261" s="30">
        <f>_xlfn.XLOOKUP(Table1_2[[#This Row],[Campaign_Name]],'Campaign Metadata'!A:A,'Campaign Metadata'!E:E,"Not Available",0)</f>
        <v>150000</v>
      </c>
      <c r="W261">
        <f>Table1_2[[#This Row],[Engagement]]/Table1_2[[#This Row],[Campaign Budget]]</f>
        <v>3.2106666666666665E-2</v>
      </c>
      <c r="X261">
        <f>_xlfn.XLOOKUP(Table1_2[[#This Row],[Platform]],'Engagement Summary'!B:B,'Engagement Summary'!H:H,"Not Available",0)</f>
        <v>1047</v>
      </c>
      <c r="Y261">
        <f>WEEKNUM(Table1_2[[#This Row],[Date]])</f>
        <v>43</v>
      </c>
      <c r="Z261">
        <f>_xlfn.XLOOKUP(Table1_2[[#This Row],[Platform]],'Engagement Summary'!B:B,'Engagement Summary'!G:G,"Notavailable",0)</f>
        <v>5904</v>
      </c>
    </row>
    <row r="262" spans="1:26" x14ac:dyDescent="0.3">
      <c r="A262" t="s">
        <v>468</v>
      </c>
      <c r="B262" t="s">
        <v>14</v>
      </c>
      <c r="C262" s="4">
        <v>45489</v>
      </c>
      <c r="D262" t="s">
        <v>22</v>
      </c>
      <c r="E262" t="s">
        <v>23</v>
      </c>
      <c r="F262">
        <v>4725</v>
      </c>
      <c r="G262">
        <v>400</v>
      </c>
      <c r="H262">
        <v>362</v>
      </c>
      <c r="I262">
        <v>75600</v>
      </c>
      <c r="J262">
        <v>74927</v>
      </c>
      <c r="K262">
        <v>43</v>
      </c>
      <c r="L262" t="s">
        <v>62</v>
      </c>
      <c r="M262" t="s">
        <v>38</v>
      </c>
      <c r="N262" s="4">
        <v>45717</v>
      </c>
      <c r="O262" s="4">
        <v>45747</v>
      </c>
      <c r="P262" t="s">
        <v>637</v>
      </c>
      <c r="Q262">
        <f>Table1_2[[#This Row],[Likes]]+Table1_2[[#This Row],[Shares]]+Table1_2[[#This Row],[Comments]]</f>
        <v>5487</v>
      </c>
      <c r="R262" s="12">
        <f>(Table1_2[[#This Row],[Likes]]+Table1_2[[#This Row],[Shares]]+Table1_2[[#This Row],[Comments]])/Table1_2[[#This Row],[Impressions]]</f>
        <v>7.2579365079365077E-2</v>
      </c>
      <c r="S262" s="4">
        <f>_xlfn.XLOOKUP(Table1_2[[#This Row],[Campaign_Name]],'Campaign Metadata'!A:A,'Campaign Metadata'!B:B,"not found",0)</f>
        <v>45717</v>
      </c>
      <c r="T262" s="4">
        <f>_xlfn.XLOOKUP(Table1_2[[#This Row],[Campaign_Name]],'Campaign Metadata'!A:A,'Campaign Metadata'!C:C,"not found",0)</f>
        <v>45747</v>
      </c>
      <c r="U262" t="str">
        <f>IF(AND(Table1_2[[#This Row],[Date]]&gt;=Table1_2[[#This Row],[Campaign Start Date2]],Table1_2[[#This Row],[Date]]&lt;=Table1_2[[#This Row],[Campaign End Date3]]),"During Campaign","Before Campaign")</f>
        <v>Before Campaign</v>
      </c>
      <c r="V262" s="30">
        <f>_xlfn.XLOOKUP(Table1_2[[#This Row],[Campaign_Name]],'Campaign Metadata'!A:A,'Campaign Metadata'!E:E,"Not Available",0)</f>
        <v>180000</v>
      </c>
      <c r="W262">
        <f>Table1_2[[#This Row],[Engagement]]/Table1_2[[#This Row],[Campaign Budget]]</f>
        <v>3.0483333333333335E-2</v>
      </c>
      <c r="X262">
        <f>_xlfn.XLOOKUP(Table1_2[[#This Row],[Platform]],'Engagement Summary'!B:B,'Engagement Summary'!H:H,"Not Available",0)</f>
        <v>415</v>
      </c>
      <c r="Y262">
        <f>WEEKNUM(Table1_2[[#This Row],[Date]])</f>
        <v>29</v>
      </c>
      <c r="Z262">
        <f>_xlfn.XLOOKUP(Table1_2[[#This Row],[Platform]],'Engagement Summary'!B:B,'Engagement Summary'!G:G,"Notavailable",0)</f>
        <v>26752</v>
      </c>
    </row>
    <row r="263" spans="1:26" x14ac:dyDescent="0.3">
      <c r="A263" t="s">
        <v>470</v>
      </c>
      <c r="B263" t="s">
        <v>27</v>
      </c>
      <c r="C263" s="4">
        <v>45712</v>
      </c>
      <c r="D263" t="s">
        <v>22</v>
      </c>
      <c r="E263" t="s">
        <v>104</v>
      </c>
      <c r="F263">
        <v>4188</v>
      </c>
      <c r="G263">
        <v>942</v>
      </c>
      <c r="H263">
        <v>118</v>
      </c>
      <c r="I263">
        <v>20940</v>
      </c>
      <c r="J263">
        <v>20471</v>
      </c>
      <c r="K263">
        <v>102</v>
      </c>
      <c r="L263" t="s">
        <v>62</v>
      </c>
      <c r="M263" t="s">
        <v>617</v>
      </c>
      <c r="N263" s="4">
        <v>0</v>
      </c>
      <c r="O263" s="4">
        <v>0</v>
      </c>
      <c r="P263" t="s">
        <v>637</v>
      </c>
      <c r="Q263">
        <f>Table1_2[[#This Row],[Likes]]+Table1_2[[#This Row],[Shares]]+Table1_2[[#This Row],[Comments]]</f>
        <v>5248</v>
      </c>
      <c r="R263" s="12">
        <f>(Table1_2[[#This Row],[Likes]]+Table1_2[[#This Row],[Shares]]+Table1_2[[#This Row],[Comments]])/Table1_2[[#This Row],[Impressions]]</f>
        <v>0.25062082139446035</v>
      </c>
      <c r="S263" s="4" t="str">
        <f>_xlfn.XLOOKUP(Table1_2[[#This Row],[Campaign_Name]],'Campaign Metadata'!A:A,'Campaign Metadata'!B:B,"not found",0)</f>
        <v>not found</v>
      </c>
      <c r="T263" s="4" t="str">
        <f>_xlfn.XLOOKUP(Table1_2[[#This Row],[Campaign_Name]],'Campaign Metadata'!A:A,'Campaign Metadata'!C:C,"not found",0)</f>
        <v>not found</v>
      </c>
      <c r="U263" t="str">
        <f>IF(AND(Table1_2[[#This Row],[Date]]&gt;=Table1_2[[#This Row],[Campaign Start Date2]],Table1_2[[#This Row],[Date]]&lt;=Table1_2[[#This Row],[Campaign End Date3]]),"During Campaign","Before Campaign")</f>
        <v>Before Campaign</v>
      </c>
      <c r="V263" s="30" t="str">
        <f>_xlfn.XLOOKUP(Table1_2[[#This Row],[Campaign_Name]],'Campaign Metadata'!A:A,'Campaign Metadata'!E:E,"Not Available",0)</f>
        <v>Not Available</v>
      </c>
      <c r="W263" t="e">
        <f>Table1_2[[#This Row],[Engagement]]/Table1_2[[#This Row],[Campaign Budget]]</f>
        <v>#VALUE!</v>
      </c>
      <c r="X263">
        <f>_xlfn.XLOOKUP(Table1_2[[#This Row],[Platform]],'Engagement Summary'!B:B,'Engagement Summary'!H:H,"Not Available",0)</f>
        <v>1090</v>
      </c>
      <c r="Y263">
        <f>WEEKNUM(Table1_2[[#This Row],[Date]])</f>
        <v>9</v>
      </c>
      <c r="Z263">
        <f>_xlfn.XLOOKUP(Table1_2[[#This Row],[Platform]],'Engagement Summary'!B:B,'Engagement Summary'!G:G,"Notavailable",0)</f>
        <v>30671</v>
      </c>
    </row>
    <row r="264" spans="1:26" x14ac:dyDescent="0.3">
      <c r="A264" t="s">
        <v>471</v>
      </c>
      <c r="B264" t="s">
        <v>14</v>
      </c>
      <c r="C264" s="4">
        <v>45530</v>
      </c>
      <c r="D264" t="s">
        <v>45</v>
      </c>
      <c r="E264" t="s">
        <v>49</v>
      </c>
      <c r="F264">
        <v>929</v>
      </c>
      <c r="G264">
        <v>192</v>
      </c>
      <c r="H264">
        <v>322</v>
      </c>
      <c r="I264">
        <v>16722</v>
      </c>
      <c r="J264">
        <v>15996</v>
      </c>
      <c r="K264">
        <v>145</v>
      </c>
      <c r="L264" t="s">
        <v>37</v>
      </c>
      <c r="M264" t="s">
        <v>31</v>
      </c>
      <c r="N264" s="4">
        <v>45651</v>
      </c>
      <c r="O264" s="4">
        <v>45667</v>
      </c>
      <c r="P264" t="s">
        <v>637</v>
      </c>
      <c r="Q264">
        <f>Table1_2[[#This Row],[Likes]]+Table1_2[[#This Row],[Shares]]+Table1_2[[#This Row],[Comments]]</f>
        <v>1443</v>
      </c>
      <c r="R264" s="12">
        <f>(Table1_2[[#This Row],[Likes]]+Table1_2[[#This Row],[Shares]]+Table1_2[[#This Row],[Comments]])/Table1_2[[#This Row],[Impressions]]</f>
        <v>8.6293505561535699E-2</v>
      </c>
      <c r="S264" s="4">
        <f>_xlfn.XLOOKUP(Table1_2[[#This Row],[Campaign_Name]],'Campaign Metadata'!A:A,'Campaign Metadata'!B:B,"not found",0)</f>
        <v>45651</v>
      </c>
      <c r="T264" s="4">
        <f>_xlfn.XLOOKUP(Table1_2[[#This Row],[Campaign_Name]],'Campaign Metadata'!A:A,'Campaign Metadata'!C:C,"not found",0)</f>
        <v>45667</v>
      </c>
      <c r="U264" t="str">
        <f>IF(AND(Table1_2[[#This Row],[Date]]&gt;=Table1_2[[#This Row],[Campaign Start Date2]],Table1_2[[#This Row],[Date]]&lt;=Table1_2[[#This Row],[Campaign End Date3]]),"During Campaign","Before Campaign")</f>
        <v>Before Campaign</v>
      </c>
      <c r="V264" s="30">
        <f>_xlfn.XLOOKUP(Table1_2[[#This Row],[Campaign_Name]],'Campaign Metadata'!A:A,'Campaign Metadata'!E:E,"Not Available",0)</f>
        <v>250000</v>
      </c>
      <c r="W264">
        <f>Table1_2[[#This Row],[Engagement]]/Table1_2[[#This Row],[Campaign Budget]]</f>
        <v>5.7720000000000002E-3</v>
      </c>
      <c r="X264">
        <f>_xlfn.XLOOKUP(Table1_2[[#This Row],[Platform]],'Engagement Summary'!B:B,'Engagement Summary'!H:H,"Not Available",0)</f>
        <v>415</v>
      </c>
      <c r="Y264">
        <f>WEEKNUM(Table1_2[[#This Row],[Date]])</f>
        <v>35</v>
      </c>
      <c r="Z264">
        <f>_xlfn.XLOOKUP(Table1_2[[#This Row],[Platform]],'Engagement Summary'!B:B,'Engagement Summary'!G:G,"Notavailable",0)</f>
        <v>26752</v>
      </c>
    </row>
    <row r="265" spans="1:26" x14ac:dyDescent="0.3">
      <c r="A265" t="s">
        <v>471</v>
      </c>
      <c r="B265" t="s">
        <v>14</v>
      </c>
      <c r="C265" s="4">
        <v>45530</v>
      </c>
      <c r="D265" t="s">
        <v>45</v>
      </c>
      <c r="E265" t="s">
        <v>49</v>
      </c>
      <c r="F265">
        <v>929</v>
      </c>
      <c r="G265">
        <v>192</v>
      </c>
      <c r="H265">
        <v>322</v>
      </c>
      <c r="I265">
        <v>16722</v>
      </c>
      <c r="J265">
        <v>15996</v>
      </c>
      <c r="K265">
        <v>145</v>
      </c>
      <c r="L265" t="s">
        <v>30</v>
      </c>
      <c r="M265" t="s">
        <v>31</v>
      </c>
      <c r="N265" s="4">
        <v>45651</v>
      </c>
      <c r="O265" s="4">
        <v>45667</v>
      </c>
      <c r="P265" t="s">
        <v>637</v>
      </c>
      <c r="Q265">
        <f>Table1_2[[#This Row],[Likes]]+Table1_2[[#This Row],[Shares]]+Table1_2[[#This Row],[Comments]]</f>
        <v>1443</v>
      </c>
      <c r="R265" s="12">
        <f>(Table1_2[[#This Row],[Likes]]+Table1_2[[#This Row],[Shares]]+Table1_2[[#This Row],[Comments]])/Table1_2[[#This Row],[Impressions]]</f>
        <v>8.6293505561535699E-2</v>
      </c>
      <c r="S265" s="4">
        <f>_xlfn.XLOOKUP(Table1_2[[#This Row],[Campaign_Name]],'Campaign Metadata'!A:A,'Campaign Metadata'!B:B,"not found",0)</f>
        <v>45651</v>
      </c>
      <c r="T265" s="4">
        <f>_xlfn.XLOOKUP(Table1_2[[#This Row],[Campaign_Name]],'Campaign Metadata'!A:A,'Campaign Metadata'!C:C,"not found",0)</f>
        <v>45667</v>
      </c>
      <c r="U265" t="str">
        <f>IF(AND(Table1_2[[#This Row],[Date]]&gt;=Table1_2[[#This Row],[Campaign Start Date2]],Table1_2[[#This Row],[Date]]&lt;=Table1_2[[#This Row],[Campaign End Date3]]),"During Campaign","Before Campaign")</f>
        <v>Before Campaign</v>
      </c>
      <c r="V265" s="30">
        <f>_xlfn.XLOOKUP(Table1_2[[#This Row],[Campaign_Name]],'Campaign Metadata'!A:A,'Campaign Metadata'!E:E,"Not Available",0)</f>
        <v>250000</v>
      </c>
      <c r="W265">
        <f>Table1_2[[#This Row],[Engagement]]/Table1_2[[#This Row],[Campaign Budget]]</f>
        <v>5.7720000000000002E-3</v>
      </c>
      <c r="X265">
        <f>_xlfn.XLOOKUP(Table1_2[[#This Row],[Platform]],'Engagement Summary'!B:B,'Engagement Summary'!H:H,"Not Available",0)</f>
        <v>415</v>
      </c>
      <c r="Y265">
        <f>WEEKNUM(Table1_2[[#This Row],[Date]])</f>
        <v>35</v>
      </c>
      <c r="Z265">
        <f>_xlfn.XLOOKUP(Table1_2[[#This Row],[Platform]],'Engagement Summary'!B:B,'Engagement Summary'!G:G,"Notavailable",0)</f>
        <v>26752</v>
      </c>
    </row>
    <row r="266" spans="1:26" x14ac:dyDescent="0.3">
      <c r="A266" t="s">
        <v>471</v>
      </c>
      <c r="B266" t="s">
        <v>14</v>
      </c>
      <c r="C266" s="4">
        <v>45530</v>
      </c>
      <c r="D266" t="s">
        <v>45</v>
      </c>
      <c r="E266" t="s">
        <v>49</v>
      </c>
      <c r="F266">
        <v>929</v>
      </c>
      <c r="G266">
        <v>192</v>
      </c>
      <c r="H266">
        <v>322</v>
      </c>
      <c r="I266">
        <v>16722</v>
      </c>
      <c r="J266">
        <v>15996</v>
      </c>
      <c r="K266">
        <v>145</v>
      </c>
      <c r="L266" t="s">
        <v>615</v>
      </c>
      <c r="M266" t="s">
        <v>31</v>
      </c>
      <c r="N266" s="4">
        <v>45651</v>
      </c>
      <c r="O266" s="4">
        <v>45667</v>
      </c>
      <c r="P266" t="s">
        <v>637</v>
      </c>
      <c r="Q266">
        <f>Table1_2[[#This Row],[Likes]]+Table1_2[[#This Row],[Shares]]+Table1_2[[#This Row],[Comments]]</f>
        <v>1443</v>
      </c>
      <c r="R266" s="12">
        <f>(Table1_2[[#This Row],[Likes]]+Table1_2[[#This Row],[Shares]]+Table1_2[[#This Row],[Comments]])/Table1_2[[#This Row],[Impressions]]</f>
        <v>8.6293505561535699E-2</v>
      </c>
      <c r="S266" s="4">
        <f>_xlfn.XLOOKUP(Table1_2[[#This Row],[Campaign_Name]],'Campaign Metadata'!A:A,'Campaign Metadata'!B:B,"not found",0)</f>
        <v>45651</v>
      </c>
      <c r="T266" s="4">
        <f>_xlfn.XLOOKUP(Table1_2[[#This Row],[Campaign_Name]],'Campaign Metadata'!A:A,'Campaign Metadata'!C:C,"not found",0)</f>
        <v>45667</v>
      </c>
      <c r="U266" t="str">
        <f>IF(AND(Table1_2[[#This Row],[Date]]&gt;=Table1_2[[#This Row],[Campaign Start Date2]],Table1_2[[#This Row],[Date]]&lt;=Table1_2[[#This Row],[Campaign End Date3]]),"During Campaign","Before Campaign")</f>
        <v>Before Campaign</v>
      </c>
      <c r="V266" s="30">
        <f>_xlfn.XLOOKUP(Table1_2[[#This Row],[Campaign_Name]],'Campaign Metadata'!A:A,'Campaign Metadata'!E:E,"Not Available",0)</f>
        <v>250000</v>
      </c>
      <c r="W266">
        <f>Table1_2[[#This Row],[Engagement]]/Table1_2[[#This Row],[Campaign Budget]]</f>
        <v>5.7720000000000002E-3</v>
      </c>
      <c r="X266">
        <f>_xlfn.XLOOKUP(Table1_2[[#This Row],[Platform]],'Engagement Summary'!B:B,'Engagement Summary'!H:H,"Not Available",0)</f>
        <v>415</v>
      </c>
      <c r="Y266">
        <f>WEEKNUM(Table1_2[[#This Row],[Date]])</f>
        <v>35</v>
      </c>
      <c r="Z266">
        <f>_xlfn.XLOOKUP(Table1_2[[#This Row],[Platform]],'Engagement Summary'!B:B,'Engagement Summary'!G:G,"Notavailable",0)</f>
        <v>26752</v>
      </c>
    </row>
    <row r="267" spans="1:26" x14ac:dyDescent="0.3">
      <c r="A267" t="s">
        <v>472</v>
      </c>
      <c r="B267" t="s">
        <v>43</v>
      </c>
      <c r="C267" s="4">
        <v>45675</v>
      </c>
      <c r="D267" t="s">
        <v>35</v>
      </c>
      <c r="E267" t="s">
        <v>71</v>
      </c>
      <c r="F267">
        <v>4321</v>
      </c>
      <c r="G267">
        <v>874</v>
      </c>
      <c r="H267">
        <v>172</v>
      </c>
      <c r="I267">
        <v>30247</v>
      </c>
      <c r="J267">
        <v>29254</v>
      </c>
      <c r="K267">
        <v>122</v>
      </c>
      <c r="L267" t="s">
        <v>30</v>
      </c>
      <c r="M267" t="s">
        <v>38</v>
      </c>
      <c r="N267" s="4">
        <v>45717</v>
      </c>
      <c r="O267" s="4">
        <v>45747</v>
      </c>
      <c r="P267" t="s">
        <v>637</v>
      </c>
      <c r="Q267">
        <f>Table1_2[[#This Row],[Likes]]+Table1_2[[#This Row],[Shares]]+Table1_2[[#This Row],[Comments]]</f>
        <v>5367</v>
      </c>
      <c r="R267" s="12">
        <f>(Table1_2[[#This Row],[Likes]]+Table1_2[[#This Row],[Shares]]+Table1_2[[#This Row],[Comments]])/Table1_2[[#This Row],[Impressions]]</f>
        <v>0.17743908486792079</v>
      </c>
      <c r="S267" s="4">
        <f>_xlfn.XLOOKUP(Table1_2[[#This Row],[Campaign_Name]],'Campaign Metadata'!A:A,'Campaign Metadata'!B:B,"not found",0)</f>
        <v>45717</v>
      </c>
      <c r="T267" s="4">
        <f>_xlfn.XLOOKUP(Table1_2[[#This Row],[Campaign_Name]],'Campaign Metadata'!A:A,'Campaign Metadata'!C:C,"not found",0)</f>
        <v>45747</v>
      </c>
      <c r="U267" t="str">
        <f>IF(AND(Table1_2[[#This Row],[Date]]&gt;=Table1_2[[#This Row],[Campaign Start Date2]],Table1_2[[#This Row],[Date]]&lt;=Table1_2[[#This Row],[Campaign End Date3]]),"During Campaign","Before Campaign")</f>
        <v>Before Campaign</v>
      </c>
      <c r="V267" s="30">
        <f>_xlfn.XLOOKUP(Table1_2[[#This Row],[Campaign_Name]],'Campaign Metadata'!A:A,'Campaign Metadata'!E:E,"Not Available",0)</f>
        <v>180000</v>
      </c>
      <c r="W267">
        <f>Table1_2[[#This Row],[Engagement]]/Table1_2[[#This Row],[Campaign Budget]]</f>
        <v>2.9816666666666668E-2</v>
      </c>
      <c r="X267">
        <f>_xlfn.XLOOKUP(Table1_2[[#This Row],[Platform]],'Engagement Summary'!B:B,'Engagement Summary'!H:H,"Not Available",0)</f>
        <v>1002</v>
      </c>
      <c r="Y267">
        <f>WEEKNUM(Table1_2[[#This Row],[Date]])</f>
        <v>3</v>
      </c>
      <c r="Z267">
        <f>_xlfn.XLOOKUP(Table1_2[[#This Row],[Platform]],'Engagement Summary'!B:B,'Engagement Summary'!G:G,"Notavailable",0)</f>
        <v>9566</v>
      </c>
    </row>
    <row r="268" spans="1:26" x14ac:dyDescent="0.3">
      <c r="A268" t="s">
        <v>474</v>
      </c>
      <c r="B268" t="s">
        <v>43</v>
      </c>
      <c r="C268" s="4">
        <v>45480</v>
      </c>
      <c r="D268" t="s">
        <v>16</v>
      </c>
      <c r="E268" t="s">
        <v>65</v>
      </c>
      <c r="F268">
        <v>4767</v>
      </c>
      <c r="G268">
        <v>190</v>
      </c>
      <c r="H268">
        <v>340</v>
      </c>
      <c r="I268">
        <v>28602</v>
      </c>
      <c r="J268">
        <v>28044</v>
      </c>
      <c r="K268">
        <v>210</v>
      </c>
      <c r="L268" t="s">
        <v>37</v>
      </c>
      <c r="M268" t="s">
        <v>31</v>
      </c>
      <c r="N268" s="4">
        <v>45651</v>
      </c>
      <c r="O268" s="4">
        <v>45667</v>
      </c>
      <c r="P268" t="s">
        <v>637</v>
      </c>
      <c r="Q268">
        <f>Table1_2[[#This Row],[Likes]]+Table1_2[[#This Row],[Shares]]+Table1_2[[#This Row],[Comments]]</f>
        <v>5297</v>
      </c>
      <c r="R268" s="12">
        <f>(Table1_2[[#This Row],[Likes]]+Table1_2[[#This Row],[Shares]]+Table1_2[[#This Row],[Comments]])/Table1_2[[#This Row],[Impressions]]</f>
        <v>0.18519683938186141</v>
      </c>
      <c r="S268" s="4">
        <f>_xlfn.XLOOKUP(Table1_2[[#This Row],[Campaign_Name]],'Campaign Metadata'!A:A,'Campaign Metadata'!B:B,"not found",0)</f>
        <v>45651</v>
      </c>
      <c r="T268" s="4">
        <f>_xlfn.XLOOKUP(Table1_2[[#This Row],[Campaign_Name]],'Campaign Metadata'!A:A,'Campaign Metadata'!C:C,"not found",0)</f>
        <v>45667</v>
      </c>
      <c r="U268" t="str">
        <f>IF(AND(Table1_2[[#This Row],[Date]]&gt;=Table1_2[[#This Row],[Campaign Start Date2]],Table1_2[[#This Row],[Date]]&lt;=Table1_2[[#This Row],[Campaign End Date3]]),"During Campaign","Before Campaign")</f>
        <v>Before Campaign</v>
      </c>
      <c r="V268" s="30">
        <f>_xlfn.XLOOKUP(Table1_2[[#This Row],[Campaign_Name]],'Campaign Metadata'!A:A,'Campaign Metadata'!E:E,"Not Available",0)</f>
        <v>250000</v>
      </c>
      <c r="W268">
        <f>Table1_2[[#This Row],[Engagement]]/Table1_2[[#This Row],[Campaign Budget]]</f>
        <v>2.1187999999999999E-2</v>
      </c>
      <c r="X268">
        <f>_xlfn.XLOOKUP(Table1_2[[#This Row],[Platform]],'Engagement Summary'!B:B,'Engagement Summary'!H:H,"Not Available",0)</f>
        <v>1002</v>
      </c>
      <c r="Y268">
        <f>WEEKNUM(Table1_2[[#This Row],[Date]])</f>
        <v>28</v>
      </c>
      <c r="Z268">
        <f>_xlfn.XLOOKUP(Table1_2[[#This Row],[Platform]],'Engagement Summary'!B:B,'Engagement Summary'!G:G,"Notavailable",0)</f>
        <v>9566</v>
      </c>
    </row>
    <row r="269" spans="1:26" x14ac:dyDescent="0.3">
      <c r="A269" t="s">
        <v>475</v>
      </c>
      <c r="B269" t="s">
        <v>14</v>
      </c>
      <c r="C269" s="4">
        <v>45722</v>
      </c>
      <c r="D269" t="s">
        <v>52</v>
      </c>
      <c r="E269" t="s">
        <v>132</v>
      </c>
      <c r="F269">
        <v>3592</v>
      </c>
      <c r="G269">
        <v>911</v>
      </c>
      <c r="H269">
        <v>375</v>
      </c>
      <c r="I269">
        <v>50288</v>
      </c>
      <c r="J269">
        <v>49490</v>
      </c>
      <c r="K269">
        <v>32</v>
      </c>
      <c r="L269" t="s">
        <v>62</v>
      </c>
      <c r="M269" t="s">
        <v>38</v>
      </c>
      <c r="N269" s="4">
        <v>45717</v>
      </c>
      <c r="O269" s="4">
        <v>45747</v>
      </c>
      <c r="P269" t="s">
        <v>637</v>
      </c>
      <c r="Q269">
        <f>Table1_2[[#This Row],[Likes]]+Table1_2[[#This Row],[Shares]]+Table1_2[[#This Row],[Comments]]</f>
        <v>4878</v>
      </c>
      <c r="R269" s="12">
        <f>(Table1_2[[#This Row],[Likes]]+Table1_2[[#This Row],[Shares]]+Table1_2[[#This Row],[Comments]])/Table1_2[[#This Row],[Impressions]]</f>
        <v>9.7001272669424113E-2</v>
      </c>
      <c r="S269" s="4">
        <f>_xlfn.XLOOKUP(Table1_2[[#This Row],[Campaign_Name]],'Campaign Metadata'!A:A,'Campaign Metadata'!B:B,"not found",0)</f>
        <v>45717</v>
      </c>
      <c r="T269" s="4">
        <f>_xlfn.XLOOKUP(Table1_2[[#This Row],[Campaign_Name]],'Campaign Metadata'!A:A,'Campaign Metadata'!C:C,"not found",0)</f>
        <v>45747</v>
      </c>
      <c r="U269" t="str">
        <f>IF(AND(Table1_2[[#This Row],[Date]]&gt;=Table1_2[[#This Row],[Campaign Start Date2]],Table1_2[[#This Row],[Date]]&lt;=Table1_2[[#This Row],[Campaign End Date3]]),"During Campaign","Before Campaign")</f>
        <v>During Campaign</v>
      </c>
      <c r="V269" s="30">
        <f>_xlfn.XLOOKUP(Table1_2[[#This Row],[Campaign_Name]],'Campaign Metadata'!A:A,'Campaign Metadata'!E:E,"Not Available",0)</f>
        <v>180000</v>
      </c>
      <c r="W269">
        <f>Table1_2[[#This Row],[Engagement]]/Table1_2[[#This Row],[Campaign Budget]]</f>
        <v>2.7099999999999999E-2</v>
      </c>
      <c r="X269">
        <f>_xlfn.XLOOKUP(Table1_2[[#This Row],[Platform]],'Engagement Summary'!B:B,'Engagement Summary'!H:H,"Not Available",0)</f>
        <v>415</v>
      </c>
      <c r="Y269">
        <f>WEEKNUM(Table1_2[[#This Row],[Date]])</f>
        <v>10</v>
      </c>
      <c r="Z269">
        <f>_xlfn.XLOOKUP(Table1_2[[#This Row],[Platform]],'Engagement Summary'!B:B,'Engagement Summary'!G:G,"Notavailable",0)</f>
        <v>26752</v>
      </c>
    </row>
    <row r="270" spans="1:26" x14ac:dyDescent="0.3">
      <c r="A270" t="s">
        <v>477</v>
      </c>
      <c r="B270" t="s">
        <v>27</v>
      </c>
      <c r="C270" s="4">
        <v>45590</v>
      </c>
      <c r="D270" t="s">
        <v>74</v>
      </c>
      <c r="E270" t="s">
        <v>219</v>
      </c>
      <c r="F270">
        <v>4661</v>
      </c>
      <c r="G270">
        <v>935</v>
      </c>
      <c r="H270">
        <v>433</v>
      </c>
      <c r="I270">
        <v>23305</v>
      </c>
      <c r="J270">
        <v>22583</v>
      </c>
      <c r="K270">
        <v>63</v>
      </c>
      <c r="L270" t="s">
        <v>62</v>
      </c>
      <c r="M270" t="s">
        <v>31</v>
      </c>
      <c r="N270" s="4">
        <v>45651</v>
      </c>
      <c r="O270" s="4">
        <v>45667</v>
      </c>
      <c r="P270" t="s">
        <v>637</v>
      </c>
      <c r="Q270">
        <f>Table1_2[[#This Row],[Likes]]+Table1_2[[#This Row],[Shares]]+Table1_2[[#This Row],[Comments]]</f>
        <v>6029</v>
      </c>
      <c r="R270" s="12">
        <f>(Table1_2[[#This Row],[Likes]]+Table1_2[[#This Row],[Shares]]+Table1_2[[#This Row],[Comments]])/Table1_2[[#This Row],[Impressions]]</f>
        <v>0.25869984981763572</v>
      </c>
      <c r="S270" s="4">
        <f>_xlfn.XLOOKUP(Table1_2[[#This Row],[Campaign_Name]],'Campaign Metadata'!A:A,'Campaign Metadata'!B:B,"not found",0)</f>
        <v>45651</v>
      </c>
      <c r="T270" s="4">
        <f>_xlfn.XLOOKUP(Table1_2[[#This Row],[Campaign_Name]],'Campaign Metadata'!A:A,'Campaign Metadata'!C:C,"not found",0)</f>
        <v>45667</v>
      </c>
      <c r="U270" t="str">
        <f>IF(AND(Table1_2[[#This Row],[Date]]&gt;=Table1_2[[#This Row],[Campaign Start Date2]],Table1_2[[#This Row],[Date]]&lt;=Table1_2[[#This Row],[Campaign End Date3]]),"During Campaign","Before Campaign")</f>
        <v>Before Campaign</v>
      </c>
      <c r="V270" s="30">
        <f>_xlfn.XLOOKUP(Table1_2[[#This Row],[Campaign_Name]],'Campaign Metadata'!A:A,'Campaign Metadata'!E:E,"Not Available",0)</f>
        <v>250000</v>
      </c>
      <c r="W270">
        <f>Table1_2[[#This Row],[Engagement]]/Table1_2[[#This Row],[Campaign Budget]]</f>
        <v>2.4115999999999999E-2</v>
      </c>
      <c r="X270">
        <f>_xlfn.XLOOKUP(Table1_2[[#This Row],[Platform]],'Engagement Summary'!B:B,'Engagement Summary'!H:H,"Not Available",0)</f>
        <v>1090</v>
      </c>
      <c r="Y270">
        <f>WEEKNUM(Table1_2[[#This Row],[Date]])</f>
        <v>43</v>
      </c>
      <c r="Z270">
        <f>_xlfn.XLOOKUP(Table1_2[[#This Row],[Platform]],'Engagement Summary'!B:B,'Engagement Summary'!G:G,"Notavailable",0)</f>
        <v>30671</v>
      </c>
    </row>
    <row r="271" spans="1:26" x14ac:dyDescent="0.3">
      <c r="A271" t="s">
        <v>479</v>
      </c>
      <c r="B271" t="s">
        <v>43</v>
      </c>
      <c r="C271" s="4">
        <v>45669</v>
      </c>
      <c r="D271" t="s">
        <v>16</v>
      </c>
      <c r="E271" t="s">
        <v>65</v>
      </c>
      <c r="F271">
        <v>4134</v>
      </c>
      <c r="G271">
        <v>824</v>
      </c>
      <c r="H271">
        <v>99</v>
      </c>
      <c r="I271">
        <v>41340</v>
      </c>
      <c r="J271">
        <v>41050</v>
      </c>
      <c r="K271">
        <v>177</v>
      </c>
      <c r="L271" t="s">
        <v>37</v>
      </c>
      <c r="M271" t="s">
        <v>19</v>
      </c>
      <c r="N271" s="4">
        <v>45458</v>
      </c>
      <c r="O271" s="4">
        <v>45488</v>
      </c>
      <c r="P271" t="s">
        <v>637</v>
      </c>
      <c r="Q271">
        <f>Table1_2[[#This Row],[Likes]]+Table1_2[[#This Row],[Shares]]+Table1_2[[#This Row],[Comments]]</f>
        <v>5057</v>
      </c>
      <c r="R271" s="12">
        <f>(Table1_2[[#This Row],[Likes]]+Table1_2[[#This Row],[Shares]]+Table1_2[[#This Row],[Comments]])/Table1_2[[#This Row],[Impressions]]</f>
        <v>0.12232704402515723</v>
      </c>
      <c r="S271" s="4">
        <f>_xlfn.XLOOKUP(Table1_2[[#This Row],[Campaign_Name]],'Campaign Metadata'!A:A,'Campaign Metadata'!B:B,"not found",0)</f>
        <v>45458</v>
      </c>
      <c r="T271" s="4">
        <f>_xlfn.XLOOKUP(Table1_2[[#This Row],[Campaign_Name]],'Campaign Metadata'!A:A,'Campaign Metadata'!C:C,"not found",0)</f>
        <v>45488</v>
      </c>
      <c r="U271" t="str">
        <f>IF(AND(Table1_2[[#This Row],[Date]]&gt;=Table1_2[[#This Row],[Campaign Start Date2]],Table1_2[[#This Row],[Date]]&lt;=Table1_2[[#This Row],[Campaign End Date3]]),"During Campaign","Before Campaign")</f>
        <v>Before Campaign</v>
      </c>
      <c r="V271" s="30">
        <f>_xlfn.XLOOKUP(Table1_2[[#This Row],[Campaign_Name]],'Campaign Metadata'!A:A,'Campaign Metadata'!E:E,"Not Available",0)</f>
        <v>150000</v>
      </c>
      <c r="W271">
        <f>Table1_2[[#This Row],[Engagement]]/Table1_2[[#This Row],[Campaign Budget]]</f>
        <v>3.3713333333333331E-2</v>
      </c>
      <c r="X271">
        <f>_xlfn.XLOOKUP(Table1_2[[#This Row],[Platform]],'Engagement Summary'!B:B,'Engagement Summary'!H:H,"Not Available",0)</f>
        <v>1002</v>
      </c>
      <c r="Y271">
        <f>WEEKNUM(Table1_2[[#This Row],[Date]])</f>
        <v>3</v>
      </c>
      <c r="Z271">
        <f>_xlfn.XLOOKUP(Table1_2[[#This Row],[Platform]],'Engagement Summary'!B:B,'Engagement Summary'!G:G,"Notavailable",0)</f>
        <v>9566</v>
      </c>
    </row>
    <row r="272" spans="1:26" x14ac:dyDescent="0.3">
      <c r="A272" t="s">
        <v>481</v>
      </c>
      <c r="B272" t="s">
        <v>43</v>
      </c>
      <c r="C272" s="4">
        <v>45576</v>
      </c>
      <c r="D272" t="s">
        <v>52</v>
      </c>
      <c r="E272" t="s">
        <v>59</v>
      </c>
      <c r="F272">
        <v>400</v>
      </c>
      <c r="G272">
        <v>680</v>
      </c>
      <c r="H272">
        <v>434</v>
      </c>
      <c r="I272">
        <v>6400</v>
      </c>
      <c r="J272">
        <v>5472</v>
      </c>
      <c r="K272">
        <v>160</v>
      </c>
      <c r="L272" t="s">
        <v>62</v>
      </c>
      <c r="M272" t="s">
        <v>25</v>
      </c>
      <c r="N272" s="4">
        <v>45566</v>
      </c>
      <c r="O272" s="4">
        <v>45596</v>
      </c>
      <c r="P272" t="s">
        <v>637</v>
      </c>
      <c r="Q272">
        <f>Table1_2[[#This Row],[Likes]]+Table1_2[[#This Row],[Shares]]+Table1_2[[#This Row],[Comments]]</f>
        <v>1514</v>
      </c>
      <c r="R272" s="12">
        <f>(Table1_2[[#This Row],[Likes]]+Table1_2[[#This Row],[Shares]]+Table1_2[[#This Row],[Comments]])/Table1_2[[#This Row],[Impressions]]</f>
        <v>0.23656250000000001</v>
      </c>
      <c r="S272" s="4">
        <f>_xlfn.XLOOKUP(Table1_2[[#This Row],[Campaign_Name]],'Campaign Metadata'!A:A,'Campaign Metadata'!B:B,"not found",0)</f>
        <v>45566</v>
      </c>
      <c r="T272" s="4">
        <f>_xlfn.XLOOKUP(Table1_2[[#This Row],[Campaign_Name]],'Campaign Metadata'!A:A,'Campaign Metadata'!C:C,"not found",0)</f>
        <v>45596</v>
      </c>
      <c r="U272" t="str">
        <f>IF(AND(Table1_2[[#This Row],[Date]]&gt;=Table1_2[[#This Row],[Campaign Start Date2]],Table1_2[[#This Row],[Date]]&lt;=Table1_2[[#This Row],[Campaign End Date3]]),"During Campaign","Before Campaign")</f>
        <v>During Campaign</v>
      </c>
      <c r="V272" s="30">
        <f>_xlfn.XLOOKUP(Table1_2[[#This Row],[Campaign_Name]],'Campaign Metadata'!A:A,'Campaign Metadata'!E:E,"Not Available",0)</f>
        <v>200000</v>
      </c>
      <c r="W272">
        <f>Table1_2[[#This Row],[Engagement]]/Table1_2[[#This Row],[Campaign Budget]]</f>
        <v>7.5700000000000003E-3</v>
      </c>
      <c r="X272">
        <f>_xlfn.XLOOKUP(Table1_2[[#This Row],[Platform]],'Engagement Summary'!B:B,'Engagement Summary'!H:H,"Not Available",0)</f>
        <v>1002</v>
      </c>
      <c r="Y272">
        <f>WEEKNUM(Table1_2[[#This Row],[Date]])</f>
        <v>41</v>
      </c>
      <c r="Z272">
        <f>_xlfn.XLOOKUP(Table1_2[[#This Row],[Platform]],'Engagement Summary'!B:B,'Engagement Summary'!G:G,"Notavailable",0)</f>
        <v>9566</v>
      </c>
    </row>
    <row r="273" spans="1:26" x14ac:dyDescent="0.3">
      <c r="A273" t="s">
        <v>483</v>
      </c>
      <c r="B273" t="s">
        <v>43</v>
      </c>
      <c r="C273" s="4">
        <v>45531</v>
      </c>
      <c r="D273" t="s">
        <v>16</v>
      </c>
      <c r="E273" t="s">
        <v>65</v>
      </c>
      <c r="F273">
        <v>3960</v>
      </c>
      <c r="G273">
        <v>266</v>
      </c>
      <c r="H273">
        <v>8</v>
      </c>
      <c r="I273">
        <v>35640</v>
      </c>
      <c r="J273">
        <v>34850</v>
      </c>
      <c r="K273">
        <v>208</v>
      </c>
      <c r="L273" t="s">
        <v>62</v>
      </c>
      <c r="M273" t="s">
        <v>617</v>
      </c>
      <c r="N273" s="4">
        <v>0</v>
      </c>
      <c r="O273" s="4">
        <v>0</v>
      </c>
      <c r="P273" t="s">
        <v>637</v>
      </c>
      <c r="Q273">
        <f>Table1_2[[#This Row],[Likes]]+Table1_2[[#This Row],[Shares]]+Table1_2[[#This Row],[Comments]]</f>
        <v>4234</v>
      </c>
      <c r="R273" s="12">
        <f>(Table1_2[[#This Row],[Likes]]+Table1_2[[#This Row],[Shares]]+Table1_2[[#This Row],[Comments]])/Table1_2[[#This Row],[Impressions]]</f>
        <v>0.11879910213243547</v>
      </c>
      <c r="S273" s="4" t="str">
        <f>_xlfn.XLOOKUP(Table1_2[[#This Row],[Campaign_Name]],'Campaign Metadata'!A:A,'Campaign Metadata'!B:B,"not found",0)</f>
        <v>not found</v>
      </c>
      <c r="T273" s="4" t="str">
        <f>_xlfn.XLOOKUP(Table1_2[[#This Row],[Campaign_Name]],'Campaign Metadata'!A:A,'Campaign Metadata'!C:C,"not found",0)</f>
        <v>not found</v>
      </c>
      <c r="U273" t="str">
        <f>IF(AND(Table1_2[[#This Row],[Date]]&gt;=Table1_2[[#This Row],[Campaign Start Date2]],Table1_2[[#This Row],[Date]]&lt;=Table1_2[[#This Row],[Campaign End Date3]]),"During Campaign","Before Campaign")</f>
        <v>Before Campaign</v>
      </c>
      <c r="V273" s="30" t="str">
        <f>_xlfn.XLOOKUP(Table1_2[[#This Row],[Campaign_Name]],'Campaign Metadata'!A:A,'Campaign Metadata'!E:E,"Not Available",0)</f>
        <v>Not Available</v>
      </c>
      <c r="W273" t="e">
        <f>Table1_2[[#This Row],[Engagement]]/Table1_2[[#This Row],[Campaign Budget]]</f>
        <v>#VALUE!</v>
      </c>
      <c r="X273">
        <f>_xlfn.XLOOKUP(Table1_2[[#This Row],[Platform]],'Engagement Summary'!B:B,'Engagement Summary'!H:H,"Not Available",0)</f>
        <v>1002</v>
      </c>
      <c r="Y273">
        <f>WEEKNUM(Table1_2[[#This Row],[Date]])</f>
        <v>35</v>
      </c>
      <c r="Z273">
        <f>_xlfn.XLOOKUP(Table1_2[[#This Row],[Platform]],'Engagement Summary'!B:B,'Engagement Summary'!G:G,"Notavailable",0)</f>
        <v>9566</v>
      </c>
    </row>
    <row r="274" spans="1:26" x14ac:dyDescent="0.3">
      <c r="A274" t="s">
        <v>483</v>
      </c>
      <c r="B274" t="s">
        <v>43</v>
      </c>
      <c r="C274" s="4">
        <v>45531</v>
      </c>
      <c r="D274" t="s">
        <v>16</v>
      </c>
      <c r="E274" t="s">
        <v>65</v>
      </c>
      <c r="F274">
        <v>3960</v>
      </c>
      <c r="G274">
        <v>266</v>
      </c>
      <c r="H274">
        <v>8</v>
      </c>
      <c r="I274">
        <v>35640</v>
      </c>
      <c r="J274">
        <v>34850</v>
      </c>
      <c r="K274">
        <v>208</v>
      </c>
      <c r="L274" t="s">
        <v>37</v>
      </c>
      <c r="M274" t="s">
        <v>617</v>
      </c>
      <c r="N274" s="4">
        <v>0</v>
      </c>
      <c r="O274" s="4">
        <v>0</v>
      </c>
      <c r="P274" t="s">
        <v>637</v>
      </c>
      <c r="Q274">
        <f>Table1_2[[#This Row],[Likes]]+Table1_2[[#This Row],[Shares]]+Table1_2[[#This Row],[Comments]]</f>
        <v>4234</v>
      </c>
      <c r="R274" s="12">
        <f>(Table1_2[[#This Row],[Likes]]+Table1_2[[#This Row],[Shares]]+Table1_2[[#This Row],[Comments]])/Table1_2[[#This Row],[Impressions]]</f>
        <v>0.11879910213243547</v>
      </c>
      <c r="S274" s="4" t="str">
        <f>_xlfn.XLOOKUP(Table1_2[[#This Row],[Campaign_Name]],'Campaign Metadata'!A:A,'Campaign Metadata'!B:B,"not found",0)</f>
        <v>not found</v>
      </c>
      <c r="T274" s="4" t="str">
        <f>_xlfn.XLOOKUP(Table1_2[[#This Row],[Campaign_Name]],'Campaign Metadata'!A:A,'Campaign Metadata'!C:C,"not found",0)</f>
        <v>not found</v>
      </c>
      <c r="U274" t="str">
        <f>IF(AND(Table1_2[[#This Row],[Date]]&gt;=Table1_2[[#This Row],[Campaign Start Date2]],Table1_2[[#This Row],[Date]]&lt;=Table1_2[[#This Row],[Campaign End Date3]]),"During Campaign","Before Campaign")</f>
        <v>Before Campaign</v>
      </c>
      <c r="V274" s="30" t="str">
        <f>_xlfn.XLOOKUP(Table1_2[[#This Row],[Campaign_Name]],'Campaign Metadata'!A:A,'Campaign Metadata'!E:E,"Not Available",0)</f>
        <v>Not Available</v>
      </c>
      <c r="W274" t="e">
        <f>Table1_2[[#This Row],[Engagement]]/Table1_2[[#This Row],[Campaign Budget]]</f>
        <v>#VALUE!</v>
      </c>
      <c r="X274">
        <f>_xlfn.XLOOKUP(Table1_2[[#This Row],[Platform]],'Engagement Summary'!B:B,'Engagement Summary'!H:H,"Not Available",0)</f>
        <v>1002</v>
      </c>
      <c r="Y274">
        <f>WEEKNUM(Table1_2[[#This Row],[Date]])</f>
        <v>35</v>
      </c>
      <c r="Z274">
        <f>_xlfn.XLOOKUP(Table1_2[[#This Row],[Platform]],'Engagement Summary'!B:B,'Engagement Summary'!G:G,"Notavailable",0)</f>
        <v>9566</v>
      </c>
    </row>
    <row r="275" spans="1:26" x14ac:dyDescent="0.3">
      <c r="A275" t="s">
        <v>483</v>
      </c>
      <c r="B275" t="s">
        <v>43</v>
      </c>
      <c r="C275" s="4">
        <v>45531</v>
      </c>
      <c r="D275" t="s">
        <v>16</v>
      </c>
      <c r="E275" t="s">
        <v>65</v>
      </c>
      <c r="F275">
        <v>3960</v>
      </c>
      <c r="G275">
        <v>266</v>
      </c>
      <c r="H275">
        <v>8</v>
      </c>
      <c r="I275">
        <v>35640</v>
      </c>
      <c r="J275">
        <v>34850</v>
      </c>
      <c r="K275">
        <v>208</v>
      </c>
      <c r="L275" t="s">
        <v>616</v>
      </c>
      <c r="M275" t="s">
        <v>617</v>
      </c>
      <c r="N275" s="4">
        <v>0</v>
      </c>
      <c r="O275" s="4">
        <v>0</v>
      </c>
      <c r="P275" t="s">
        <v>637</v>
      </c>
      <c r="Q275">
        <f>Table1_2[[#This Row],[Likes]]+Table1_2[[#This Row],[Shares]]+Table1_2[[#This Row],[Comments]]</f>
        <v>4234</v>
      </c>
      <c r="R275" s="12">
        <f>(Table1_2[[#This Row],[Likes]]+Table1_2[[#This Row],[Shares]]+Table1_2[[#This Row],[Comments]])/Table1_2[[#This Row],[Impressions]]</f>
        <v>0.11879910213243547</v>
      </c>
      <c r="S275" s="4" t="str">
        <f>_xlfn.XLOOKUP(Table1_2[[#This Row],[Campaign_Name]],'Campaign Metadata'!A:A,'Campaign Metadata'!B:B,"not found",0)</f>
        <v>not found</v>
      </c>
      <c r="T275" s="4" t="str">
        <f>_xlfn.XLOOKUP(Table1_2[[#This Row],[Campaign_Name]],'Campaign Metadata'!A:A,'Campaign Metadata'!C:C,"not found",0)</f>
        <v>not found</v>
      </c>
      <c r="U275" t="str">
        <f>IF(AND(Table1_2[[#This Row],[Date]]&gt;=Table1_2[[#This Row],[Campaign Start Date2]],Table1_2[[#This Row],[Date]]&lt;=Table1_2[[#This Row],[Campaign End Date3]]),"During Campaign","Before Campaign")</f>
        <v>Before Campaign</v>
      </c>
      <c r="V275" s="30" t="str">
        <f>_xlfn.XLOOKUP(Table1_2[[#This Row],[Campaign_Name]],'Campaign Metadata'!A:A,'Campaign Metadata'!E:E,"Not Available",0)</f>
        <v>Not Available</v>
      </c>
      <c r="W275" t="e">
        <f>Table1_2[[#This Row],[Engagement]]/Table1_2[[#This Row],[Campaign Budget]]</f>
        <v>#VALUE!</v>
      </c>
      <c r="X275">
        <f>_xlfn.XLOOKUP(Table1_2[[#This Row],[Platform]],'Engagement Summary'!B:B,'Engagement Summary'!H:H,"Not Available",0)</f>
        <v>1002</v>
      </c>
      <c r="Y275">
        <f>WEEKNUM(Table1_2[[#This Row],[Date]])</f>
        <v>35</v>
      </c>
      <c r="Z275">
        <f>_xlfn.XLOOKUP(Table1_2[[#This Row],[Platform]],'Engagement Summary'!B:B,'Engagement Summary'!G:G,"Notavailable",0)</f>
        <v>9566</v>
      </c>
    </row>
    <row r="276" spans="1:26" x14ac:dyDescent="0.3">
      <c r="A276" t="s">
        <v>486</v>
      </c>
      <c r="B276" t="s">
        <v>43</v>
      </c>
      <c r="C276" s="4">
        <v>45690</v>
      </c>
      <c r="D276" t="s">
        <v>35</v>
      </c>
      <c r="E276" t="s">
        <v>71</v>
      </c>
      <c r="F276">
        <v>886</v>
      </c>
      <c r="G276">
        <v>126</v>
      </c>
      <c r="H276">
        <v>153</v>
      </c>
      <c r="I276">
        <v>4430</v>
      </c>
      <c r="J276">
        <v>4037</v>
      </c>
      <c r="K276">
        <v>212</v>
      </c>
      <c r="L276" t="s">
        <v>37</v>
      </c>
      <c r="M276" t="s">
        <v>617</v>
      </c>
      <c r="N276" s="4">
        <v>0</v>
      </c>
      <c r="O276" s="4">
        <v>0</v>
      </c>
      <c r="P276" t="s">
        <v>637</v>
      </c>
      <c r="Q276">
        <f>Table1_2[[#This Row],[Likes]]+Table1_2[[#This Row],[Shares]]+Table1_2[[#This Row],[Comments]]</f>
        <v>1165</v>
      </c>
      <c r="R276" s="12">
        <f>(Table1_2[[#This Row],[Likes]]+Table1_2[[#This Row],[Shares]]+Table1_2[[#This Row],[Comments]])/Table1_2[[#This Row],[Impressions]]</f>
        <v>0.26297968397291194</v>
      </c>
      <c r="S276" s="4" t="str">
        <f>_xlfn.XLOOKUP(Table1_2[[#This Row],[Campaign_Name]],'Campaign Metadata'!A:A,'Campaign Metadata'!B:B,"not found",0)</f>
        <v>not found</v>
      </c>
      <c r="T276" s="4" t="str">
        <f>_xlfn.XLOOKUP(Table1_2[[#This Row],[Campaign_Name]],'Campaign Metadata'!A:A,'Campaign Metadata'!C:C,"not found",0)</f>
        <v>not found</v>
      </c>
      <c r="U276" t="str">
        <f>IF(AND(Table1_2[[#This Row],[Date]]&gt;=Table1_2[[#This Row],[Campaign Start Date2]],Table1_2[[#This Row],[Date]]&lt;=Table1_2[[#This Row],[Campaign End Date3]]),"During Campaign","Before Campaign")</f>
        <v>Before Campaign</v>
      </c>
      <c r="V276" s="30" t="str">
        <f>_xlfn.XLOOKUP(Table1_2[[#This Row],[Campaign_Name]],'Campaign Metadata'!A:A,'Campaign Metadata'!E:E,"Not Available",0)</f>
        <v>Not Available</v>
      </c>
      <c r="W276" t="e">
        <f>Table1_2[[#This Row],[Engagement]]/Table1_2[[#This Row],[Campaign Budget]]</f>
        <v>#VALUE!</v>
      </c>
      <c r="X276">
        <f>_xlfn.XLOOKUP(Table1_2[[#This Row],[Platform]],'Engagement Summary'!B:B,'Engagement Summary'!H:H,"Not Available",0)</f>
        <v>1002</v>
      </c>
      <c r="Y276">
        <f>WEEKNUM(Table1_2[[#This Row],[Date]])</f>
        <v>6</v>
      </c>
      <c r="Z276">
        <f>_xlfn.XLOOKUP(Table1_2[[#This Row],[Platform]],'Engagement Summary'!B:B,'Engagement Summary'!G:G,"Notavailable",0)</f>
        <v>9566</v>
      </c>
    </row>
    <row r="277" spans="1:26" x14ac:dyDescent="0.3">
      <c r="A277" t="s">
        <v>487</v>
      </c>
      <c r="B277" t="s">
        <v>14</v>
      </c>
      <c r="C277" s="4">
        <v>45491</v>
      </c>
      <c r="D277" t="s">
        <v>52</v>
      </c>
      <c r="E277" t="s">
        <v>132</v>
      </c>
      <c r="F277">
        <v>827</v>
      </c>
      <c r="G277">
        <v>77</v>
      </c>
      <c r="H277">
        <v>402</v>
      </c>
      <c r="I277">
        <v>14886</v>
      </c>
      <c r="J277">
        <v>14129</v>
      </c>
      <c r="K277">
        <v>254</v>
      </c>
      <c r="L277" t="s">
        <v>37</v>
      </c>
      <c r="M277" t="s">
        <v>25</v>
      </c>
      <c r="N277" s="4">
        <v>45566</v>
      </c>
      <c r="O277" s="4">
        <v>45596</v>
      </c>
      <c r="P277" t="s">
        <v>637</v>
      </c>
      <c r="Q277">
        <f>Table1_2[[#This Row],[Likes]]+Table1_2[[#This Row],[Shares]]+Table1_2[[#This Row],[Comments]]</f>
        <v>1306</v>
      </c>
      <c r="R277" s="12">
        <f>(Table1_2[[#This Row],[Likes]]+Table1_2[[#This Row],[Shares]]+Table1_2[[#This Row],[Comments]])/Table1_2[[#This Row],[Impressions]]</f>
        <v>8.7733440816874911E-2</v>
      </c>
      <c r="S277" s="4">
        <f>_xlfn.XLOOKUP(Table1_2[[#This Row],[Campaign_Name]],'Campaign Metadata'!A:A,'Campaign Metadata'!B:B,"not found",0)</f>
        <v>45566</v>
      </c>
      <c r="T277" s="4">
        <f>_xlfn.XLOOKUP(Table1_2[[#This Row],[Campaign_Name]],'Campaign Metadata'!A:A,'Campaign Metadata'!C:C,"not found",0)</f>
        <v>45596</v>
      </c>
      <c r="U277" t="str">
        <f>IF(AND(Table1_2[[#This Row],[Date]]&gt;=Table1_2[[#This Row],[Campaign Start Date2]],Table1_2[[#This Row],[Date]]&lt;=Table1_2[[#This Row],[Campaign End Date3]]),"During Campaign","Before Campaign")</f>
        <v>Before Campaign</v>
      </c>
      <c r="V277" s="30">
        <f>_xlfn.XLOOKUP(Table1_2[[#This Row],[Campaign_Name]],'Campaign Metadata'!A:A,'Campaign Metadata'!E:E,"Not Available",0)</f>
        <v>200000</v>
      </c>
      <c r="W277">
        <f>Table1_2[[#This Row],[Engagement]]/Table1_2[[#This Row],[Campaign Budget]]</f>
        <v>6.5300000000000002E-3</v>
      </c>
      <c r="X277">
        <f>_xlfn.XLOOKUP(Table1_2[[#This Row],[Platform]],'Engagement Summary'!B:B,'Engagement Summary'!H:H,"Not Available",0)</f>
        <v>415</v>
      </c>
      <c r="Y277">
        <f>WEEKNUM(Table1_2[[#This Row],[Date]])</f>
        <v>29</v>
      </c>
      <c r="Z277">
        <f>_xlfn.XLOOKUP(Table1_2[[#This Row],[Platform]],'Engagement Summary'!B:B,'Engagement Summary'!G:G,"Notavailable",0)</f>
        <v>26752</v>
      </c>
    </row>
    <row r="278" spans="1:26" x14ac:dyDescent="0.3">
      <c r="A278" t="s">
        <v>488</v>
      </c>
      <c r="B278" t="s">
        <v>43</v>
      </c>
      <c r="C278" s="4">
        <v>45465</v>
      </c>
      <c r="D278" t="s">
        <v>16</v>
      </c>
      <c r="E278" t="s">
        <v>65</v>
      </c>
      <c r="F278">
        <v>3813</v>
      </c>
      <c r="G278">
        <v>935</v>
      </c>
      <c r="H278">
        <v>274</v>
      </c>
      <c r="I278">
        <v>68634</v>
      </c>
      <c r="J278">
        <v>68488</v>
      </c>
      <c r="K278">
        <v>251</v>
      </c>
      <c r="L278" t="s">
        <v>62</v>
      </c>
      <c r="M278" t="s">
        <v>617</v>
      </c>
      <c r="N278" s="4">
        <v>0</v>
      </c>
      <c r="O278" s="4">
        <v>0</v>
      </c>
      <c r="P278" t="s">
        <v>637</v>
      </c>
      <c r="Q278">
        <f>Table1_2[[#This Row],[Likes]]+Table1_2[[#This Row],[Shares]]+Table1_2[[#This Row],[Comments]]</f>
        <v>5022</v>
      </c>
      <c r="R278" s="12">
        <f>(Table1_2[[#This Row],[Likes]]+Table1_2[[#This Row],[Shares]]+Table1_2[[#This Row],[Comments]])/Table1_2[[#This Row],[Impressions]]</f>
        <v>7.3170731707317069E-2</v>
      </c>
      <c r="S278" s="4" t="str">
        <f>_xlfn.XLOOKUP(Table1_2[[#This Row],[Campaign_Name]],'Campaign Metadata'!A:A,'Campaign Metadata'!B:B,"not found",0)</f>
        <v>not found</v>
      </c>
      <c r="T278" s="4" t="str">
        <f>_xlfn.XLOOKUP(Table1_2[[#This Row],[Campaign_Name]],'Campaign Metadata'!A:A,'Campaign Metadata'!C:C,"not found",0)</f>
        <v>not found</v>
      </c>
      <c r="U278" t="str">
        <f>IF(AND(Table1_2[[#This Row],[Date]]&gt;=Table1_2[[#This Row],[Campaign Start Date2]],Table1_2[[#This Row],[Date]]&lt;=Table1_2[[#This Row],[Campaign End Date3]]),"During Campaign","Before Campaign")</f>
        <v>Before Campaign</v>
      </c>
      <c r="V278" s="30" t="str">
        <f>_xlfn.XLOOKUP(Table1_2[[#This Row],[Campaign_Name]],'Campaign Metadata'!A:A,'Campaign Metadata'!E:E,"Not Available",0)</f>
        <v>Not Available</v>
      </c>
      <c r="W278" t="e">
        <f>Table1_2[[#This Row],[Engagement]]/Table1_2[[#This Row],[Campaign Budget]]</f>
        <v>#VALUE!</v>
      </c>
      <c r="X278">
        <f>_xlfn.XLOOKUP(Table1_2[[#This Row],[Platform]],'Engagement Summary'!B:B,'Engagement Summary'!H:H,"Not Available",0)</f>
        <v>1002</v>
      </c>
      <c r="Y278">
        <f>WEEKNUM(Table1_2[[#This Row],[Date]])</f>
        <v>25</v>
      </c>
      <c r="Z278">
        <f>_xlfn.XLOOKUP(Table1_2[[#This Row],[Platform]],'Engagement Summary'!B:B,'Engagement Summary'!G:G,"Notavailable",0)</f>
        <v>9566</v>
      </c>
    </row>
    <row r="279" spans="1:26" x14ac:dyDescent="0.3">
      <c r="A279" t="s">
        <v>489</v>
      </c>
      <c r="B279" t="s">
        <v>33</v>
      </c>
      <c r="C279" s="4">
        <v>45743</v>
      </c>
      <c r="D279" t="s">
        <v>45</v>
      </c>
      <c r="E279" t="s">
        <v>88</v>
      </c>
      <c r="F279">
        <v>1377</v>
      </c>
      <c r="G279">
        <v>796</v>
      </c>
      <c r="H279">
        <v>387</v>
      </c>
      <c r="I279">
        <v>22032</v>
      </c>
      <c r="J279">
        <v>21869</v>
      </c>
      <c r="K279">
        <v>189</v>
      </c>
      <c r="L279" t="s">
        <v>62</v>
      </c>
      <c r="M279" t="s">
        <v>617</v>
      </c>
      <c r="N279" s="4">
        <v>0</v>
      </c>
      <c r="O279" s="4">
        <v>0</v>
      </c>
      <c r="P279" t="s">
        <v>637</v>
      </c>
      <c r="Q279">
        <f>Table1_2[[#This Row],[Likes]]+Table1_2[[#This Row],[Shares]]+Table1_2[[#This Row],[Comments]]</f>
        <v>2560</v>
      </c>
      <c r="R279" s="12">
        <f>(Table1_2[[#This Row],[Likes]]+Table1_2[[#This Row],[Shares]]+Table1_2[[#This Row],[Comments]])/Table1_2[[#This Row],[Impressions]]</f>
        <v>0.11619462599854757</v>
      </c>
      <c r="S279" s="4" t="str">
        <f>_xlfn.XLOOKUP(Table1_2[[#This Row],[Campaign_Name]],'Campaign Metadata'!A:A,'Campaign Metadata'!B:B,"not found",0)</f>
        <v>not found</v>
      </c>
      <c r="T279" s="4" t="str">
        <f>_xlfn.XLOOKUP(Table1_2[[#This Row],[Campaign_Name]],'Campaign Metadata'!A:A,'Campaign Metadata'!C:C,"not found",0)</f>
        <v>not found</v>
      </c>
      <c r="U279" t="str">
        <f>IF(AND(Table1_2[[#This Row],[Date]]&gt;=Table1_2[[#This Row],[Campaign Start Date2]],Table1_2[[#This Row],[Date]]&lt;=Table1_2[[#This Row],[Campaign End Date3]]),"During Campaign","Before Campaign")</f>
        <v>Before Campaign</v>
      </c>
      <c r="V279" s="30" t="str">
        <f>_xlfn.XLOOKUP(Table1_2[[#This Row],[Campaign_Name]],'Campaign Metadata'!A:A,'Campaign Metadata'!E:E,"Not Available",0)</f>
        <v>Not Available</v>
      </c>
      <c r="W279" t="e">
        <f>Table1_2[[#This Row],[Engagement]]/Table1_2[[#This Row],[Campaign Budget]]</f>
        <v>#VALUE!</v>
      </c>
      <c r="X279">
        <f>_xlfn.XLOOKUP(Table1_2[[#This Row],[Platform]],'Engagement Summary'!B:B,'Engagement Summary'!H:H,"Not Available",0)</f>
        <v>1047</v>
      </c>
      <c r="Y279">
        <f>WEEKNUM(Table1_2[[#This Row],[Date]])</f>
        <v>13</v>
      </c>
      <c r="Z279">
        <f>_xlfn.XLOOKUP(Table1_2[[#This Row],[Platform]],'Engagement Summary'!B:B,'Engagement Summary'!G:G,"Notavailable",0)</f>
        <v>5904</v>
      </c>
    </row>
    <row r="280" spans="1:26" x14ac:dyDescent="0.3">
      <c r="A280" t="s">
        <v>491</v>
      </c>
      <c r="B280" t="s">
        <v>43</v>
      </c>
      <c r="C280" s="4">
        <v>45775</v>
      </c>
      <c r="D280" t="s">
        <v>45</v>
      </c>
      <c r="E280" t="s">
        <v>46</v>
      </c>
      <c r="F280">
        <v>2089</v>
      </c>
      <c r="G280">
        <v>476</v>
      </c>
      <c r="H280">
        <v>69</v>
      </c>
      <c r="I280">
        <v>16712</v>
      </c>
      <c r="J280">
        <v>16309</v>
      </c>
      <c r="K280">
        <v>64</v>
      </c>
      <c r="L280" t="s">
        <v>62</v>
      </c>
      <c r="M280" t="s">
        <v>31</v>
      </c>
      <c r="N280" s="4">
        <v>45651</v>
      </c>
      <c r="O280" s="4">
        <v>45667</v>
      </c>
      <c r="P280" t="s">
        <v>637</v>
      </c>
      <c r="Q280">
        <f>Table1_2[[#This Row],[Likes]]+Table1_2[[#This Row],[Shares]]+Table1_2[[#This Row],[Comments]]</f>
        <v>2634</v>
      </c>
      <c r="R280" s="12">
        <f>(Table1_2[[#This Row],[Likes]]+Table1_2[[#This Row],[Shares]]+Table1_2[[#This Row],[Comments]])/Table1_2[[#This Row],[Impressions]]</f>
        <v>0.15761129727142173</v>
      </c>
      <c r="S280" s="4">
        <f>_xlfn.XLOOKUP(Table1_2[[#This Row],[Campaign_Name]],'Campaign Metadata'!A:A,'Campaign Metadata'!B:B,"not found",0)</f>
        <v>45651</v>
      </c>
      <c r="T280" s="4">
        <f>_xlfn.XLOOKUP(Table1_2[[#This Row],[Campaign_Name]],'Campaign Metadata'!A:A,'Campaign Metadata'!C:C,"not found",0)</f>
        <v>45667</v>
      </c>
      <c r="U280" t="str">
        <f>IF(AND(Table1_2[[#This Row],[Date]]&gt;=Table1_2[[#This Row],[Campaign Start Date2]],Table1_2[[#This Row],[Date]]&lt;=Table1_2[[#This Row],[Campaign End Date3]]),"During Campaign","Before Campaign")</f>
        <v>Before Campaign</v>
      </c>
      <c r="V280" s="30">
        <f>_xlfn.XLOOKUP(Table1_2[[#This Row],[Campaign_Name]],'Campaign Metadata'!A:A,'Campaign Metadata'!E:E,"Not Available",0)</f>
        <v>250000</v>
      </c>
      <c r="W280">
        <f>Table1_2[[#This Row],[Engagement]]/Table1_2[[#This Row],[Campaign Budget]]</f>
        <v>1.0536E-2</v>
      </c>
      <c r="X280">
        <f>_xlfn.XLOOKUP(Table1_2[[#This Row],[Platform]],'Engagement Summary'!B:B,'Engagement Summary'!H:H,"Not Available",0)</f>
        <v>1002</v>
      </c>
      <c r="Y280">
        <f>WEEKNUM(Table1_2[[#This Row],[Date]])</f>
        <v>18</v>
      </c>
      <c r="Z280">
        <f>_xlfn.XLOOKUP(Table1_2[[#This Row],[Platform]],'Engagement Summary'!B:B,'Engagement Summary'!G:G,"Notavailable",0)</f>
        <v>9566</v>
      </c>
    </row>
    <row r="281" spans="1:26" x14ac:dyDescent="0.3">
      <c r="A281" t="s">
        <v>492</v>
      </c>
      <c r="B281" t="s">
        <v>14</v>
      </c>
      <c r="C281" s="4">
        <v>45507</v>
      </c>
      <c r="D281" t="s">
        <v>16</v>
      </c>
      <c r="E281" t="s">
        <v>17</v>
      </c>
      <c r="F281">
        <v>3791</v>
      </c>
      <c r="G281">
        <v>593</v>
      </c>
      <c r="H281">
        <v>228</v>
      </c>
      <c r="I281">
        <v>53074</v>
      </c>
      <c r="J281">
        <v>52613</v>
      </c>
      <c r="K281">
        <v>205</v>
      </c>
      <c r="L281" t="s">
        <v>37</v>
      </c>
      <c r="M281" t="s">
        <v>617</v>
      </c>
      <c r="N281" s="4">
        <v>0</v>
      </c>
      <c r="O281" s="4">
        <v>0</v>
      </c>
      <c r="P281" t="s">
        <v>637</v>
      </c>
      <c r="Q281">
        <f>Table1_2[[#This Row],[Likes]]+Table1_2[[#This Row],[Shares]]+Table1_2[[#This Row],[Comments]]</f>
        <v>4612</v>
      </c>
      <c r="R281" s="12">
        <f>(Table1_2[[#This Row],[Likes]]+Table1_2[[#This Row],[Shares]]+Table1_2[[#This Row],[Comments]])/Table1_2[[#This Row],[Impressions]]</f>
        <v>8.6897539284772202E-2</v>
      </c>
      <c r="S281" s="4" t="str">
        <f>_xlfn.XLOOKUP(Table1_2[[#This Row],[Campaign_Name]],'Campaign Metadata'!A:A,'Campaign Metadata'!B:B,"not found",0)</f>
        <v>not found</v>
      </c>
      <c r="T281" s="4" t="str">
        <f>_xlfn.XLOOKUP(Table1_2[[#This Row],[Campaign_Name]],'Campaign Metadata'!A:A,'Campaign Metadata'!C:C,"not found",0)</f>
        <v>not found</v>
      </c>
      <c r="U281" t="str">
        <f>IF(AND(Table1_2[[#This Row],[Date]]&gt;=Table1_2[[#This Row],[Campaign Start Date2]],Table1_2[[#This Row],[Date]]&lt;=Table1_2[[#This Row],[Campaign End Date3]]),"During Campaign","Before Campaign")</f>
        <v>Before Campaign</v>
      </c>
      <c r="V281" s="30" t="str">
        <f>_xlfn.XLOOKUP(Table1_2[[#This Row],[Campaign_Name]],'Campaign Metadata'!A:A,'Campaign Metadata'!E:E,"Not Available",0)</f>
        <v>Not Available</v>
      </c>
      <c r="W281" t="e">
        <f>Table1_2[[#This Row],[Engagement]]/Table1_2[[#This Row],[Campaign Budget]]</f>
        <v>#VALUE!</v>
      </c>
      <c r="X281">
        <f>_xlfn.XLOOKUP(Table1_2[[#This Row],[Platform]],'Engagement Summary'!B:B,'Engagement Summary'!H:H,"Not Available",0)</f>
        <v>415</v>
      </c>
      <c r="Y281">
        <f>WEEKNUM(Table1_2[[#This Row],[Date]])</f>
        <v>31</v>
      </c>
      <c r="Z281">
        <f>_xlfn.XLOOKUP(Table1_2[[#This Row],[Platform]],'Engagement Summary'!B:B,'Engagement Summary'!G:G,"Notavailable",0)</f>
        <v>26752</v>
      </c>
    </row>
    <row r="282" spans="1:26" x14ac:dyDescent="0.3">
      <c r="A282" t="s">
        <v>494</v>
      </c>
      <c r="B282" t="s">
        <v>14</v>
      </c>
      <c r="C282" s="4">
        <v>45671</v>
      </c>
      <c r="D282" t="s">
        <v>52</v>
      </c>
      <c r="E282" t="s">
        <v>132</v>
      </c>
      <c r="F282">
        <v>2692</v>
      </c>
      <c r="G282">
        <v>115</v>
      </c>
      <c r="H282">
        <v>64</v>
      </c>
      <c r="I282">
        <v>21536</v>
      </c>
      <c r="J282">
        <v>21120</v>
      </c>
      <c r="K282">
        <v>224</v>
      </c>
      <c r="L282" t="s">
        <v>62</v>
      </c>
      <c r="M282" t="s">
        <v>25</v>
      </c>
      <c r="N282" s="4">
        <v>45566</v>
      </c>
      <c r="O282" s="4">
        <v>45596</v>
      </c>
      <c r="P282" t="s">
        <v>637</v>
      </c>
      <c r="Q282">
        <f>Table1_2[[#This Row],[Likes]]+Table1_2[[#This Row],[Shares]]+Table1_2[[#This Row],[Comments]]</f>
        <v>2871</v>
      </c>
      <c r="R282" s="12">
        <f>(Table1_2[[#This Row],[Likes]]+Table1_2[[#This Row],[Shares]]+Table1_2[[#This Row],[Comments]])/Table1_2[[#This Row],[Impressions]]</f>
        <v>0.13331166419019316</v>
      </c>
      <c r="S282" s="4">
        <f>_xlfn.XLOOKUP(Table1_2[[#This Row],[Campaign_Name]],'Campaign Metadata'!A:A,'Campaign Metadata'!B:B,"not found",0)</f>
        <v>45566</v>
      </c>
      <c r="T282" s="4">
        <f>_xlfn.XLOOKUP(Table1_2[[#This Row],[Campaign_Name]],'Campaign Metadata'!A:A,'Campaign Metadata'!C:C,"not found",0)</f>
        <v>45596</v>
      </c>
      <c r="U282" t="str">
        <f>IF(AND(Table1_2[[#This Row],[Date]]&gt;=Table1_2[[#This Row],[Campaign Start Date2]],Table1_2[[#This Row],[Date]]&lt;=Table1_2[[#This Row],[Campaign End Date3]]),"During Campaign","Before Campaign")</f>
        <v>Before Campaign</v>
      </c>
      <c r="V282" s="30">
        <f>_xlfn.XLOOKUP(Table1_2[[#This Row],[Campaign_Name]],'Campaign Metadata'!A:A,'Campaign Metadata'!E:E,"Not Available",0)</f>
        <v>200000</v>
      </c>
      <c r="W282">
        <f>Table1_2[[#This Row],[Engagement]]/Table1_2[[#This Row],[Campaign Budget]]</f>
        <v>1.4355E-2</v>
      </c>
      <c r="X282">
        <f>_xlfn.XLOOKUP(Table1_2[[#This Row],[Platform]],'Engagement Summary'!B:B,'Engagement Summary'!H:H,"Not Available",0)</f>
        <v>415</v>
      </c>
      <c r="Y282">
        <f>WEEKNUM(Table1_2[[#This Row],[Date]])</f>
        <v>3</v>
      </c>
      <c r="Z282">
        <f>_xlfn.XLOOKUP(Table1_2[[#This Row],[Platform]],'Engagement Summary'!B:B,'Engagement Summary'!G:G,"Notavailable",0)</f>
        <v>26752</v>
      </c>
    </row>
    <row r="283" spans="1:26" x14ac:dyDescent="0.3">
      <c r="A283" t="s">
        <v>496</v>
      </c>
      <c r="B283" t="s">
        <v>43</v>
      </c>
      <c r="C283" s="4">
        <v>45750</v>
      </c>
      <c r="D283" t="s">
        <v>35</v>
      </c>
      <c r="E283" t="s">
        <v>71</v>
      </c>
      <c r="F283">
        <v>3767</v>
      </c>
      <c r="G283">
        <v>514</v>
      </c>
      <c r="H283">
        <v>238</v>
      </c>
      <c r="I283">
        <v>37670</v>
      </c>
      <c r="J283">
        <v>36807</v>
      </c>
      <c r="K283">
        <v>226</v>
      </c>
      <c r="L283" t="s">
        <v>62</v>
      </c>
      <c r="M283" t="s">
        <v>38</v>
      </c>
      <c r="N283" s="4">
        <v>45717</v>
      </c>
      <c r="O283" s="4">
        <v>45747</v>
      </c>
      <c r="P283" t="s">
        <v>637</v>
      </c>
      <c r="Q283">
        <f>Table1_2[[#This Row],[Likes]]+Table1_2[[#This Row],[Shares]]+Table1_2[[#This Row],[Comments]]</f>
        <v>4519</v>
      </c>
      <c r="R283" s="12">
        <f>(Table1_2[[#This Row],[Likes]]+Table1_2[[#This Row],[Shares]]+Table1_2[[#This Row],[Comments]])/Table1_2[[#This Row],[Impressions]]</f>
        <v>0.11996283514733209</v>
      </c>
      <c r="S283" s="4">
        <f>_xlfn.XLOOKUP(Table1_2[[#This Row],[Campaign_Name]],'Campaign Metadata'!A:A,'Campaign Metadata'!B:B,"not found",0)</f>
        <v>45717</v>
      </c>
      <c r="T283" s="4">
        <f>_xlfn.XLOOKUP(Table1_2[[#This Row],[Campaign_Name]],'Campaign Metadata'!A:A,'Campaign Metadata'!C:C,"not found",0)</f>
        <v>45747</v>
      </c>
      <c r="U283" t="str">
        <f>IF(AND(Table1_2[[#This Row],[Date]]&gt;=Table1_2[[#This Row],[Campaign Start Date2]],Table1_2[[#This Row],[Date]]&lt;=Table1_2[[#This Row],[Campaign End Date3]]),"During Campaign","Before Campaign")</f>
        <v>Before Campaign</v>
      </c>
      <c r="V283" s="30">
        <f>_xlfn.XLOOKUP(Table1_2[[#This Row],[Campaign_Name]],'Campaign Metadata'!A:A,'Campaign Metadata'!E:E,"Not Available",0)</f>
        <v>180000</v>
      </c>
      <c r="W283">
        <f>Table1_2[[#This Row],[Engagement]]/Table1_2[[#This Row],[Campaign Budget]]</f>
        <v>2.5105555555555555E-2</v>
      </c>
      <c r="X283">
        <f>_xlfn.XLOOKUP(Table1_2[[#This Row],[Platform]],'Engagement Summary'!B:B,'Engagement Summary'!H:H,"Not Available",0)</f>
        <v>1002</v>
      </c>
      <c r="Y283">
        <f>WEEKNUM(Table1_2[[#This Row],[Date]])</f>
        <v>14</v>
      </c>
      <c r="Z283">
        <f>_xlfn.XLOOKUP(Table1_2[[#This Row],[Platform]],'Engagement Summary'!B:B,'Engagement Summary'!G:G,"Notavailable",0)</f>
        <v>9566</v>
      </c>
    </row>
    <row r="284" spans="1:26" x14ac:dyDescent="0.3">
      <c r="A284" t="s">
        <v>497</v>
      </c>
      <c r="B284" t="s">
        <v>27</v>
      </c>
      <c r="C284" s="4">
        <v>45553</v>
      </c>
      <c r="D284" t="s">
        <v>45</v>
      </c>
      <c r="E284" t="s">
        <v>68</v>
      </c>
      <c r="F284">
        <v>2143</v>
      </c>
      <c r="G284">
        <v>12</v>
      </c>
      <c r="H284">
        <v>204</v>
      </c>
      <c r="I284">
        <v>40717</v>
      </c>
      <c r="J284">
        <v>40125</v>
      </c>
      <c r="K284">
        <v>248</v>
      </c>
      <c r="L284" t="s">
        <v>37</v>
      </c>
      <c r="M284" t="s">
        <v>25</v>
      </c>
      <c r="N284" s="4">
        <v>45566</v>
      </c>
      <c r="O284" s="4">
        <v>45596</v>
      </c>
      <c r="P284" t="s">
        <v>637</v>
      </c>
      <c r="Q284">
        <f>Table1_2[[#This Row],[Likes]]+Table1_2[[#This Row],[Shares]]+Table1_2[[#This Row],[Comments]]</f>
        <v>2359</v>
      </c>
      <c r="R284" s="12">
        <f>(Table1_2[[#This Row],[Likes]]+Table1_2[[#This Row],[Shares]]+Table1_2[[#This Row],[Comments]])/Table1_2[[#This Row],[Impressions]]</f>
        <v>5.7936488444630008E-2</v>
      </c>
      <c r="S284" s="4">
        <f>_xlfn.XLOOKUP(Table1_2[[#This Row],[Campaign_Name]],'Campaign Metadata'!A:A,'Campaign Metadata'!B:B,"not found",0)</f>
        <v>45566</v>
      </c>
      <c r="T284" s="4">
        <f>_xlfn.XLOOKUP(Table1_2[[#This Row],[Campaign_Name]],'Campaign Metadata'!A:A,'Campaign Metadata'!C:C,"not found",0)</f>
        <v>45596</v>
      </c>
      <c r="U284" t="str">
        <f>IF(AND(Table1_2[[#This Row],[Date]]&gt;=Table1_2[[#This Row],[Campaign Start Date2]],Table1_2[[#This Row],[Date]]&lt;=Table1_2[[#This Row],[Campaign End Date3]]),"During Campaign","Before Campaign")</f>
        <v>Before Campaign</v>
      </c>
      <c r="V284" s="30">
        <f>_xlfn.XLOOKUP(Table1_2[[#This Row],[Campaign_Name]],'Campaign Metadata'!A:A,'Campaign Metadata'!E:E,"Not Available",0)</f>
        <v>200000</v>
      </c>
      <c r="W284">
        <f>Table1_2[[#This Row],[Engagement]]/Table1_2[[#This Row],[Campaign Budget]]</f>
        <v>1.1795E-2</v>
      </c>
      <c r="X284">
        <f>_xlfn.XLOOKUP(Table1_2[[#This Row],[Platform]],'Engagement Summary'!B:B,'Engagement Summary'!H:H,"Not Available",0)</f>
        <v>1090</v>
      </c>
      <c r="Y284">
        <f>WEEKNUM(Table1_2[[#This Row],[Date]])</f>
        <v>38</v>
      </c>
      <c r="Z284">
        <f>_xlfn.XLOOKUP(Table1_2[[#This Row],[Platform]],'Engagement Summary'!B:B,'Engagement Summary'!G:G,"Notavailable",0)</f>
        <v>30671</v>
      </c>
    </row>
    <row r="285" spans="1:26" x14ac:dyDescent="0.3">
      <c r="A285" t="s">
        <v>498</v>
      </c>
      <c r="B285" t="s">
        <v>43</v>
      </c>
      <c r="C285" s="4">
        <v>45753</v>
      </c>
      <c r="D285" t="s">
        <v>52</v>
      </c>
      <c r="E285" t="s">
        <v>59</v>
      </c>
      <c r="F285">
        <v>3090</v>
      </c>
      <c r="G285">
        <v>697</v>
      </c>
      <c r="H285">
        <v>164</v>
      </c>
      <c r="I285">
        <v>49440</v>
      </c>
      <c r="J285">
        <v>48524</v>
      </c>
      <c r="K285">
        <v>25</v>
      </c>
      <c r="L285" t="s">
        <v>37</v>
      </c>
      <c r="M285" t="s">
        <v>25</v>
      </c>
      <c r="N285" s="4">
        <v>45566</v>
      </c>
      <c r="O285" s="4">
        <v>45596</v>
      </c>
      <c r="P285" t="s">
        <v>637</v>
      </c>
      <c r="Q285">
        <f>Table1_2[[#This Row],[Likes]]+Table1_2[[#This Row],[Shares]]+Table1_2[[#This Row],[Comments]]</f>
        <v>3951</v>
      </c>
      <c r="R285" s="12">
        <f>(Table1_2[[#This Row],[Likes]]+Table1_2[[#This Row],[Shares]]+Table1_2[[#This Row],[Comments]])/Table1_2[[#This Row],[Impressions]]</f>
        <v>7.9915048543689318E-2</v>
      </c>
      <c r="S285" s="4">
        <f>_xlfn.XLOOKUP(Table1_2[[#This Row],[Campaign_Name]],'Campaign Metadata'!A:A,'Campaign Metadata'!B:B,"not found",0)</f>
        <v>45566</v>
      </c>
      <c r="T285" s="4">
        <f>_xlfn.XLOOKUP(Table1_2[[#This Row],[Campaign_Name]],'Campaign Metadata'!A:A,'Campaign Metadata'!C:C,"not found",0)</f>
        <v>45596</v>
      </c>
      <c r="U285" t="str">
        <f>IF(AND(Table1_2[[#This Row],[Date]]&gt;=Table1_2[[#This Row],[Campaign Start Date2]],Table1_2[[#This Row],[Date]]&lt;=Table1_2[[#This Row],[Campaign End Date3]]),"During Campaign","Before Campaign")</f>
        <v>Before Campaign</v>
      </c>
      <c r="V285" s="30">
        <f>_xlfn.XLOOKUP(Table1_2[[#This Row],[Campaign_Name]],'Campaign Metadata'!A:A,'Campaign Metadata'!E:E,"Not Available",0)</f>
        <v>200000</v>
      </c>
      <c r="W285">
        <f>Table1_2[[#This Row],[Engagement]]/Table1_2[[#This Row],[Campaign Budget]]</f>
        <v>1.9755000000000002E-2</v>
      </c>
      <c r="X285">
        <f>_xlfn.XLOOKUP(Table1_2[[#This Row],[Platform]],'Engagement Summary'!B:B,'Engagement Summary'!H:H,"Not Available",0)</f>
        <v>1002</v>
      </c>
      <c r="Y285">
        <f>WEEKNUM(Table1_2[[#This Row],[Date]])</f>
        <v>15</v>
      </c>
      <c r="Z285">
        <f>_xlfn.XLOOKUP(Table1_2[[#This Row],[Platform]],'Engagement Summary'!B:B,'Engagement Summary'!G:G,"Notavailable",0)</f>
        <v>9566</v>
      </c>
    </row>
    <row r="286" spans="1:26" x14ac:dyDescent="0.3">
      <c r="A286" t="s">
        <v>498</v>
      </c>
      <c r="B286" t="s">
        <v>43</v>
      </c>
      <c r="C286" s="4">
        <v>45753</v>
      </c>
      <c r="D286" t="s">
        <v>52</v>
      </c>
      <c r="E286" t="s">
        <v>59</v>
      </c>
      <c r="F286">
        <v>3090</v>
      </c>
      <c r="G286">
        <v>697</v>
      </c>
      <c r="H286">
        <v>164</v>
      </c>
      <c r="I286">
        <v>49440</v>
      </c>
      <c r="J286">
        <v>48524</v>
      </c>
      <c r="K286">
        <v>25</v>
      </c>
      <c r="L286" t="s">
        <v>37</v>
      </c>
      <c r="M286" t="s">
        <v>25</v>
      </c>
      <c r="N286" s="4">
        <v>45566</v>
      </c>
      <c r="O286" s="4">
        <v>45596</v>
      </c>
      <c r="P286" t="s">
        <v>637</v>
      </c>
      <c r="Q286">
        <f>Table1_2[[#This Row],[Likes]]+Table1_2[[#This Row],[Shares]]+Table1_2[[#This Row],[Comments]]</f>
        <v>3951</v>
      </c>
      <c r="R286" s="12">
        <f>(Table1_2[[#This Row],[Likes]]+Table1_2[[#This Row],[Shares]]+Table1_2[[#This Row],[Comments]])/Table1_2[[#This Row],[Impressions]]</f>
        <v>7.9915048543689318E-2</v>
      </c>
      <c r="S286" s="4">
        <f>_xlfn.XLOOKUP(Table1_2[[#This Row],[Campaign_Name]],'Campaign Metadata'!A:A,'Campaign Metadata'!B:B,"not found",0)</f>
        <v>45566</v>
      </c>
      <c r="T286" s="4">
        <f>_xlfn.XLOOKUP(Table1_2[[#This Row],[Campaign_Name]],'Campaign Metadata'!A:A,'Campaign Metadata'!C:C,"not found",0)</f>
        <v>45596</v>
      </c>
      <c r="U286" t="str">
        <f>IF(AND(Table1_2[[#This Row],[Date]]&gt;=Table1_2[[#This Row],[Campaign Start Date2]],Table1_2[[#This Row],[Date]]&lt;=Table1_2[[#This Row],[Campaign End Date3]]),"During Campaign","Before Campaign")</f>
        <v>Before Campaign</v>
      </c>
      <c r="V286" s="30">
        <f>_xlfn.XLOOKUP(Table1_2[[#This Row],[Campaign_Name]],'Campaign Metadata'!A:A,'Campaign Metadata'!E:E,"Not Available",0)</f>
        <v>200000</v>
      </c>
      <c r="W286">
        <f>Table1_2[[#This Row],[Engagement]]/Table1_2[[#This Row],[Campaign Budget]]</f>
        <v>1.9755000000000002E-2</v>
      </c>
      <c r="X286">
        <f>_xlfn.XLOOKUP(Table1_2[[#This Row],[Platform]],'Engagement Summary'!B:B,'Engagement Summary'!H:H,"Not Available",0)</f>
        <v>1002</v>
      </c>
      <c r="Y286">
        <f>WEEKNUM(Table1_2[[#This Row],[Date]])</f>
        <v>15</v>
      </c>
      <c r="Z286">
        <f>_xlfn.XLOOKUP(Table1_2[[#This Row],[Platform]],'Engagement Summary'!B:B,'Engagement Summary'!G:G,"Notavailable",0)</f>
        <v>9566</v>
      </c>
    </row>
    <row r="287" spans="1:26" x14ac:dyDescent="0.3">
      <c r="A287" t="s">
        <v>498</v>
      </c>
      <c r="B287" t="s">
        <v>43</v>
      </c>
      <c r="C287" s="4">
        <v>45753</v>
      </c>
      <c r="D287" t="s">
        <v>52</v>
      </c>
      <c r="E287" t="s">
        <v>59</v>
      </c>
      <c r="F287">
        <v>3090</v>
      </c>
      <c r="G287">
        <v>697</v>
      </c>
      <c r="H287">
        <v>164</v>
      </c>
      <c r="I287">
        <v>49440</v>
      </c>
      <c r="J287">
        <v>48524</v>
      </c>
      <c r="K287">
        <v>25</v>
      </c>
      <c r="L287" t="s">
        <v>616</v>
      </c>
      <c r="M287" t="s">
        <v>25</v>
      </c>
      <c r="N287" s="4">
        <v>45566</v>
      </c>
      <c r="O287" s="4">
        <v>45596</v>
      </c>
      <c r="P287" t="s">
        <v>637</v>
      </c>
      <c r="Q287">
        <f>Table1_2[[#This Row],[Likes]]+Table1_2[[#This Row],[Shares]]+Table1_2[[#This Row],[Comments]]</f>
        <v>3951</v>
      </c>
      <c r="R287" s="12">
        <f>(Table1_2[[#This Row],[Likes]]+Table1_2[[#This Row],[Shares]]+Table1_2[[#This Row],[Comments]])/Table1_2[[#This Row],[Impressions]]</f>
        <v>7.9915048543689318E-2</v>
      </c>
      <c r="S287" s="4">
        <f>_xlfn.XLOOKUP(Table1_2[[#This Row],[Campaign_Name]],'Campaign Metadata'!A:A,'Campaign Metadata'!B:B,"not found",0)</f>
        <v>45566</v>
      </c>
      <c r="T287" s="4">
        <f>_xlfn.XLOOKUP(Table1_2[[#This Row],[Campaign_Name]],'Campaign Metadata'!A:A,'Campaign Metadata'!C:C,"not found",0)</f>
        <v>45596</v>
      </c>
      <c r="U287" t="str">
        <f>IF(AND(Table1_2[[#This Row],[Date]]&gt;=Table1_2[[#This Row],[Campaign Start Date2]],Table1_2[[#This Row],[Date]]&lt;=Table1_2[[#This Row],[Campaign End Date3]]),"During Campaign","Before Campaign")</f>
        <v>Before Campaign</v>
      </c>
      <c r="V287" s="30">
        <f>_xlfn.XLOOKUP(Table1_2[[#This Row],[Campaign_Name]],'Campaign Metadata'!A:A,'Campaign Metadata'!E:E,"Not Available",0)</f>
        <v>200000</v>
      </c>
      <c r="W287">
        <f>Table1_2[[#This Row],[Engagement]]/Table1_2[[#This Row],[Campaign Budget]]</f>
        <v>1.9755000000000002E-2</v>
      </c>
      <c r="X287">
        <f>_xlfn.XLOOKUP(Table1_2[[#This Row],[Platform]],'Engagement Summary'!B:B,'Engagement Summary'!H:H,"Not Available",0)</f>
        <v>1002</v>
      </c>
      <c r="Y287">
        <f>WEEKNUM(Table1_2[[#This Row],[Date]])</f>
        <v>15</v>
      </c>
      <c r="Z287">
        <f>_xlfn.XLOOKUP(Table1_2[[#This Row],[Platform]],'Engagement Summary'!B:B,'Engagement Summary'!G:G,"Notavailable",0)</f>
        <v>9566</v>
      </c>
    </row>
    <row r="288" spans="1:26" x14ac:dyDescent="0.3">
      <c r="A288" t="s">
        <v>500</v>
      </c>
      <c r="B288" t="s">
        <v>33</v>
      </c>
      <c r="C288" s="4">
        <v>45509</v>
      </c>
      <c r="D288" t="s">
        <v>35</v>
      </c>
      <c r="E288" t="s">
        <v>36</v>
      </c>
      <c r="F288">
        <v>3601</v>
      </c>
      <c r="G288">
        <v>695</v>
      </c>
      <c r="H288">
        <v>75</v>
      </c>
      <c r="I288">
        <v>21606</v>
      </c>
      <c r="J288">
        <v>21454</v>
      </c>
      <c r="K288">
        <v>172</v>
      </c>
      <c r="L288" t="s">
        <v>37</v>
      </c>
      <c r="M288" t="s">
        <v>25</v>
      </c>
      <c r="N288" s="4">
        <v>45566</v>
      </c>
      <c r="O288" s="4">
        <v>45596</v>
      </c>
      <c r="P288" t="s">
        <v>637</v>
      </c>
      <c r="Q288">
        <f>Table1_2[[#This Row],[Likes]]+Table1_2[[#This Row],[Shares]]+Table1_2[[#This Row],[Comments]]</f>
        <v>4371</v>
      </c>
      <c r="R288" s="12">
        <f>(Table1_2[[#This Row],[Likes]]+Table1_2[[#This Row],[Shares]]+Table1_2[[#This Row],[Comments]])/Table1_2[[#This Row],[Impressions]]</f>
        <v>0.2023049153013052</v>
      </c>
      <c r="S288" s="4">
        <f>_xlfn.XLOOKUP(Table1_2[[#This Row],[Campaign_Name]],'Campaign Metadata'!A:A,'Campaign Metadata'!B:B,"not found",0)</f>
        <v>45566</v>
      </c>
      <c r="T288" s="4">
        <f>_xlfn.XLOOKUP(Table1_2[[#This Row],[Campaign_Name]],'Campaign Metadata'!A:A,'Campaign Metadata'!C:C,"not found",0)</f>
        <v>45596</v>
      </c>
      <c r="U288" t="str">
        <f>IF(AND(Table1_2[[#This Row],[Date]]&gt;=Table1_2[[#This Row],[Campaign Start Date2]],Table1_2[[#This Row],[Date]]&lt;=Table1_2[[#This Row],[Campaign End Date3]]),"During Campaign","Before Campaign")</f>
        <v>Before Campaign</v>
      </c>
      <c r="V288" s="30">
        <f>_xlfn.XLOOKUP(Table1_2[[#This Row],[Campaign_Name]],'Campaign Metadata'!A:A,'Campaign Metadata'!E:E,"Not Available",0)</f>
        <v>200000</v>
      </c>
      <c r="W288">
        <f>Table1_2[[#This Row],[Engagement]]/Table1_2[[#This Row],[Campaign Budget]]</f>
        <v>2.1854999999999999E-2</v>
      </c>
      <c r="X288">
        <f>_xlfn.XLOOKUP(Table1_2[[#This Row],[Platform]],'Engagement Summary'!B:B,'Engagement Summary'!H:H,"Not Available",0)</f>
        <v>1047</v>
      </c>
      <c r="Y288">
        <f>WEEKNUM(Table1_2[[#This Row],[Date]])</f>
        <v>32</v>
      </c>
      <c r="Z288">
        <f>_xlfn.XLOOKUP(Table1_2[[#This Row],[Platform]],'Engagement Summary'!B:B,'Engagement Summary'!G:G,"Notavailable",0)</f>
        <v>5904</v>
      </c>
    </row>
    <row r="289" spans="1:26" x14ac:dyDescent="0.3">
      <c r="A289" t="s">
        <v>502</v>
      </c>
      <c r="B289" t="s">
        <v>43</v>
      </c>
      <c r="C289" s="4">
        <v>45698</v>
      </c>
      <c r="D289" t="s">
        <v>22</v>
      </c>
      <c r="E289" t="s">
        <v>56</v>
      </c>
      <c r="F289">
        <v>562</v>
      </c>
      <c r="G289">
        <v>158</v>
      </c>
      <c r="H289">
        <v>149</v>
      </c>
      <c r="I289">
        <v>3372</v>
      </c>
      <c r="J289">
        <v>2940</v>
      </c>
      <c r="K289">
        <v>93</v>
      </c>
      <c r="L289" t="s">
        <v>30</v>
      </c>
      <c r="M289" t="s">
        <v>19</v>
      </c>
      <c r="N289" s="4">
        <v>45458</v>
      </c>
      <c r="O289" s="4">
        <v>45488</v>
      </c>
      <c r="P289" t="s">
        <v>637</v>
      </c>
      <c r="Q289">
        <f>Table1_2[[#This Row],[Likes]]+Table1_2[[#This Row],[Shares]]+Table1_2[[#This Row],[Comments]]</f>
        <v>869</v>
      </c>
      <c r="R289" s="12">
        <f>(Table1_2[[#This Row],[Likes]]+Table1_2[[#This Row],[Shares]]+Table1_2[[#This Row],[Comments]])/Table1_2[[#This Row],[Impressions]]</f>
        <v>0.25771055753262156</v>
      </c>
      <c r="S289" s="4">
        <f>_xlfn.XLOOKUP(Table1_2[[#This Row],[Campaign_Name]],'Campaign Metadata'!A:A,'Campaign Metadata'!B:B,"not found",0)</f>
        <v>45458</v>
      </c>
      <c r="T289" s="4">
        <f>_xlfn.XLOOKUP(Table1_2[[#This Row],[Campaign_Name]],'Campaign Metadata'!A:A,'Campaign Metadata'!C:C,"not found",0)</f>
        <v>45488</v>
      </c>
      <c r="U289" t="str">
        <f>IF(AND(Table1_2[[#This Row],[Date]]&gt;=Table1_2[[#This Row],[Campaign Start Date2]],Table1_2[[#This Row],[Date]]&lt;=Table1_2[[#This Row],[Campaign End Date3]]),"During Campaign","Before Campaign")</f>
        <v>Before Campaign</v>
      </c>
      <c r="V289" s="30">
        <f>_xlfn.XLOOKUP(Table1_2[[#This Row],[Campaign_Name]],'Campaign Metadata'!A:A,'Campaign Metadata'!E:E,"Not Available",0)</f>
        <v>150000</v>
      </c>
      <c r="W289">
        <f>Table1_2[[#This Row],[Engagement]]/Table1_2[[#This Row],[Campaign Budget]]</f>
        <v>5.7933333333333335E-3</v>
      </c>
      <c r="X289">
        <f>_xlfn.XLOOKUP(Table1_2[[#This Row],[Platform]],'Engagement Summary'!B:B,'Engagement Summary'!H:H,"Not Available",0)</f>
        <v>1002</v>
      </c>
      <c r="Y289">
        <f>WEEKNUM(Table1_2[[#This Row],[Date]])</f>
        <v>7</v>
      </c>
      <c r="Z289">
        <f>_xlfn.XLOOKUP(Table1_2[[#This Row],[Platform]],'Engagement Summary'!B:B,'Engagement Summary'!G:G,"Notavailable",0)</f>
        <v>9566</v>
      </c>
    </row>
    <row r="290" spans="1:26" x14ac:dyDescent="0.3">
      <c r="A290" t="s">
        <v>503</v>
      </c>
      <c r="B290" t="s">
        <v>33</v>
      </c>
      <c r="C290" s="4">
        <v>45700</v>
      </c>
      <c r="D290" t="s">
        <v>35</v>
      </c>
      <c r="E290" t="s">
        <v>36</v>
      </c>
      <c r="F290">
        <v>4332</v>
      </c>
      <c r="G290">
        <v>771</v>
      </c>
      <c r="H290">
        <v>219</v>
      </c>
      <c r="I290">
        <v>60648</v>
      </c>
      <c r="J290">
        <v>60397</v>
      </c>
      <c r="K290">
        <v>10</v>
      </c>
      <c r="L290" t="s">
        <v>30</v>
      </c>
      <c r="M290" t="s">
        <v>31</v>
      </c>
      <c r="N290" s="4">
        <v>45651</v>
      </c>
      <c r="O290" s="4">
        <v>45667</v>
      </c>
      <c r="P290" t="s">
        <v>637</v>
      </c>
      <c r="Q290">
        <f>Table1_2[[#This Row],[Likes]]+Table1_2[[#This Row],[Shares]]+Table1_2[[#This Row],[Comments]]</f>
        <v>5322</v>
      </c>
      <c r="R290" s="12">
        <f>(Table1_2[[#This Row],[Likes]]+Table1_2[[#This Row],[Shares]]+Table1_2[[#This Row],[Comments]])/Table1_2[[#This Row],[Impressions]]</f>
        <v>8.7752275425405618E-2</v>
      </c>
      <c r="S290" s="4">
        <f>_xlfn.XLOOKUP(Table1_2[[#This Row],[Campaign_Name]],'Campaign Metadata'!A:A,'Campaign Metadata'!B:B,"not found",0)</f>
        <v>45651</v>
      </c>
      <c r="T290" s="4">
        <f>_xlfn.XLOOKUP(Table1_2[[#This Row],[Campaign_Name]],'Campaign Metadata'!A:A,'Campaign Metadata'!C:C,"not found",0)</f>
        <v>45667</v>
      </c>
      <c r="U290" t="str">
        <f>IF(AND(Table1_2[[#This Row],[Date]]&gt;=Table1_2[[#This Row],[Campaign Start Date2]],Table1_2[[#This Row],[Date]]&lt;=Table1_2[[#This Row],[Campaign End Date3]]),"During Campaign","Before Campaign")</f>
        <v>Before Campaign</v>
      </c>
      <c r="V290" s="30">
        <f>_xlfn.XLOOKUP(Table1_2[[#This Row],[Campaign_Name]],'Campaign Metadata'!A:A,'Campaign Metadata'!E:E,"Not Available",0)</f>
        <v>250000</v>
      </c>
      <c r="W290">
        <f>Table1_2[[#This Row],[Engagement]]/Table1_2[[#This Row],[Campaign Budget]]</f>
        <v>2.1288000000000001E-2</v>
      </c>
      <c r="X290">
        <f>_xlfn.XLOOKUP(Table1_2[[#This Row],[Platform]],'Engagement Summary'!B:B,'Engagement Summary'!H:H,"Not Available",0)</f>
        <v>1047</v>
      </c>
      <c r="Y290">
        <f>WEEKNUM(Table1_2[[#This Row],[Date]])</f>
        <v>7</v>
      </c>
      <c r="Z290">
        <f>_xlfn.XLOOKUP(Table1_2[[#This Row],[Platform]],'Engagement Summary'!B:B,'Engagement Summary'!G:G,"Notavailable",0)</f>
        <v>5904</v>
      </c>
    </row>
    <row r="291" spans="1:26" x14ac:dyDescent="0.3">
      <c r="A291" t="s">
        <v>503</v>
      </c>
      <c r="B291" t="s">
        <v>33</v>
      </c>
      <c r="C291" s="4">
        <v>45700</v>
      </c>
      <c r="D291" t="s">
        <v>35</v>
      </c>
      <c r="E291" t="s">
        <v>36</v>
      </c>
      <c r="F291">
        <v>4332</v>
      </c>
      <c r="G291">
        <v>771</v>
      </c>
      <c r="H291">
        <v>219</v>
      </c>
      <c r="I291">
        <v>60648</v>
      </c>
      <c r="J291">
        <v>60397</v>
      </c>
      <c r="K291">
        <v>10</v>
      </c>
      <c r="L291" t="s">
        <v>37</v>
      </c>
      <c r="M291" t="s">
        <v>31</v>
      </c>
      <c r="N291" s="4">
        <v>45651</v>
      </c>
      <c r="O291" s="4">
        <v>45667</v>
      </c>
      <c r="P291" t="s">
        <v>637</v>
      </c>
      <c r="Q291">
        <f>Table1_2[[#This Row],[Likes]]+Table1_2[[#This Row],[Shares]]+Table1_2[[#This Row],[Comments]]</f>
        <v>5322</v>
      </c>
      <c r="R291" s="12">
        <f>(Table1_2[[#This Row],[Likes]]+Table1_2[[#This Row],[Shares]]+Table1_2[[#This Row],[Comments]])/Table1_2[[#This Row],[Impressions]]</f>
        <v>8.7752275425405618E-2</v>
      </c>
      <c r="S291" s="4">
        <f>_xlfn.XLOOKUP(Table1_2[[#This Row],[Campaign_Name]],'Campaign Metadata'!A:A,'Campaign Metadata'!B:B,"not found",0)</f>
        <v>45651</v>
      </c>
      <c r="T291" s="4">
        <f>_xlfn.XLOOKUP(Table1_2[[#This Row],[Campaign_Name]],'Campaign Metadata'!A:A,'Campaign Metadata'!C:C,"not found",0)</f>
        <v>45667</v>
      </c>
      <c r="U291" t="str">
        <f>IF(AND(Table1_2[[#This Row],[Date]]&gt;=Table1_2[[#This Row],[Campaign Start Date2]],Table1_2[[#This Row],[Date]]&lt;=Table1_2[[#This Row],[Campaign End Date3]]),"During Campaign","Before Campaign")</f>
        <v>Before Campaign</v>
      </c>
      <c r="V291" s="30">
        <f>_xlfn.XLOOKUP(Table1_2[[#This Row],[Campaign_Name]],'Campaign Metadata'!A:A,'Campaign Metadata'!E:E,"Not Available",0)</f>
        <v>250000</v>
      </c>
      <c r="W291">
        <f>Table1_2[[#This Row],[Engagement]]/Table1_2[[#This Row],[Campaign Budget]]</f>
        <v>2.1288000000000001E-2</v>
      </c>
      <c r="X291">
        <f>_xlfn.XLOOKUP(Table1_2[[#This Row],[Platform]],'Engagement Summary'!B:B,'Engagement Summary'!H:H,"Not Available",0)</f>
        <v>1047</v>
      </c>
      <c r="Y291">
        <f>WEEKNUM(Table1_2[[#This Row],[Date]])</f>
        <v>7</v>
      </c>
      <c r="Z291">
        <f>_xlfn.XLOOKUP(Table1_2[[#This Row],[Platform]],'Engagement Summary'!B:B,'Engagement Summary'!G:G,"Notavailable",0)</f>
        <v>5904</v>
      </c>
    </row>
    <row r="292" spans="1:26" x14ac:dyDescent="0.3">
      <c r="A292" t="s">
        <v>503</v>
      </c>
      <c r="B292" t="s">
        <v>33</v>
      </c>
      <c r="C292" s="4">
        <v>45700</v>
      </c>
      <c r="D292" t="s">
        <v>35</v>
      </c>
      <c r="E292" t="s">
        <v>36</v>
      </c>
      <c r="F292">
        <v>4332</v>
      </c>
      <c r="G292">
        <v>771</v>
      </c>
      <c r="H292">
        <v>219</v>
      </c>
      <c r="I292">
        <v>60648</v>
      </c>
      <c r="J292">
        <v>60397</v>
      </c>
      <c r="K292">
        <v>10</v>
      </c>
      <c r="L292" t="s">
        <v>616</v>
      </c>
      <c r="M292" t="s">
        <v>31</v>
      </c>
      <c r="N292" s="4">
        <v>45651</v>
      </c>
      <c r="O292" s="4">
        <v>45667</v>
      </c>
      <c r="P292" t="s">
        <v>637</v>
      </c>
      <c r="Q292">
        <f>Table1_2[[#This Row],[Likes]]+Table1_2[[#This Row],[Shares]]+Table1_2[[#This Row],[Comments]]</f>
        <v>5322</v>
      </c>
      <c r="R292" s="12">
        <f>(Table1_2[[#This Row],[Likes]]+Table1_2[[#This Row],[Shares]]+Table1_2[[#This Row],[Comments]])/Table1_2[[#This Row],[Impressions]]</f>
        <v>8.7752275425405618E-2</v>
      </c>
      <c r="S292" s="4">
        <f>_xlfn.XLOOKUP(Table1_2[[#This Row],[Campaign_Name]],'Campaign Metadata'!A:A,'Campaign Metadata'!B:B,"not found",0)</f>
        <v>45651</v>
      </c>
      <c r="T292" s="4">
        <f>_xlfn.XLOOKUP(Table1_2[[#This Row],[Campaign_Name]],'Campaign Metadata'!A:A,'Campaign Metadata'!C:C,"not found",0)</f>
        <v>45667</v>
      </c>
      <c r="U292" t="str">
        <f>IF(AND(Table1_2[[#This Row],[Date]]&gt;=Table1_2[[#This Row],[Campaign Start Date2]],Table1_2[[#This Row],[Date]]&lt;=Table1_2[[#This Row],[Campaign End Date3]]),"During Campaign","Before Campaign")</f>
        <v>Before Campaign</v>
      </c>
      <c r="V292" s="30">
        <f>_xlfn.XLOOKUP(Table1_2[[#This Row],[Campaign_Name]],'Campaign Metadata'!A:A,'Campaign Metadata'!E:E,"Not Available",0)</f>
        <v>250000</v>
      </c>
      <c r="W292">
        <f>Table1_2[[#This Row],[Engagement]]/Table1_2[[#This Row],[Campaign Budget]]</f>
        <v>2.1288000000000001E-2</v>
      </c>
      <c r="X292">
        <f>_xlfn.XLOOKUP(Table1_2[[#This Row],[Platform]],'Engagement Summary'!B:B,'Engagement Summary'!H:H,"Not Available",0)</f>
        <v>1047</v>
      </c>
      <c r="Y292">
        <f>WEEKNUM(Table1_2[[#This Row],[Date]])</f>
        <v>7</v>
      </c>
      <c r="Z292">
        <f>_xlfn.XLOOKUP(Table1_2[[#This Row],[Platform]],'Engagement Summary'!B:B,'Engagement Summary'!G:G,"Notavailable",0)</f>
        <v>5904</v>
      </c>
    </row>
    <row r="293" spans="1:26" x14ac:dyDescent="0.3">
      <c r="A293" t="s">
        <v>506</v>
      </c>
      <c r="B293" t="s">
        <v>33</v>
      </c>
      <c r="C293" s="4">
        <v>45592</v>
      </c>
      <c r="D293" t="s">
        <v>52</v>
      </c>
      <c r="E293" t="s">
        <v>215</v>
      </c>
      <c r="F293">
        <v>4853</v>
      </c>
      <c r="G293">
        <v>837</v>
      </c>
      <c r="H293">
        <v>340</v>
      </c>
      <c r="I293">
        <v>72795</v>
      </c>
      <c r="J293">
        <v>72237</v>
      </c>
      <c r="K293">
        <v>170</v>
      </c>
      <c r="L293" t="s">
        <v>37</v>
      </c>
      <c r="M293" t="s">
        <v>19</v>
      </c>
      <c r="N293" s="4">
        <v>45458</v>
      </c>
      <c r="O293" s="4">
        <v>45488</v>
      </c>
      <c r="P293" t="s">
        <v>637</v>
      </c>
      <c r="Q293">
        <f>Table1_2[[#This Row],[Likes]]+Table1_2[[#This Row],[Shares]]+Table1_2[[#This Row],[Comments]]</f>
        <v>6030</v>
      </c>
      <c r="R293" s="12">
        <f>(Table1_2[[#This Row],[Likes]]+Table1_2[[#This Row],[Shares]]+Table1_2[[#This Row],[Comments]])/Table1_2[[#This Row],[Impressions]]</f>
        <v>8.2835359571399134E-2</v>
      </c>
      <c r="S293" s="4">
        <f>_xlfn.XLOOKUP(Table1_2[[#This Row],[Campaign_Name]],'Campaign Metadata'!A:A,'Campaign Metadata'!B:B,"not found",0)</f>
        <v>45458</v>
      </c>
      <c r="T293" s="4">
        <f>_xlfn.XLOOKUP(Table1_2[[#This Row],[Campaign_Name]],'Campaign Metadata'!A:A,'Campaign Metadata'!C:C,"not found",0)</f>
        <v>45488</v>
      </c>
      <c r="U293" t="str">
        <f>IF(AND(Table1_2[[#This Row],[Date]]&gt;=Table1_2[[#This Row],[Campaign Start Date2]],Table1_2[[#This Row],[Date]]&lt;=Table1_2[[#This Row],[Campaign End Date3]]),"During Campaign","Before Campaign")</f>
        <v>Before Campaign</v>
      </c>
      <c r="V293" s="30">
        <f>_xlfn.XLOOKUP(Table1_2[[#This Row],[Campaign_Name]],'Campaign Metadata'!A:A,'Campaign Metadata'!E:E,"Not Available",0)</f>
        <v>150000</v>
      </c>
      <c r="W293">
        <f>Table1_2[[#This Row],[Engagement]]/Table1_2[[#This Row],[Campaign Budget]]</f>
        <v>4.02E-2</v>
      </c>
      <c r="X293">
        <f>_xlfn.XLOOKUP(Table1_2[[#This Row],[Platform]],'Engagement Summary'!B:B,'Engagement Summary'!H:H,"Not Available",0)</f>
        <v>1047</v>
      </c>
      <c r="Y293">
        <f>WEEKNUM(Table1_2[[#This Row],[Date]])</f>
        <v>44</v>
      </c>
      <c r="Z293">
        <f>_xlfn.XLOOKUP(Table1_2[[#This Row],[Platform]],'Engagement Summary'!B:B,'Engagement Summary'!G:G,"Notavailable",0)</f>
        <v>5904</v>
      </c>
    </row>
    <row r="294" spans="1:26" x14ac:dyDescent="0.3">
      <c r="A294" t="s">
        <v>508</v>
      </c>
      <c r="B294" t="s">
        <v>27</v>
      </c>
      <c r="C294" s="4">
        <v>45675</v>
      </c>
      <c r="D294" t="s">
        <v>52</v>
      </c>
      <c r="E294" t="s">
        <v>53</v>
      </c>
      <c r="F294">
        <v>1206</v>
      </c>
      <c r="G294">
        <v>238</v>
      </c>
      <c r="H294">
        <v>36</v>
      </c>
      <c r="I294">
        <v>9648</v>
      </c>
      <c r="J294">
        <v>9417</v>
      </c>
      <c r="K294">
        <v>237</v>
      </c>
      <c r="L294" t="s">
        <v>30</v>
      </c>
      <c r="M294" t="s">
        <v>617</v>
      </c>
      <c r="N294" s="4">
        <v>0</v>
      </c>
      <c r="O294" s="4">
        <v>0</v>
      </c>
      <c r="P294" t="s">
        <v>637</v>
      </c>
      <c r="Q294">
        <f>Table1_2[[#This Row],[Likes]]+Table1_2[[#This Row],[Shares]]+Table1_2[[#This Row],[Comments]]</f>
        <v>1480</v>
      </c>
      <c r="R294" s="12">
        <f>(Table1_2[[#This Row],[Likes]]+Table1_2[[#This Row],[Shares]]+Table1_2[[#This Row],[Comments]])/Table1_2[[#This Row],[Impressions]]</f>
        <v>0.15339966832504145</v>
      </c>
      <c r="S294" s="4" t="str">
        <f>_xlfn.XLOOKUP(Table1_2[[#This Row],[Campaign_Name]],'Campaign Metadata'!A:A,'Campaign Metadata'!B:B,"not found",0)</f>
        <v>not found</v>
      </c>
      <c r="T294" s="4" t="str">
        <f>_xlfn.XLOOKUP(Table1_2[[#This Row],[Campaign_Name]],'Campaign Metadata'!A:A,'Campaign Metadata'!C:C,"not found",0)</f>
        <v>not found</v>
      </c>
      <c r="U294" t="str">
        <f>IF(AND(Table1_2[[#This Row],[Date]]&gt;=Table1_2[[#This Row],[Campaign Start Date2]],Table1_2[[#This Row],[Date]]&lt;=Table1_2[[#This Row],[Campaign End Date3]]),"During Campaign","Before Campaign")</f>
        <v>Before Campaign</v>
      </c>
      <c r="V294" s="30" t="str">
        <f>_xlfn.XLOOKUP(Table1_2[[#This Row],[Campaign_Name]],'Campaign Metadata'!A:A,'Campaign Metadata'!E:E,"Not Available",0)</f>
        <v>Not Available</v>
      </c>
      <c r="W294" t="e">
        <f>Table1_2[[#This Row],[Engagement]]/Table1_2[[#This Row],[Campaign Budget]]</f>
        <v>#VALUE!</v>
      </c>
      <c r="X294">
        <f>_xlfn.XLOOKUP(Table1_2[[#This Row],[Platform]],'Engagement Summary'!B:B,'Engagement Summary'!H:H,"Not Available",0)</f>
        <v>1090</v>
      </c>
      <c r="Y294">
        <f>WEEKNUM(Table1_2[[#This Row],[Date]])</f>
        <v>3</v>
      </c>
      <c r="Z294">
        <f>_xlfn.XLOOKUP(Table1_2[[#This Row],[Platform]],'Engagement Summary'!B:B,'Engagement Summary'!G:G,"Notavailable",0)</f>
        <v>30671</v>
      </c>
    </row>
    <row r="295" spans="1:26" x14ac:dyDescent="0.3">
      <c r="A295" t="s">
        <v>509</v>
      </c>
      <c r="B295" t="s">
        <v>33</v>
      </c>
      <c r="C295" s="4">
        <v>45524</v>
      </c>
      <c r="D295" t="s">
        <v>16</v>
      </c>
      <c r="E295" t="s">
        <v>82</v>
      </c>
      <c r="F295">
        <v>2603</v>
      </c>
      <c r="G295">
        <v>690</v>
      </c>
      <c r="H295">
        <v>205</v>
      </c>
      <c r="I295">
        <v>13015</v>
      </c>
      <c r="J295">
        <v>12130</v>
      </c>
      <c r="K295">
        <v>20</v>
      </c>
      <c r="L295" t="s">
        <v>62</v>
      </c>
      <c r="M295" t="s">
        <v>25</v>
      </c>
      <c r="N295" s="4">
        <v>45566</v>
      </c>
      <c r="O295" s="4">
        <v>45596</v>
      </c>
      <c r="P295" t="s">
        <v>637</v>
      </c>
      <c r="Q295">
        <f>Table1_2[[#This Row],[Likes]]+Table1_2[[#This Row],[Shares]]+Table1_2[[#This Row],[Comments]]</f>
        <v>3498</v>
      </c>
      <c r="R295" s="12">
        <f>(Table1_2[[#This Row],[Likes]]+Table1_2[[#This Row],[Shares]]+Table1_2[[#This Row],[Comments]])/Table1_2[[#This Row],[Impressions]]</f>
        <v>0.26876680752977333</v>
      </c>
      <c r="S295" s="4">
        <f>_xlfn.XLOOKUP(Table1_2[[#This Row],[Campaign_Name]],'Campaign Metadata'!A:A,'Campaign Metadata'!B:B,"not found",0)</f>
        <v>45566</v>
      </c>
      <c r="T295" s="4">
        <f>_xlfn.XLOOKUP(Table1_2[[#This Row],[Campaign_Name]],'Campaign Metadata'!A:A,'Campaign Metadata'!C:C,"not found",0)</f>
        <v>45596</v>
      </c>
      <c r="U295" t="str">
        <f>IF(AND(Table1_2[[#This Row],[Date]]&gt;=Table1_2[[#This Row],[Campaign Start Date2]],Table1_2[[#This Row],[Date]]&lt;=Table1_2[[#This Row],[Campaign End Date3]]),"During Campaign","Before Campaign")</f>
        <v>Before Campaign</v>
      </c>
      <c r="V295" s="30">
        <f>_xlfn.XLOOKUP(Table1_2[[#This Row],[Campaign_Name]],'Campaign Metadata'!A:A,'Campaign Metadata'!E:E,"Not Available",0)</f>
        <v>200000</v>
      </c>
      <c r="W295">
        <f>Table1_2[[#This Row],[Engagement]]/Table1_2[[#This Row],[Campaign Budget]]</f>
        <v>1.7489999999999999E-2</v>
      </c>
      <c r="X295">
        <f>_xlfn.XLOOKUP(Table1_2[[#This Row],[Platform]],'Engagement Summary'!B:B,'Engagement Summary'!H:H,"Not Available",0)</f>
        <v>1047</v>
      </c>
      <c r="Y295">
        <f>WEEKNUM(Table1_2[[#This Row],[Date]])</f>
        <v>34</v>
      </c>
      <c r="Z295">
        <f>_xlfn.XLOOKUP(Table1_2[[#This Row],[Platform]],'Engagement Summary'!B:B,'Engagement Summary'!G:G,"Notavailable",0)</f>
        <v>5904</v>
      </c>
    </row>
    <row r="296" spans="1:26" x14ac:dyDescent="0.3">
      <c r="A296" t="s">
        <v>511</v>
      </c>
      <c r="B296" t="s">
        <v>14</v>
      </c>
      <c r="C296" s="4">
        <v>45687</v>
      </c>
      <c r="D296" t="s">
        <v>52</v>
      </c>
      <c r="E296" t="s">
        <v>132</v>
      </c>
      <c r="F296">
        <v>59</v>
      </c>
      <c r="G296">
        <v>163</v>
      </c>
      <c r="H296">
        <v>93</v>
      </c>
      <c r="I296">
        <v>590</v>
      </c>
      <c r="J296">
        <v>475</v>
      </c>
      <c r="K296">
        <v>293</v>
      </c>
      <c r="L296" t="s">
        <v>30</v>
      </c>
      <c r="M296" t="s">
        <v>25</v>
      </c>
      <c r="N296" s="4">
        <v>45566</v>
      </c>
      <c r="O296" s="4">
        <v>45596</v>
      </c>
      <c r="P296" t="s">
        <v>637</v>
      </c>
      <c r="Q296">
        <f>Table1_2[[#This Row],[Likes]]+Table1_2[[#This Row],[Shares]]+Table1_2[[#This Row],[Comments]]</f>
        <v>315</v>
      </c>
      <c r="R296" s="12">
        <f>(Table1_2[[#This Row],[Likes]]+Table1_2[[#This Row],[Shares]]+Table1_2[[#This Row],[Comments]])/Table1_2[[#This Row],[Impressions]]</f>
        <v>0.53389830508474578</v>
      </c>
      <c r="S296" s="4">
        <f>_xlfn.XLOOKUP(Table1_2[[#This Row],[Campaign_Name]],'Campaign Metadata'!A:A,'Campaign Metadata'!B:B,"not found",0)</f>
        <v>45566</v>
      </c>
      <c r="T296" s="4">
        <f>_xlfn.XLOOKUP(Table1_2[[#This Row],[Campaign_Name]],'Campaign Metadata'!A:A,'Campaign Metadata'!C:C,"not found",0)</f>
        <v>45596</v>
      </c>
      <c r="U296" t="str">
        <f>IF(AND(Table1_2[[#This Row],[Date]]&gt;=Table1_2[[#This Row],[Campaign Start Date2]],Table1_2[[#This Row],[Date]]&lt;=Table1_2[[#This Row],[Campaign End Date3]]),"During Campaign","Before Campaign")</f>
        <v>Before Campaign</v>
      </c>
      <c r="V296" s="30">
        <f>_xlfn.XLOOKUP(Table1_2[[#This Row],[Campaign_Name]],'Campaign Metadata'!A:A,'Campaign Metadata'!E:E,"Not Available",0)</f>
        <v>200000</v>
      </c>
      <c r="W296">
        <f>Table1_2[[#This Row],[Engagement]]/Table1_2[[#This Row],[Campaign Budget]]</f>
        <v>1.575E-3</v>
      </c>
      <c r="X296">
        <f>_xlfn.XLOOKUP(Table1_2[[#This Row],[Platform]],'Engagement Summary'!B:B,'Engagement Summary'!H:H,"Not Available",0)</f>
        <v>415</v>
      </c>
      <c r="Y296">
        <f>WEEKNUM(Table1_2[[#This Row],[Date]])</f>
        <v>5</v>
      </c>
      <c r="Z296">
        <f>_xlfn.XLOOKUP(Table1_2[[#This Row],[Platform]],'Engagement Summary'!B:B,'Engagement Summary'!G:G,"Notavailable",0)</f>
        <v>26752</v>
      </c>
    </row>
    <row r="297" spans="1:26" x14ac:dyDescent="0.3">
      <c r="A297" t="s">
        <v>513</v>
      </c>
      <c r="B297" t="s">
        <v>14</v>
      </c>
      <c r="C297" s="4">
        <v>45708</v>
      </c>
      <c r="D297" t="s">
        <v>45</v>
      </c>
      <c r="E297" t="s">
        <v>49</v>
      </c>
      <c r="F297">
        <v>1877</v>
      </c>
      <c r="G297">
        <v>745</v>
      </c>
      <c r="H297">
        <v>225</v>
      </c>
      <c r="I297">
        <v>11262</v>
      </c>
      <c r="J297">
        <v>10967</v>
      </c>
      <c r="K297">
        <v>41</v>
      </c>
      <c r="L297" t="s">
        <v>37</v>
      </c>
      <c r="M297" t="s">
        <v>38</v>
      </c>
      <c r="N297" s="4">
        <v>45717</v>
      </c>
      <c r="O297" s="4">
        <v>45747</v>
      </c>
      <c r="P297" t="s">
        <v>637</v>
      </c>
      <c r="Q297">
        <f>Table1_2[[#This Row],[Likes]]+Table1_2[[#This Row],[Shares]]+Table1_2[[#This Row],[Comments]]</f>
        <v>2847</v>
      </c>
      <c r="R297" s="12">
        <f>(Table1_2[[#This Row],[Likes]]+Table1_2[[#This Row],[Shares]]+Table1_2[[#This Row],[Comments]])/Table1_2[[#This Row],[Impressions]]</f>
        <v>0.25279701651571657</v>
      </c>
      <c r="S297" s="4">
        <f>_xlfn.XLOOKUP(Table1_2[[#This Row],[Campaign_Name]],'Campaign Metadata'!A:A,'Campaign Metadata'!B:B,"not found",0)</f>
        <v>45717</v>
      </c>
      <c r="T297" s="4">
        <f>_xlfn.XLOOKUP(Table1_2[[#This Row],[Campaign_Name]],'Campaign Metadata'!A:A,'Campaign Metadata'!C:C,"not found",0)</f>
        <v>45747</v>
      </c>
      <c r="U297" t="str">
        <f>IF(AND(Table1_2[[#This Row],[Date]]&gt;=Table1_2[[#This Row],[Campaign Start Date2]],Table1_2[[#This Row],[Date]]&lt;=Table1_2[[#This Row],[Campaign End Date3]]),"During Campaign","Before Campaign")</f>
        <v>Before Campaign</v>
      </c>
      <c r="V297" s="30">
        <f>_xlfn.XLOOKUP(Table1_2[[#This Row],[Campaign_Name]],'Campaign Metadata'!A:A,'Campaign Metadata'!E:E,"Not Available",0)</f>
        <v>180000</v>
      </c>
      <c r="W297">
        <f>Table1_2[[#This Row],[Engagement]]/Table1_2[[#This Row],[Campaign Budget]]</f>
        <v>1.5816666666666666E-2</v>
      </c>
      <c r="X297">
        <f>_xlfn.XLOOKUP(Table1_2[[#This Row],[Platform]],'Engagement Summary'!B:B,'Engagement Summary'!H:H,"Not Available",0)</f>
        <v>415</v>
      </c>
      <c r="Y297">
        <f>WEEKNUM(Table1_2[[#This Row],[Date]])</f>
        <v>8</v>
      </c>
      <c r="Z297">
        <f>_xlfn.XLOOKUP(Table1_2[[#This Row],[Platform]],'Engagement Summary'!B:B,'Engagement Summary'!G:G,"Notavailable",0)</f>
        <v>26752</v>
      </c>
    </row>
    <row r="298" spans="1:26" x14ac:dyDescent="0.3">
      <c r="A298" t="s">
        <v>515</v>
      </c>
      <c r="B298" t="s">
        <v>43</v>
      </c>
      <c r="C298" s="4">
        <v>45621</v>
      </c>
      <c r="D298" t="s">
        <v>35</v>
      </c>
      <c r="E298" t="s">
        <v>71</v>
      </c>
      <c r="F298">
        <v>4182</v>
      </c>
      <c r="G298">
        <v>640</v>
      </c>
      <c r="H298">
        <v>240</v>
      </c>
      <c r="I298">
        <v>50184</v>
      </c>
      <c r="J298">
        <v>49351</v>
      </c>
      <c r="K298">
        <v>10</v>
      </c>
      <c r="L298" t="s">
        <v>30</v>
      </c>
      <c r="M298" t="s">
        <v>31</v>
      </c>
      <c r="N298" s="4">
        <v>45651</v>
      </c>
      <c r="O298" s="4">
        <v>45667</v>
      </c>
      <c r="P298" t="s">
        <v>637</v>
      </c>
      <c r="Q298">
        <f>Table1_2[[#This Row],[Likes]]+Table1_2[[#This Row],[Shares]]+Table1_2[[#This Row],[Comments]]</f>
        <v>5062</v>
      </c>
      <c r="R298" s="12">
        <f>(Table1_2[[#This Row],[Likes]]+Table1_2[[#This Row],[Shares]]+Table1_2[[#This Row],[Comments]])/Table1_2[[#This Row],[Impressions]]</f>
        <v>0.10086880280567512</v>
      </c>
      <c r="S298" s="4">
        <f>_xlfn.XLOOKUP(Table1_2[[#This Row],[Campaign_Name]],'Campaign Metadata'!A:A,'Campaign Metadata'!B:B,"not found",0)</f>
        <v>45651</v>
      </c>
      <c r="T298" s="4">
        <f>_xlfn.XLOOKUP(Table1_2[[#This Row],[Campaign_Name]],'Campaign Metadata'!A:A,'Campaign Metadata'!C:C,"not found",0)</f>
        <v>45667</v>
      </c>
      <c r="U298" t="str">
        <f>IF(AND(Table1_2[[#This Row],[Date]]&gt;=Table1_2[[#This Row],[Campaign Start Date2]],Table1_2[[#This Row],[Date]]&lt;=Table1_2[[#This Row],[Campaign End Date3]]),"During Campaign","Before Campaign")</f>
        <v>Before Campaign</v>
      </c>
      <c r="V298" s="30">
        <f>_xlfn.XLOOKUP(Table1_2[[#This Row],[Campaign_Name]],'Campaign Metadata'!A:A,'Campaign Metadata'!E:E,"Not Available",0)</f>
        <v>250000</v>
      </c>
      <c r="W298">
        <f>Table1_2[[#This Row],[Engagement]]/Table1_2[[#This Row],[Campaign Budget]]</f>
        <v>2.0247999999999999E-2</v>
      </c>
      <c r="X298">
        <f>_xlfn.XLOOKUP(Table1_2[[#This Row],[Platform]],'Engagement Summary'!B:B,'Engagement Summary'!H:H,"Not Available",0)</f>
        <v>1002</v>
      </c>
      <c r="Y298">
        <f>WEEKNUM(Table1_2[[#This Row],[Date]])</f>
        <v>48</v>
      </c>
      <c r="Z298">
        <f>_xlfn.XLOOKUP(Table1_2[[#This Row],[Platform]],'Engagement Summary'!B:B,'Engagement Summary'!G:G,"Notavailable",0)</f>
        <v>9566</v>
      </c>
    </row>
    <row r="299" spans="1:26" x14ac:dyDescent="0.3">
      <c r="A299" t="s">
        <v>516</v>
      </c>
      <c r="B299" t="s">
        <v>14</v>
      </c>
      <c r="C299" s="4">
        <v>45569</v>
      </c>
      <c r="D299" t="s">
        <v>16</v>
      </c>
      <c r="E299" t="s">
        <v>17</v>
      </c>
      <c r="F299">
        <v>4187</v>
      </c>
      <c r="G299">
        <v>66</v>
      </c>
      <c r="H299">
        <v>31</v>
      </c>
      <c r="I299">
        <v>66992</v>
      </c>
      <c r="J299">
        <v>66614</v>
      </c>
      <c r="K299">
        <v>62</v>
      </c>
      <c r="L299" t="s">
        <v>62</v>
      </c>
      <c r="M299" t="s">
        <v>617</v>
      </c>
      <c r="N299" s="4">
        <v>0</v>
      </c>
      <c r="O299" s="4">
        <v>0</v>
      </c>
      <c r="P299" t="s">
        <v>637</v>
      </c>
      <c r="Q299">
        <f>Table1_2[[#This Row],[Likes]]+Table1_2[[#This Row],[Shares]]+Table1_2[[#This Row],[Comments]]</f>
        <v>4284</v>
      </c>
      <c r="R299" s="12">
        <f>(Table1_2[[#This Row],[Likes]]+Table1_2[[#This Row],[Shares]]+Table1_2[[#This Row],[Comments]])/Table1_2[[#This Row],[Impressions]]</f>
        <v>6.3947934081681396E-2</v>
      </c>
      <c r="S299" s="4" t="str">
        <f>_xlfn.XLOOKUP(Table1_2[[#This Row],[Campaign_Name]],'Campaign Metadata'!A:A,'Campaign Metadata'!B:B,"not found",0)</f>
        <v>not found</v>
      </c>
      <c r="T299" s="4" t="str">
        <f>_xlfn.XLOOKUP(Table1_2[[#This Row],[Campaign_Name]],'Campaign Metadata'!A:A,'Campaign Metadata'!C:C,"not found",0)</f>
        <v>not found</v>
      </c>
      <c r="U299" t="str">
        <f>IF(AND(Table1_2[[#This Row],[Date]]&gt;=Table1_2[[#This Row],[Campaign Start Date2]],Table1_2[[#This Row],[Date]]&lt;=Table1_2[[#This Row],[Campaign End Date3]]),"During Campaign","Before Campaign")</f>
        <v>Before Campaign</v>
      </c>
      <c r="V299" s="30" t="str">
        <f>_xlfn.XLOOKUP(Table1_2[[#This Row],[Campaign_Name]],'Campaign Metadata'!A:A,'Campaign Metadata'!E:E,"Not Available",0)</f>
        <v>Not Available</v>
      </c>
      <c r="W299" t="e">
        <f>Table1_2[[#This Row],[Engagement]]/Table1_2[[#This Row],[Campaign Budget]]</f>
        <v>#VALUE!</v>
      </c>
      <c r="X299">
        <f>_xlfn.XLOOKUP(Table1_2[[#This Row],[Platform]],'Engagement Summary'!B:B,'Engagement Summary'!H:H,"Not Available",0)</f>
        <v>415</v>
      </c>
      <c r="Y299">
        <f>WEEKNUM(Table1_2[[#This Row],[Date]])</f>
        <v>40</v>
      </c>
      <c r="Z299">
        <f>_xlfn.XLOOKUP(Table1_2[[#This Row],[Platform]],'Engagement Summary'!B:B,'Engagement Summary'!G:G,"Notavailable",0)</f>
        <v>26752</v>
      </c>
    </row>
    <row r="300" spans="1:26" x14ac:dyDescent="0.3">
      <c r="A300" t="s">
        <v>517</v>
      </c>
      <c r="B300" t="s">
        <v>33</v>
      </c>
      <c r="C300" s="4">
        <v>45760</v>
      </c>
      <c r="D300" t="s">
        <v>16</v>
      </c>
      <c r="E300" t="s">
        <v>82</v>
      </c>
      <c r="F300">
        <v>4579</v>
      </c>
      <c r="G300">
        <v>125</v>
      </c>
      <c r="H300">
        <v>300</v>
      </c>
      <c r="I300">
        <v>59527</v>
      </c>
      <c r="J300">
        <v>59400</v>
      </c>
      <c r="K300">
        <v>269</v>
      </c>
      <c r="L300" t="s">
        <v>37</v>
      </c>
      <c r="M300" t="s">
        <v>19</v>
      </c>
      <c r="N300" s="4">
        <v>45458</v>
      </c>
      <c r="O300" s="4">
        <v>45488</v>
      </c>
      <c r="P300" t="s">
        <v>637</v>
      </c>
      <c r="Q300">
        <f>Table1_2[[#This Row],[Likes]]+Table1_2[[#This Row],[Shares]]+Table1_2[[#This Row],[Comments]]</f>
        <v>5004</v>
      </c>
      <c r="R300" s="12">
        <f>(Table1_2[[#This Row],[Likes]]+Table1_2[[#This Row],[Shares]]+Table1_2[[#This Row],[Comments]])/Table1_2[[#This Row],[Impressions]]</f>
        <v>8.4062694239588759E-2</v>
      </c>
      <c r="S300" s="4">
        <f>_xlfn.XLOOKUP(Table1_2[[#This Row],[Campaign_Name]],'Campaign Metadata'!A:A,'Campaign Metadata'!B:B,"not found",0)</f>
        <v>45458</v>
      </c>
      <c r="T300" s="4">
        <f>_xlfn.XLOOKUP(Table1_2[[#This Row],[Campaign_Name]],'Campaign Metadata'!A:A,'Campaign Metadata'!C:C,"not found",0)</f>
        <v>45488</v>
      </c>
      <c r="U300" t="str">
        <f>IF(AND(Table1_2[[#This Row],[Date]]&gt;=Table1_2[[#This Row],[Campaign Start Date2]],Table1_2[[#This Row],[Date]]&lt;=Table1_2[[#This Row],[Campaign End Date3]]),"During Campaign","Before Campaign")</f>
        <v>Before Campaign</v>
      </c>
      <c r="V300" s="30">
        <f>_xlfn.XLOOKUP(Table1_2[[#This Row],[Campaign_Name]],'Campaign Metadata'!A:A,'Campaign Metadata'!E:E,"Not Available",0)</f>
        <v>150000</v>
      </c>
      <c r="W300">
        <f>Table1_2[[#This Row],[Engagement]]/Table1_2[[#This Row],[Campaign Budget]]</f>
        <v>3.3360000000000001E-2</v>
      </c>
      <c r="X300">
        <f>_xlfn.XLOOKUP(Table1_2[[#This Row],[Platform]],'Engagement Summary'!B:B,'Engagement Summary'!H:H,"Not Available",0)</f>
        <v>1047</v>
      </c>
      <c r="Y300">
        <f>WEEKNUM(Table1_2[[#This Row],[Date]])</f>
        <v>16</v>
      </c>
      <c r="Z300">
        <f>_xlfn.XLOOKUP(Table1_2[[#This Row],[Platform]],'Engagement Summary'!B:B,'Engagement Summary'!G:G,"Notavailable",0)</f>
        <v>5904</v>
      </c>
    </row>
    <row r="301" spans="1:26" x14ac:dyDescent="0.3">
      <c r="A301" t="s">
        <v>519</v>
      </c>
      <c r="B301" t="s">
        <v>33</v>
      </c>
      <c r="C301" s="4">
        <v>45601</v>
      </c>
      <c r="D301" t="s">
        <v>74</v>
      </c>
      <c r="E301" t="s">
        <v>85</v>
      </c>
      <c r="F301">
        <v>4561</v>
      </c>
      <c r="G301">
        <v>51</v>
      </c>
      <c r="H301">
        <v>441</v>
      </c>
      <c r="I301">
        <v>22805</v>
      </c>
      <c r="J301">
        <v>21890</v>
      </c>
      <c r="K301">
        <v>45</v>
      </c>
      <c r="L301" t="s">
        <v>30</v>
      </c>
      <c r="M301" t="s">
        <v>25</v>
      </c>
      <c r="N301" s="4">
        <v>45566</v>
      </c>
      <c r="O301" s="4">
        <v>45596</v>
      </c>
      <c r="P301" t="s">
        <v>637</v>
      </c>
      <c r="Q301">
        <f>Table1_2[[#This Row],[Likes]]+Table1_2[[#This Row],[Shares]]+Table1_2[[#This Row],[Comments]]</f>
        <v>5053</v>
      </c>
      <c r="R301" s="12">
        <f>(Table1_2[[#This Row],[Likes]]+Table1_2[[#This Row],[Shares]]+Table1_2[[#This Row],[Comments]])/Table1_2[[#This Row],[Impressions]]</f>
        <v>0.22157421618066214</v>
      </c>
      <c r="S301" s="4">
        <f>_xlfn.XLOOKUP(Table1_2[[#This Row],[Campaign_Name]],'Campaign Metadata'!A:A,'Campaign Metadata'!B:B,"not found",0)</f>
        <v>45566</v>
      </c>
      <c r="T301" s="4">
        <f>_xlfn.XLOOKUP(Table1_2[[#This Row],[Campaign_Name]],'Campaign Metadata'!A:A,'Campaign Metadata'!C:C,"not found",0)</f>
        <v>45596</v>
      </c>
      <c r="U301" t="str">
        <f>IF(AND(Table1_2[[#This Row],[Date]]&gt;=Table1_2[[#This Row],[Campaign Start Date2]],Table1_2[[#This Row],[Date]]&lt;=Table1_2[[#This Row],[Campaign End Date3]]),"During Campaign","Before Campaign")</f>
        <v>Before Campaign</v>
      </c>
      <c r="V301" s="30">
        <f>_xlfn.XLOOKUP(Table1_2[[#This Row],[Campaign_Name]],'Campaign Metadata'!A:A,'Campaign Metadata'!E:E,"Not Available",0)</f>
        <v>200000</v>
      </c>
      <c r="W301">
        <f>Table1_2[[#This Row],[Engagement]]/Table1_2[[#This Row],[Campaign Budget]]</f>
        <v>2.5264999999999999E-2</v>
      </c>
      <c r="X301">
        <f>_xlfn.XLOOKUP(Table1_2[[#This Row],[Platform]],'Engagement Summary'!B:B,'Engagement Summary'!H:H,"Not Available",0)</f>
        <v>1047</v>
      </c>
      <c r="Y301">
        <f>WEEKNUM(Table1_2[[#This Row],[Date]])</f>
        <v>45</v>
      </c>
      <c r="Z301">
        <f>_xlfn.XLOOKUP(Table1_2[[#This Row],[Platform]],'Engagement Summary'!B:B,'Engagement Summary'!G:G,"Notavailable",0)</f>
        <v>5904</v>
      </c>
    </row>
    <row r="302" spans="1:26" x14ac:dyDescent="0.3">
      <c r="A302" t="s">
        <v>521</v>
      </c>
      <c r="B302" t="s">
        <v>27</v>
      </c>
      <c r="C302" s="4">
        <v>45672</v>
      </c>
      <c r="D302" t="s">
        <v>16</v>
      </c>
      <c r="E302" t="s">
        <v>29</v>
      </c>
      <c r="F302">
        <v>3774</v>
      </c>
      <c r="G302">
        <v>239</v>
      </c>
      <c r="H302">
        <v>39</v>
      </c>
      <c r="I302">
        <v>60384</v>
      </c>
      <c r="J302">
        <v>59490</v>
      </c>
      <c r="K302">
        <v>241</v>
      </c>
      <c r="L302" t="s">
        <v>30</v>
      </c>
      <c r="M302" t="s">
        <v>31</v>
      </c>
      <c r="N302" s="4">
        <v>45651</v>
      </c>
      <c r="O302" s="4">
        <v>45667</v>
      </c>
      <c r="P302" t="s">
        <v>637</v>
      </c>
      <c r="Q302">
        <f>Table1_2[[#This Row],[Likes]]+Table1_2[[#This Row],[Shares]]+Table1_2[[#This Row],[Comments]]</f>
        <v>4052</v>
      </c>
      <c r="R302" s="12">
        <f>(Table1_2[[#This Row],[Likes]]+Table1_2[[#This Row],[Shares]]+Table1_2[[#This Row],[Comments]])/Table1_2[[#This Row],[Impressions]]</f>
        <v>6.7103868574456813E-2</v>
      </c>
      <c r="S302" s="4">
        <f>_xlfn.XLOOKUP(Table1_2[[#This Row],[Campaign_Name]],'Campaign Metadata'!A:A,'Campaign Metadata'!B:B,"not found",0)</f>
        <v>45651</v>
      </c>
      <c r="T302" s="4">
        <f>_xlfn.XLOOKUP(Table1_2[[#This Row],[Campaign_Name]],'Campaign Metadata'!A:A,'Campaign Metadata'!C:C,"not found",0)</f>
        <v>45667</v>
      </c>
      <c r="U302" t="str">
        <f>IF(AND(Table1_2[[#This Row],[Date]]&gt;=Table1_2[[#This Row],[Campaign Start Date2]],Table1_2[[#This Row],[Date]]&lt;=Table1_2[[#This Row],[Campaign End Date3]]),"During Campaign","Before Campaign")</f>
        <v>Before Campaign</v>
      </c>
      <c r="V302" s="30">
        <f>_xlfn.XLOOKUP(Table1_2[[#This Row],[Campaign_Name]],'Campaign Metadata'!A:A,'Campaign Metadata'!E:E,"Not Available",0)</f>
        <v>250000</v>
      </c>
      <c r="W302">
        <f>Table1_2[[#This Row],[Engagement]]/Table1_2[[#This Row],[Campaign Budget]]</f>
        <v>1.6208E-2</v>
      </c>
      <c r="X302">
        <f>_xlfn.XLOOKUP(Table1_2[[#This Row],[Platform]],'Engagement Summary'!B:B,'Engagement Summary'!H:H,"Not Available",0)</f>
        <v>1090</v>
      </c>
      <c r="Y302">
        <f>WEEKNUM(Table1_2[[#This Row],[Date]])</f>
        <v>3</v>
      </c>
      <c r="Z302">
        <f>_xlfn.XLOOKUP(Table1_2[[#This Row],[Platform]],'Engagement Summary'!B:B,'Engagement Summary'!G:G,"Notavailable",0)</f>
        <v>30671</v>
      </c>
    </row>
    <row r="303" spans="1:26" x14ac:dyDescent="0.3">
      <c r="A303" t="s">
        <v>522</v>
      </c>
      <c r="B303" t="s">
        <v>33</v>
      </c>
      <c r="C303" s="4">
        <v>45582</v>
      </c>
      <c r="D303" t="s">
        <v>74</v>
      </c>
      <c r="E303" t="s">
        <v>85</v>
      </c>
      <c r="F303">
        <v>3575</v>
      </c>
      <c r="G303">
        <v>749</v>
      </c>
      <c r="H303">
        <v>111</v>
      </c>
      <c r="I303">
        <v>21450</v>
      </c>
      <c r="J303">
        <v>20785</v>
      </c>
      <c r="K303">
        <v>195</v>
      </c>
      <c r="L303" t="s">
        <v>37</v>
      </c>
      <c r="M303" t="s">
        <v>25</v>
      </c>
      <c r="N303" s="4">
        <v>45566</v>
      </c>
      <c r="O303" s="4">
        <v>45596</v>
      </c>
      <c r="P303" t="s">
        <v>637</v>
      </c>
      <c r="Q303">
        <f>Table1_2[[#This Row],[Likes]]+Table1_2[[#This Row],[Shares]]+Table1_2[[#This Row],[Comments]]</f>
        <v>4435</v>
      </c>
      <c r="R303" s="12">
        <f>(Table1_2[[#This Row],[Likes]]+Table1_2[[#This Row],[Shares]]+Table1_2[[#This Row],[Comments]])/Table1_2[[#This Row],[Impressions]]</f>
        <v>0.20675990675990677</v>
      </c>
      <c r="S303" s="4">
        <f>_xlfn.XLOOKUP(Table1_2[[#This Row],[Campaign_Name]],'Campaign Metadata'!A:A,'Campaign Metadata'!B:B,"not found",0)</f>
        <v>45566</v>
      </c>
      <c r="T303" s="4">
        <f>_xlfn.XLOOKUP(Table1_2[[#This Row],[Campaign_Name]],'Campaign Metadata'!A:A,'Campaign Metadata'!C:C,"not found",0)</f>
        <v>45596</v>
      </c>
      <c r="U303" t="str">
        <f>IF(AND(Table1_2[[#This Row],[Date]]&gt;=Table1_2[[#This Row],[Campaign Start Date2]],Table1_2[[#This Row],[Date]]&lt;=Table1_2[[#This Row],[Campaign End Date3]]),"During Campaign","Before Campaign")</f>
        <v>During Campaign</v>
      </c>
      <c r="V303" s="30">
        <f>_xlfn.XLOOKUP(Table1_2[[#This Row],[Campaign_Name]],'Campaign Metadata'!A:A,'Campaign Metadata'!E:E,"Not Available",0)</f>
        <v>200000</v>
      </c>
      <c r="W303">
        <f>Table1_2[[#This Row],[Engagement]]/Table1_2[[#This Row],[Campaign Budget]]</f>
        <v>2.2175E-2</v>
      </c>
      <c r="X303">
        <f>_xlfn.XLOOKUP(Table1_2[[#This Row],[Platform]],'Engagement Summary'!B:B,'Engagement Summary'!H:H,"Not Available",0)</f>
        <v>1047</v>
      </c>
      <c r="Y303">
        <f>WEEKNUM(Table1_2[[#This Row],[Date]])</f>
        <v>42</v>
      </c>
      <c r="Z303">
        <f>_xlfn.XLOOKUP(Table1_2[[#This Row],[Platform]],'Engagement Summary'!B:B,'Engagement Summary'!G:G,"Notavailable",0)</f>
        <v>5904</v>
      </c>
    </row>
    <row r="304" spans="1:26" x14ac:dyDescent="0.3">
      <c r="A304" t="s">
        <v>524</v>
      </c>
      <c r="B304" t="s">
        <v>33</v>
      </c>
      <c r="C304" s="4">
        <v>45743</v>
      </c>
      <c r="D304" t="s">
        <v>22</v>
      </c>
      <c r="E304" t="s">
        <v>113</v>
      </c>
      <c r="F304">
        <v>4941</v>
      </c>
      <c r="G304">
        <v>414</v>
      </c>
      <c r="H304">
        <v>266</v>
      </c>
      <c r="I304">
        <v>39528</v>
      </c>
      <c r="J304">
        <v>39154</v>
      </c>
      <c r="K304">
        <v>217</v>
      </c>
      <c r="L304" t="s">
        <v>30</v>
      </c>
      <c r="M304" t="s">
        <v>31</v>
      </c>
      <c r="N304" s="4">
        <v>45651</v>
      </c>
      <c r="O304" s="4">
        <v>45667</v>
      </c>
      <c r="P304" t="s">
        <v>637</v>
      </c>
      <c r="Q304">
        <f>Table1_2[[#This Row],[Likes]]+Table1_2[[#This Row],[Shares]]+Table1_2[[#This Row],[Comments]]</f>
        <v>5621</v>
      </c>
      <c r="R304" s="12">
        <f>(Table1_2[[#This Row],[Likes]]+Table1_2[[#This Row],[Shares]]+Table1_2[[#This Row],[Comments]])/Table1_2[[#This Row],[Impressions]]</f>
        <v>0.14220299534507186</v>
      </c>
      <c r="S304" s="4">
        <f>_xlfn.XLOOKUP(Table1_2[[#This Row],[Campaign_Name]],'Campaign Metadata'!A:A,'Campaign Metadata'!B:B,"not found",0)</f>
        <v>45651</v>
      </c>
      <c r="T304" s="4">
        <f>_xlfn.XLOOKUP(Table1_2[[#This Row],[Campaign_Name]],'Campaign Metadata'!A:A,'Campaign Metadata'!C:C,"not found",0)</f>
        <v>45667</v>
      </c>
      <c r="U304" t="str">
        <f>IF(AND(Table1_2[[#This Row],[Date]]&gt;=Table1_2[[#This Row],[Campaign Start Date2]],Table1_2[[#This Row],[Date]]&lt;=Table1_2[[#This Row],[Campaign End Date3]]),"During Campaign","Before Campaign")</f>
        <v>Before Campaign</v>
      </c>
      <c r="V304" s="30">
        <f>_xlfn.XLOOKUP(Table1_2[[#This Row],[Campaign_Name]],'Campaign Metadata'!A:A,'Campaign Metadata'!E:E,"Not Available",0)</f>
        <v>250000</v>
      </c>
      <c r="W304">
        <f>Table1_2[[#This Row],[Engagement]]/Table1_2[[#This Row],[Campaign Budget]]</f>
        <v>2.2484000000000001E-2</v>
      </c>
      <c r="X304">
        <f>_xlfn.XLOOKUP(Table1_2[[#This Row],[Platform]],'Engagement Summary'!B:B,'Engagement Summary'!H:H,"Not Available",0)</f>
        <v>1047</v>
      </c>
      <c r="Y304">
        <f>WEEKNUM(Table1_2[[#This Row],[Date]])</f>
        <v>13</v>
      </c>
      <c r="Z304">
        <f>_xlfn.XLOOKUP(Table1_2[[#This Row],[Platform]],'Engagement Summary'!B:B,'Engagement Summary'!G:G,"Notavailable",0)</f>
        <v>5904</v>
      </c>
    </row>
    <row r="305" spans="1:26" x14ac:dyDescent="0.3">
      <c r="A305" t="s">
        <v>525</v>
      </c>
      <c r="B305" t="s">
        <v>27</v>
      </c>
      <c r="C305" s="4">
        <v>45577</v>
      </c>
      <c r="D305" t="s">
        <v>35</v>
      </c>
      <c r="E305" t="s">
        <v>154</v>
      </c>
      <c r="F305">
        <v>3641</v>
      </c>
      <c r="G305">
        <v>226</v>
      </c>
      <c r="H305">
        <v>46</v>
      </c>
      <c r="I305">
        <v>40051</v>
      </c>
      <c r="J305">
        <v>39319</v>
      </c>
      <c r="K305">
        <v>296</v>
      </c>
      <c r="L305" t="s">
        <v>37</v>
      </c>
      <c r="M305" t="s">
        <v>38</v>
      </c>
      <c r="N305" s="4">
        <v>45717</v>
      </c>
      <c r="O305" s="4">
        <v>45747</v>
      </c>
      <c r="P305" t="s">
        <v>637</v>
      </c>
      <c r="Q305">
        <f>Table1_2[[#This Row],[Likes]]+Table1_2[[#This Row],[Shares]]+Table1_2[[#This Row],[Comments]]</f>
        <v>3913</v>
      </c>
      <c r="R305" s="12">
        <f>(Table1_2[[#This Row],[Likes]]+Table1_2[[#This Row],[Shares]]+Table1_2[[#This Row],[Comments]])/Table1_2[[#This Row],[Impressions]]</f>
        <v>9.7700431949264685E-2</v>
      </c>
      <c r="S305" s="4">
        <f>_xlfn.XLOOKUP(Table1_2[[#This Row],[Campaign_Name]],'Campaign Metadata'!A:A,'Campaign Metadata'!B:B,"not found",0)</f>
        <v>45717</v>
      </c>
      <c r="T305" s="4">
        <f>_xlfn.XLOOKUP(Table1_2[[#This Row],[Campaign_Name]],'Campaign Metadata'!A:A,'Campaign Metadata'!C:C,"not found",0)</f>
        <v>45747</v>
      </c>
      <c r="U305" t="str">
        <f>IF(AND(Table1_2[[#This Row],[Date]]&gt;=Table1_2[[#This Row],[Campaign Start Date2]],Table1_2[[#This Row],[Date]]&lt;=Table1_2[[#This Row],[Campaign End Date3]]),"During Campaign","Before Campaign")</f>
        <v>Before Campaign</v>
      </c>
      <c r="V305" s="30">
        <f>_xlfn.XLOOKUP(Table1_2[[#This Row],[Campaign_Name]],'Campaign Metadata'!A:A,'Campaign Metadata'!E:E,"Not Available",0)</f>
        <v>180000</v>
      </c>
      <c r="W305">
        <f>Table1_2[[#This Row],[Engagement]]/Table1_2[[#This Row],[Campaign Budget]]</f>
        <v>2.1738888888888887E-2</v>
      </c>
      <c r="X305">
        <f>_xlfn.XLOOKUP(Table1_2[[#This Row],[Platform]],'Engagement Summary'!B:B,'Engagement Summary'!H:H,"Not Available",0)</f>
        <v>1090</v>
      </c>
      <c r="Y305">
        <f>WEEKNUM(Table1_2[[#This Row],[Date]])</f>
        <v>41</v>
      </c>
      <c r="Z305">
        <f>_xlfn.XLOOKUP(Table1_2[[#This Row],[Platform]],'Engagement Summary'!B:B,'Engagement Summary'!G:G,"Notavailable",0)</f>
        <v>30671</v>
      </c>
    </row>
    <row r="306" spans="1:26" x14ac:dyDescent="0.3">
      <c r="A306" t="s">
        <v>527</v>
      </c>
      <c r="B306" t="s">
        <v>14</v>
      </c>
      <c r="C306" s="4">
        <v>45658</v>
      </c>
      <c r="D306" t="s">
        <v>45</v>
      </c>
      <c r="E306" t="s">
        <v>49</v>
      </c>
      <c r="F306">
        <v>3535</v>
      </c>
      <c r="G306">
        <v>494</v>
      </c>
      <c r="H306">
        <v>152</v>
      </c>
      <c r="I306">
        <v>53025</v>
      </c>
      <c r="J306">
        <v>52791</v>
      </c>
      <c r="K306">
        <v>44</v>
      </c>
      <c r="L306" t="s">
        <v>30</v>
      </c>
      <c r="M306" t="s">
        <v>38</v>
      </c>
      <c r="N306" s="4">
        <v>45717</v>
      </c>
      <c r="O306" s="4">
        <v>45747</v>
      </c>
      <c r="P306" t="s">
        <v>637</v>
      </c>
      <c r="Q306">
        <f>Table1_2[[#This Row],[Likes]]+Table1_2[[#This Row],[Shares]]+Table1_2[[#This Row],[Comments]]</f>
        <v>4181</v>
      </c>
      <c r="R306" s="12">
        <f>(Table1_2[[#This Row],[Likes]]+Table1_2[[#This Row],[Shares]]+Table1_2[[#This Row],[Comments]])/Table1_2[[#This Row],[Impressions]]</f>
        <v>7.8849599245638849E-2</v>
      </c>
      <c r="S306" s="4">
        <f>_xlfn.XLOOKUP(Table1_2[[#This Row],[Campaign_Name]],'Campaign Metadata'!A:A,'Campaign Metadata'!B:B,"not found",0)</f>
        <v>45717</v>
      </c>
      <c r="T306" s="4">
        <f>_xlfn.XLOOKUP(Table1_2[[#This Row],[Campaign_Name]],'Campaign Metadata'!A:A,'Campaign Metadata'!C:C,"not found",0)</f>
        <v>45747</v>
      </c>
      <c r="U306" t="str">
        <f>IF(AND(Table1_2[[#This Row],[Date]]&gt;=Table1_2[[#This Row],[Campaign Start Date2]],Table1_2[[#This Row],[Date]]&lt;=Table1_2[[#This Row],[Campaign End Date3]]),"During Campaign","Before Campaign")</f>
        <v>Before Campaign</v>
      </c>
      <c r="V306" s="30">
        <f>_xlfn.XLOOKUP(Table1_2[[#This Row],[Campaign_Name]],'Campaign Metadata'!A:A,'Campaign Metadata'!E:E,"Not Available",0)</f>
        <v>180000</v>
      </c>
      <c r="W306">
        <f>Table1_2[[#This Row],[Engagement]]/Table1_2[[#This Row],[Campaign Budget]]</f>
        <v>2.3227777777777778E-2</v>
      </c>
      <c r="X306">
        <f>_xlfn.XLOOKUP(Table1_2[[#This Row],[Platform]],'Engagement Summary'!B:B,'Engagement Summary'!H:H,"Not Available",0)</f>
        <v>415</v>
      </c>
      <c r="Y306">
        <f>WEEKNUM(Table1_2[[#This Row],[Date]])</f>
        <v>1</v>
      </c>
      <c r="Z306">
        <f>_xlfn.XLOOKUP(Table1_2[[#This Row],[Platform]],'Engagement Summary'!B:B,'Engagement Summary'!G:G,"Notavailable",0)</f>
        <v>26752</v>
      </c>
    </row>
    <row r="307" spans="1:26" x14ac:dyDescent="0.3">
      <c r="A307" t="s">
        <v>528</v>
      </c>
      <c r="B307" t="s">
        <v>43</v>
      </c>
      <c r="C307" s="4">
        <v>45509</v>
      </c>
      <c r="D307" t="s">
        <v>16</v>
      </c>
      <c r="E307" t="s">
        <v>65</v>
      </c>
      <c r="F307">
        <v>1741</v>
      </c>
      <c r="G307">
        <v>831</v>
      </c>
      <c r="H307">
        <v>345</v>
      </c>
      <c r="I307">
        <v>17410</v>
      </c>
      <c r="J307">
        <v>16844</v>
      </c>
      <c r="K307">
        <v>58</v>
      </c>
      <c r="L307" t="s">
        <v>37</v>
      </c>
      <c r="M307" t="s">
        <v>31</v>
      </c>
      <c r="N307" s="4">
        <v>45651</v>
      </c>
      <c r="O307" s="4">
        <v>45667</v>
      </c>
      <c r="P307" t="s">
        <v>637</v>
      </c>
      <c r="Q307">
        <f>Table1_2[[#This Row],[Likes]]+Table1_2[[#This Row],[Shares]]+Table1_2[[#This Row],[Comments]]</f>
        <v>2917</v>
      </c>
      <c r="R307" s="12">
        <f>(Table1_2[[#This Row],[Likes]]+Table1_2[[#This Row],[Shares]]+Table1_2[[#This Row],[Comments]])/Table1_2[[#This Row],[Impressions]]</f>
        <v>0.16754738655944859</v>
      </c>
      <c r="S307" s="4">
        <f>_xlfn.XLOOKUP(Table1_2[[#This Row],[Campaign_Name]],'Campaign Metadata'!A:A,'Campaign Metadata'!B:B,"not found",0)</f>
        <v>45651</v>
      </c>
      <c r="T307" s="4">
        <f>_xlfn.XLOOKUP(Table1_2[[#This Row],[Campaign_Name]],'Campaign Metadata'!A:A,'Campaign Metadata'!C:C,"not found",0)</f>
        <v>45667</v>
      </c>
      <c r="U307" t="str">
        <f>IF(AND(Table1_2[[#This Row],[Date]]&gt;=Table1_2[[#This Row],[Campaign Start Date2]],Table1_2[[#This Row],[Date]]&lt;=Table1_2[[#This Row],[Campaign End Date3]]),"During Campaign","Before Campaign")</f>
        <v>Before Campaign</v>
      </c>
      <c r="V307" s="30">
        <f>_xlfn.XLOOKUP(Table1_2[[#This Row],[Campaign_Name]],'Campaign Metadata'!A:A,'Campaign Metadata'!E:E,"Not Available",0)</f>
        <v>250000</v>
      </c>
      <c r="W307">
        <f>Table1_2[[#This Row],[Engagement]]/Table1_2[[#This Row],[Campaign Budget]]</f>
        <v>1.1668E-2</v>
      </c>
      <c r="X307">
        <f>_xlfn.XLOOKUP(Table1_2[[#This Row],[Platform]],'Engagement Summary'!B:B,'Engagement Summary'!H:H,"Not Available",0)</f>
        <v>1002</v>
      </c>
      <c r="Y307">
        <f>WEEKNUM(Table1_2[[#This Row],[Date]])</f>
        <v>32</v>
      </c>
      <c r="Z307">
        <f>_xlfn.XLOOKUP(Table1_2[[#This Row],[Platform]],'Engagement Summary'!B:B,'Engagement Summary'!G:G,"Notavailable",0)</f>
        <v>9566</v>
      </c>
    </row>
    <row r="308" spans="1:26" x14ac:dyDescent="0.3">
      <c r="A308" t="s">
        <v>529</v>
      </c>
      <c r="B308" t="s">
        <v>14</v>
      </c>
      <c r="C308" s="4">
        <v>45450</v>
      </c>
      <c r="D308" t="s">
        <v>45</v>
      </c>
      <c r="E308" t="s">
        <v>49</v>
      </c>
      <c r="F308">
        <v>1556</v>
      </c>
      <c r="G308">
        <v>195</v>
      </c>
      <c r="H308">
        <v>131</v>
      </c>
      <c r="I308">
        <v>9336</v>
      </c>
      <c r="J308">
        <v>8875</v>
      </c>
      <c r="K308">
        <v>137</v>
      </c>
      <c r="L308" t="s">
        <v>30</v>
      </c>
      <c r="M308" t="s">
        <v>25</v>
      </c>
      <c r="N308" s="4">
        <v>45566</v>
      </c>
      <c r="O308" s="4">
        <v>45596</v>
      </c>
      <c r="P308" t="s">
        <v>637</v>
      </c>
      <c r="Q308">
        <f>Table1_2[[#This Row],[Likes]]+Table1_2[[#This Row],[Shares]]+Table1_2[[#This Row],[Comments]]</f>
        <v>1882</v>
      </c>
      <c r="R308" s="12">
        <f>(Table1_2[[#This Row],[Likes]]+Table1_2[[#This Row],[Shares]]+Table1_2[[#This Row],[Comments]])/Table1_2[[#This Row],[Impressions]]</f>
        <v>0.2015852613538989</v>
      </c>
      <c r="S308" s="4">
        <f>_xlfn.XLOOKUP(Table1_2[[#This Row],[Campaign_Name]],'Campaign Metadata'!A:A,'Campaign Metadata'!B:B,"not found",0)</f>
        <v>45566</v>
      </c>
      <c r="T308" s="4">
        <f>_xlfn.XLOOKUP(Table1_2[[#This Row],[Campaign_Name]],'Campaign Metadata'!A:A,'Campaign Metadata'!C:C,"not found",0)</f>
        <v>45596</v>
      </c>
      <c r="U308" t="str">
        <f>IF(AND(Table1_2[[#This Row],[Date]]&gt;=Table1_2[[#This Row],[Campaign Start Date2]],Table1_2[[#This Row],[Date]]&lt;=Table1_2[[#This Row],[Campaign End Date3]]),"During Campaign","Before Campaign")</f>
        <v>Before Campaign</v>
      </c>
      <c r="V308" s="30">
        <f>_xlfn.XLOOKUP(Table1_2[[#This Row],[Campaign_Name]],'Campaign Metadata'!A:A,'Campaign Metadata'!E:E,"Not Available",0)</f>
        <v>200000</v>
      </c>
      <c r="W308">
        <f>Table1_2[[#This Row],[Engagement]]/Table1_2[[#This Row],[Campaign Budget]]</f>
        <v>9.41E-3</v>
      </c>
      <c r="X308">
        <f>_xlfn.XLOOKUP(Table1_2[[#This Row],[Platform]],'Engagement Summary'!B:B,'Engagement Summary'!H:H,"Not Available",0)</f>
        <v>415</v>
      </c>
      <c r="Y308">
        <f>WEEKNUM(Table1_2[[#This Row],[Date]])</f>
        <v>23</v>
      </c>
      <c r="Z308">
        <f>_xlfn.XLOOKUP(Table1_2[[#This Row],[Platform]],'Engagement Summary'!B:B,'Engagement Summary'!G:G,"Notavailable",0)</f>
        <v>26752</v>
      </c>
    </row>
    <row r="309" spans="1:26" x14ac:dyDescent="0.3">
      <c r="A309" t="s">
        <v>531</v>
      </c>
      <c r="B309" t="s">
        <v>43</v>
      </c>
      <c r="C309" s="4">
        <v>45753</v>
      </c>
      <c r="D309" t="s">
        <v>52</v>
      </c>
      <c r="E309" t="s">
        <v>59</v>
      </c>
      <c r="F309">
        <v>4236</v>
      </c>
      <c r="G309">
        <v>711</v>
      </c>
      <c r="H309">
        <v>298</v>
      </c>
      <c r="I309">
        <v>21180</v>
      </c>
      <c r="J309">
        <v>20516</v>
      </c>
      <c r="K309">
        <v>238</v>
      </c>
      <c r="L309" t="s">
        <v>62</v>
      </c>
      <c r="M309" t="s">
        <v>19</v>
      </c>
      <c r="N309" s="4">
        <v>45458</v>
      </c>
      <c r="O309" s="4">
        <v>45488</v>
      </c>
      <c r="P309" t="s">
        <v>637</v>
      </c>
      <c r="Q309">
        <f>Table1_2[[#This Row],[Likes]]+Table1_2[[#This Row],[Shares]]+Table1_2[[#This Row],[Comments]]</f>
        <v>5245</v>
      </c>
      <c r="R309" s="12">
        <f>(Table1_2[[#This Row],[Likes]]+Table1_2[[#This Row],[Shares]]+Table1_2[[#This Row],[Comments]])/Table1_2[[#This Row],[Impressions]]</f>
        <v>0.24763928234183191</v>
      </c>
      <c r="S309" s="4">
        <f>_xlfn.XLOOKUP(Table1_2[[#This Row],[Campaign_Name]],'Campaign Metadata'!A:A,'Campaign Metadata'!B:B,"not found",0)</f>
        <v>45458</v>
      </c>
      <c r="T309" s="4">
        <f>_xlfn.XLOOKUP(Table1_2[[#This Row],[Campaign_Name]],'Campaign Metadata'!A:A,'Campaign Metadata'!C:C,"not found",0)</f>
        <v>45488</v>
      </c>
      <c r="U309" t="str">
        <f>IF(AND(Table1_2[[#This Row],[Date]]&gt;=Table1_2[[#This Row],[Campaign Start Date2]],Table1_2[[#This Row],[Date]]&lt;=Table1_2[[#This Row],[Campaign End Date3]]),"During Campaign","Before Campaign")</f>
        <v>Before Campaign</v>
      </c>
      <c r="V309" s="30">
        <f>_xlfn.XLOOKUP(Table1_2[[#This Row],[Campaign_Name]],'Campaign Metadata'!A:A,'Campaign Metadata'!E:E,"Not Available",0)</f>
        <v>150000</v>
      </c>
      <c r="W309">
        <f>Table1_2[[#This Row],[Engagement]]/Table1_2[[#This Row],[Campaign Budget]]</f>
        <v>3.4966666666666667E-2</v>
      </c>
      <c r="X309">
        <f>_xlfn.XLOOKUP(Table1_2[[#This Row],[Platform]],'Engagement Summary'!B:B,'Engagement Summary'!H:H,"Not Available",0)</f>
        <v>1002</v>
      </c>
      <c r="Y309">
        <f>WEEKNUM(Table1_2[[#This Row],[Date]])</f>
        <v>15</v>
      </c>
      <c r="Z309">
        <f>_xlfn.XLOOKUP(Table1_2[[#This Row],[Platform]],'Engagement Summary'!B:B,'Engagement Summary'!G:G,"Notavailable",0)</f>
        <v>9566</v>
      </c>
    </row>
    <row r="310" spans="1:26" x14ac:dyDescent="0.3">
      <c r="A310" t="s">
        <v>532</v>
      </c>
      <c r="B310" t="s">
        <v>14</v>
      </c>
      <c r="C310" s="4">
        <v>45622</v>
      </c>
      <c r="D310" t="s">
        <v>22</v>
      </c>
      <c r="E310" t="s">
        <v>23</v>
      </c>
      <c r="F310">
        <v>4516</v>
      </c>
      <c r="G310">
        <v>836</v>
      </c>
      <c r="H310">
        <v>169</v>
      </c>
      <c r="I310">
        <v>49676</v>
      </c>
      <c r="J310">
        <v>49257</v>
      </c>
      <c r="K310">
        <v>282</v>
      </c>
      <c r="L310" t="s">
        <v>37</v>
      </c>
      <c r="M310" t="s">
        <v>38</v>
      </c>
      <c r="N310" s="4">
        <v>45717</v>
      </c>
      <c r="O310" s="4">
        <v>45747</v>
      </c>
      <c r="P310" t="s">
        <v>637</v>
      </c>
      <c r="Q310">
        <f>Table1_2[[#This Row],[Likes]]+Table1_2[[#This Row],[Shares]]+Table1_2[[#This Row],[Comments]]</f>
        <v>5521</v>
      </c>
      <c r="R310" s="12">
        <f>(Table1_2[[#This Row],[Likes]]+Table1_2[[#This Row],[Shares]]+Table1_2[[#This Row],[Comments]])/Table1_2[[#This Row],[Impressions]]</f>
        <v>0.11114018842096787</v>
      </c>
      <c r="S310" s="4">
        <f>_xlfn.XLOOKUP(Table1_2[[#This Row],[Campaign_Name]],'Campaign Metadata'!A:A,'Campaign Metadata'!B:B,"not found",0)</f>
        <v>45717</v>
      </c>
      <c r="T310" s="4">
        <f>_xlfn.XLOOKUP(Table1_2[[#This Row],[Campaign_Name]],'Campaign Metadata'!A:A,'Campaign Metadata'!C:C,"not found",0)</f>
        <v>45747</v>
      </c>
      <c r="U310" t="str">
        <f>IF(AND(Table1_2[[#This Row],[Date]]&gt;=Table1_2[[#This Row],[Campaign Start Date2]],Table1_2[[#This Row],[Date]]&lt;=Table1_2[[#This Row],[Campaign End Date3]]),"During Campaign","Before Campaign")</f>
        <v>Before Campaign</v>
      </c>
      <c r="V310" s="30">
        <f>_xlfn.XLOOKUP(Table1_2[[#This Row],[Campaign_Name]],'Campaign Metadata'!A:A,'Campaign Metadata'!E:E,"Not Available",0)</f>
        <v>180000</v>
      </c>
      <c r="W310">
        <f>Table1_2[[#This Row],[Engagement]]/Table1_2[[#This Row],[Campaign Budget]]</f>
        <v>3.0672222222222222E-2</v>
      </c>
      <c r="X310">
        <f>_xlfn.XLOOKUP(Table1_2[[#This Row],[Platform]],'Engagement Summary'!B:B,'Engagement Summary'!H:H,"Not Available",0)</f>
        <v>415</v>
      </c>
      <c r="Y310">
        <f>WEEKNUM(Table1_2[[#This Row],[Date]])</f>
        <v>48</v>
      </c>
      <c r="Z310">
        <f>_xlfn.XLOOKUP(Table1_2[[#This Row],[Platform]],'Engagement Summary'!B:B,'Engagement Summary'!G:G,"Notavailable",0)</f>
        <v>26752</v>
      </c>
    </row>
    <row r="311" spans="1:26" x14ac:dyDescent="0.3">
      <c r="A311" t="s">
        <v>534</v>
      </c>
      <c r="B311" t="s">
        <v>27</v>
      </c>
      <c r="C311" s="4">
        <v>45537</v>
      </c>
      <c r="D311" t="s">
        <v>52</v>
      </c>
      <c r="E311" t="s">
        <v>53</v>
      </c>
      <c r="F311">
        <v>4905</v>
      </c>
      <c r="G311">
        <v>845</v>
      </c>
      <c r="H311">
        <v>129</v>
      </c>
      <c r="I311">
        <v>98100</v>
      </c>
      <c r="J311">
        <v>97772</v>
      </c>
      <c r="K311">
        <v>279</v>
      </c>
      <c r="L311" t="s">
        <v>30</v>
      </c>
      <c r="M311" t="s">
        <v>25</v>
      </c>
      <c r="N311" s="4">
        <v>45566</v>
      </c>
      <c r="O311" s="4">
        <v>45596</v>
      </c>
      <c r="P311" t="s">
        <v>637</v>
      </c>
      <c r="Q311">
        <f>Table1_2[[#This Row],[Likes]]+Table1_2[[#This Row],[Shares]]+Table1_2[[#This Row],[Comments]]</f>
        <v>5879</v>
      </c>
      <c r="R311" s="12">
        <f>(Table1_2[[#This Row],[Likes]]+Table1_2[[#This Row],[Shares]]+Table1_2[[#This Row],[Comments]])/Table1_2[[#This Row],[Impressions]]</f>
        <v>5.9928644240570844E-2</v>
      </c>
      <c r="S311" s="4">
        <f>_xlfn.XLOOKUP(Table1_2[[#This Row],[Campaign_Name]],'Campaign Metadata'!A:A,'Campaign Metadata'!B:B,"not found",0)</f>
        <v>45566</v>
      </c>
      <c r="T311" s="4">
        <f>_xlfn.XLOOKUP(Table1_2[[#This Row],[Campaign_Name]],'Campaign Metadata'!A:A,'Campaign Metadata'!C:C,"not found",0)</f>
        <v>45596</v>
      </c>
      <c r="U311" t="str">
        <f>IF(AND(Table1_2[[#This Row],[Date]]&gt;=Table1_2[[#This Row],[Campaign Start Date2]],Table1_2[[#This Row],[Date]]&lt;=Table1_2[[#This Row],[Campaign End Date3]]),"During Campaign","Before Campaign")</f>
        <v>Before Campaign</v>
      </c>
      <c r="V311" s="30">
        <f>_xlfn.XLOOKUP(Table1_2[[#This Row],[Campaign_Name]],'Campaign Metadata'!A:A,'Campaign Metadata'!E:E,"Not Available",0)</f>
        <v>200000</v>
      </c>
      <c r="W311">
        <f>Table1_2[[#This Row],[Engagement]]/Table1_2[[#This Row],[Campaign Budget]]</f>
        <v>2.9395000000000001E-2</v>
      </c>
      <c r="X311">
        <f>_xlfn.XLOOKUP(Table1_2[[#This Row],[Platform]],'Engagement Summary'!B:B,'Engagement Summary'!H:H,"Not Available",0)</f>
        <v>1090</v>
      </c>
      <c r="Y311">
        <f>WEEKNUM(Table1_2[[#This Row],[Date]])</f>
        <v>36</v>
      </c>
      <c r="Z311">
        <f>_xlfn.XLOOKUP(Table1_2[[#This Row],[Platform]],'Engagement Summary'!B:B,'Engagement Summary'!G:G,"Notavailable",0)</f>
        <v>30671</v>
      </c>
    </row>
    <row r="312" spans="1:26" x14ac:dyDescent="0.3">
      <c r="A312" t="s">
        <v>535</v>
      </c>
      <c r="B312" t="s">
        <v>27</v>
      </c>
      <c r="C312" s="4">
        <v>45586</v>
      </c>
      <c r="D312" t="s">
        <v>74</v>
      </c>
      <c r="E312" t="s">
        <v>219</v>
      </c>
      <c r="F312">
        <v>4275</v>
      </c>
      <c r="G312">
        <v>680</v>
      </c>
      <c r="H312">
        <v>385</v>
      </c>
      <c r="I312">
        <v>64125</v>
      </c>
      <c r="J312">
        <v>63650</v>
      </c>
      <c r="K312">
        <v>104</v>
      </c>
      <c r="L312" t="s">
        <v>37</v>
      </c>
      <c r="M312" t="s">
        <v>38</v>
      </c>
      <c r="N312" s="4">
        <v>45717</v>
      </c>
      <c r="O312" s="4">
        <v>45747</v>
      </c>
      <c r="P312" t="s">
        <v>637</v>
      </c>
      <c r="Q312">
        <f>Table1_2[[#This Row],[Likes]]+Table1_2[[#This Row],[Shares]]+Table1_2[[#This Row],[Comments]]</f>
        <v>5340</v>
      </c>
      <c r="R312" s="12">
        <f>(Table1_2[[#This Row],[Likes]]+Table1_2[[#This Row],[Shares]]+Table1_2[[#This Row],[Comments]])/Table1_2[[#This Row],[Impressions]]</f>
        <v>8.3274853801169585E-2</v>
      </c>
      <c r="S312" s="4">
        <f>_xlfn.XLOOKUP(Table1_2[[#This Row],[Campaign_Name]],'Campaign Metadata'!A:A,'Campaign Metadata'!B:B,"not found",0)</f>
        <v>45717</v>
      </c>
      <c r="T312" s="4">
        <f>_xlfn.XLOOKUP(Table1_2[[#This Row],[Campaign_Name]],'Campaign Metadata'!A:A,'Campaign Metadata'!C:C,"not found",0)</f>
        <v>45747</v>
      </c>
      <c r="U312" t="str">
        <f>IF(AND(Table1_2[[#This Row],[Date]]&gt;=Table1_2[[#This Row],[Campaign Start Date2]],Table1_2[[#This Row],[Date]]&lt;=Table1_2[[#This Row],[Campaign End Date3]]),"During Campaign","Before Campaign")</f>
        <v>Before Campaign</v>
      </c>
      <c r="V312" s="30">
        <f>_xlfn.XLOOKUP(Table1_2[[#This Row],[Campaign_Name]],'Campaign Metadata'!A:A,'Campaign Metadata'!E:E,"Not Available",0)</f>
        <v>180000</v>
      </c>
      <c r="W312">
        <f>Table1_2[[#This Row],[Engagement]]/Table1_2[[#This Row],[Campaign Budget]]</f>
        <v>2.9666666666666668E-2</v>
      </c>
      <c r="X312">
        <f>_xlfn.XLOOKUP(Table1_2[[#This Row],[Platform]],'Engagement Summary'!B:B,'Engagement Summary'!H:H,"Not Available",0)</f>
        <v>1090</v>
      </c>
      <c r="Y312">
        <f>WEEKNUM(Table1_2[[#This Row],[Date]])</f>
        <v>43</v>
      </c>
      <c r="Z312">
        <f>_xlfn.XLOOKUP(Table1_2[[#This Row],[Platform]],'Engagement Summary'!B:B,'Engagement Summary'!G:G,"Notavailable",0)</f>
        <v>30671</v>
      </c>
    </row>
    <row r="313" spans="1:26" x14ac:dyDescent="0.3">
      <c r="A313" t="s">
        <v>535</v>
      </c>
      <c r="B313" t="s">
        <v>27</v>
      </c>
      <c r="C313" s="4">
        <v>45586</v>
      </c>
      <c r="D313" t="s">
        <v>74</v>
      </c>
      <c r="E313" t="s">
        <v>219</v>
      </c>
      <c r="F313">
        <v>4275</v>
      </c>
      <c r="G313">
        <v>680</v>
      </c>
      <c r="H313">
        <v>385</v>
      </c>
      <c r="I313">
        <v>64125</v>
      </c>
      <c r="J313">
        <v>63650</v>
      </c>
      <c r="K313">
        <v>104</v>
      </c>
      <c r="L313" t="s">
        <v>30</v>
      </c>
      <c r="M313" t="s">
        <v>38</v>
      </c>
      <c r="N313" s="4">
        <v>45717</v>
      </c>
      <c r="O313" s="4">
        <v>45747</v>
      </c>
      <c r="P313" t="s">
        <v>637</v>
      </c>
      <c r="Q313">
        <f>Table1_2[[#This Row],[Likes]]+Table1_2[[#This Row],[Shares]]+Table1_2[[#This Row],[Comments]]</f>
        <v>5340</v>
      </c>
      <c r="R313" s="12">
        <f>(Table1_2[[#This Row],[Likes]]+Table1_2[[#This Row],[Shares]]+Table1_2[[#This Row],[Comments]])/Table1_2[[#This Row],[Impressions]]</f>
        <v>8.3274853801169585E-2</v>
      </c>
      <c r="S313" s="4">
        <f>_xlfn.XLOOKUP(Table1_2[[#This Row],[Campaign_Name]],'Campaign Metadata'!A:A,'Campaign Metadata'!B:B,"not found",0)</f>
        <v>45717</v>
      </c>
      <c r="T313" s="4">
        <f>_xlfn.XLOOKUP(Table1_2[[#This Row],[Campaign_Name]],'Campaign Metadata'!A:A,'Campaign Metadata'!C:C,"not found",0)</f>
        <v>45747</v>
      </c>
      <c r="U313" t="str">
        <f>IF(AND(Table1_2[[#This Row],[Date]]&gt;=Table1_2[[#This Row],[Campaign Start Date2]],Table1_2[[#This Row],[Date]]&lt;=Table1_2[[#This Row],[Campaign End Date3]]),"During Campaign","Before Campaign")</f>
        <v>Before Campaign</v>
      </c>
      <c r="V313" s="30">
        <f>_xlfn.XLOOKUP(Table1_2[[#This Row],[Campaign_Name]],'Campaign Metadata'!A:A,'Campaign Metadata'!E:E,"Not Available",0)</f>
        <v>180000</v>
      </c>
      <c r="W313">
        <f>Table1_2[[#This Row],[Engagement]]/Table1_2[[#This Row],[Campaign Budget]]</f>
        <v>2.9666666666666668E-2</v>
      </c>
      <c r="X313">
        <f>_xlfn.XLOOKUP(Table1_2[[#This Row],[Platform]],'Engagement Summary'!B:B,'Engagement Summary'!H:H,"Not Available",0)</f>
        <v>1090</v>
      </c>
      <c r="Y313">
        <f>WEEKNUM(Table1_2[[#This Row],[Date]])</f>
        <v>43</v>
      </c>
      <c r="Z313">
        <f>_xlfn.XLOOKUP(Table1_2[[#This Row],[Platform]],'Engagement Summary'!B:B,'Engagement Summary'!G:G,"Notavailable",0)</f>
        <v>30671</v>
      </c>
    </row>
    <row r="314" spans="1:26" s="42" customFormat="1" x14ac:dyDescent="0.3">
      <c r="A314" s="42" t="s">
        <v>535</v>
      </c>
      <c r="B314" s="42" t="s">
        <v>27</v>
      </c>
      <c r="C314" s="43">
        <v>45586</v>
      </c>
      <c r="D314" s="42" t="s">
        <v>74</v>
      </c>
      <c r="E314" s="42" t="s">
        <v>219</v>
      </c>
      <c r="F314" s="42">
        <v>4275</v>
      </c>
      <c r="G314" s="42">
        <v>680</v>
      </c>
      <c r="H314" s="42">
        <v>385</v>
      </c>
      <c r="I314" s="42">
        <v>64125</v>
      </c>
      <c r="J314" s="42">
        <v>63650</v>
      </c>
      <c r="K314" s="42">
        <v>104</v>
      </c>
      <c r="L314" s="42" t="s">
        <v>615</v>
      </c>
      <c r="M314" s="42" t="s">
        <v>38</v>
      </c>
      <c r="N314" s="43">
        <v>45717</v>
      </c>
      <c r="O314" s="43">
        <v>45747</v>
      </c>
      <c r="P314" s="42" t="s">
        <v>637</v>
      </c>
      <c r="Q314" s="42">
        <f>Table1_2[[#This Row],[Likes]]+Table1_2[[#This Row],[Shares]]+Table1_2[[#This Row],[Comments]]</f>
        <v>5340</v>
      </c>
      <c r="R314" s="44">
        <f>(Table1_2[[#This Row],[Likes]]+Table1_2[[#This Row],[Shares]]+Table1_2[[#This Row],[Comments]])/Table1_2[[#This Row],[Impressions]]</f>
        <v>8.3274853801169585E-2</v>
      </c>
      <c r="S314" s="43">
        <f>_xlfn.XLOOKUP(Table1_2[[#This Row],[Campaign_Name]],'Campaign Metadata'!A:A,'Campaign Metadata'!B:B,"not found",0)</f>
        <v>45717</v>
      </c>
      <c r="T314" s="43">
        <f>_xlfn.XLOOKUP(Table1_2[[#This Row],[Campaign_Name]],'Campaign Metadata'!A:A,'Campaign Metadata'!C:C,"not found",0)</f>
        <v>45747</v>
      </c>
      <c r="U314" s="42" t="str">
        <f>IF(AND(Table1_2[[#This Row],[Date]]&gt;=Table1_2[[#This Row],[Campaign Start Date2]],Table1_2[[#This Row],[Date]]&lt;=Table1_2[[#This Row],[Campaign End Date3]]),"During Campaign","Before Campaign")</f>
        <v>Before Campaign</v>
      </c>
      <c r="V314" s="45">
        <f>_xlfn.XLOOKUP(Table1_2[[#This Row],[Campaign_Name]],'Campaign Metadata'!A:A,'Campaign Metadata'!E:E,"Not Available",0)</f>
        <v>180000</v>
      </c>
      <c r="W314" s="42">
        <f>Table1_2[[#This Row],[Engagement]]/Table1_2[[#This Row],[Campaign Budget]]</f>
        <v>2.9666666666666668E-2</v>
      </c>
      <c r="X314" s="42">
        <f>_xlfn.XLOOKUP(Table1_2[[#This Row],[Platform]],'Engagement Summary'!B:B,'Engagement Summary'!H:H,"Not Available",0)</f>
        <v>1090</v>
      </c>
      <c r="Y314" s="42">
        <f>WEEKNUM(Table1_2[[#This Row],[Date]])</f>
        <v>43</v>
      </c>
      <c r="Z314" s="42">
        <f>_xlfn.XLOOKUP(Table1_2[[#This Row],[Platform]],'Engagement Summary'!B:B,'Engagement Summary'!G:G,"Notavailable",0)</f>
        <v>30671</v>
      </c>
    </row>
    <row r="315" spans="1:26" x14ac:dyDescent="0.3">
      <c r="A315" t="s">
        <v>536</v>
      </c>
      <c r="B315" t="s">
        <v>27</v>
      </c>
      <c r="C315" s="4">
        <v>45738</v>
      </c>
      <c r="D315" t="s">
        <v>52</v>
      </c>
      <c r="E315" t="s">
        <v>53</v>
      </c>
      <c r="F315">
        <v>3166</v>
      </c>
      <c r="G315">
        <v>90</v>
      </c>
      <c r="H315">
        <v>341</v>
      </c>
      <c r="I315">
        <v>56988</v>
      </c>
      <c r="J315">
        <v>56125</v>
      </c>
      <c r="K315">
        <v>135</v>
      </c>
      <c r="L315" t="s">
        <v>37</v>
      </c>
      <c r="M315" t="s">
        <v>25</v>
      </c>
      <c r="N315" s="4">
        <v>45566</v>
      </c>
      <c r="O315" s="4">
        <v>45596</v>
      </c>
      <c r="P315" t="s">
        <v>637</v>
      </c>
      <c r="Q315">
        <f>Table1_2[[#This Row],[Likes]]+Table1_2[[#This Row],[Shares]]+Table1_2[[#This Row],[Comments]]</f>
        <v>3597</v>
      </c>
      <c r="R315" s="12">
        <f>(Table1_2[[#This Row],[Likes]]+Table1_2[[#This Row],[Shares]]+Table1_2[[#This Row],[Comments]])/Table1_2[[#This Row],[Impressions]]</f>
        <v>6.3118551273952411E-2</v>
      </c>
      <c r="S315" s="4">
        <f>_xlfn.XLOOKUP(Table1_2[[#This Row],[Campaign_Name]],'Campaign Metadata'!A:A,'Campaign Metadata'!B:B,"not found",0)</f>
        <v>45566</v>
      </c>
      <c r="T315" s="4">
        <f>_xlfn.XLOOKUP(Table1_2[[#This Row],[Campaign_Name]],'Campaign Metadata'!A:A,'Campaign Metadata'!C:C,"not found",0)</f>
        <v>45596</v>
      </c>
      <c r="U315" t="str">
        <f>IF(AND(Table1_2[[#This Row],[Date]]&gt;=Table1_2[[#This Row],[Campaign Start Date2]],Table1_2[[#This Row],[Date]]&lt;=Table1_2[[#This Row],[Campaign End Date3]]),"During Campaign","Before Campaign")</f>
        <v>Before Campaign</v>
      </c>
      <c r="V315" s="30">
        <f>_xlfn.XLOOKUP(Table1_2[[#This Row],[Campaign_Name]],'Campaign Metadata'!A:A,'Campaign Metadata'!E:E,"Not Available",0)</f>
        <v>200000</v>
      </c>
      <c r="W315">
        <f>Table1_2[[#This Row],[Engagement]]/Table1_2[[#This Row],[Campaign Budget]]</f>
        <v>1.7985000000000001E-2</v>
      </c>
      <c r="X315">
        <f>_xlfn.XLOOKUP(Table1_2[[#This Row],[Platform]],'Engagement Summary'!B:B,'Engagement Summary'!H:H,"Not Available",0)</f>
        <v>1090</v>
      </c>
      <c r="Y315">
        <f>WEEKNUM(Table1_2[[#This Row],[Date]])</f>
        <v>12</v>
      </c>
      <c r="Z315">
        <f>_xlfn.XLOOKUP(Table1_2[[#This Row],[Platform]],'Engagement Summary'!B:B,'Engagement Summary'!G:G,"Notavailable",0)</f>
        <v>30671</v>
      </c>
    </row>
    <row r="316" spans="1:26" x14ac:dyDescent="0.3">
      <c r="A316" t="s">
        <v>538</v>
      </c>
      <c r="B316" t="s">
        <v>33</v>
      </c>
      <c r="C316" s="4">
        <v>45568</v>
      </c>
      <c r="D316" t="s">
        <v>74</v>
      </c>
      <c r="E316" t="s">
        <v>85</v>
      </c>
      <c r="F316">
        <v>1488</v>
      </c>
      <c r="G316">
        <v>417</v>
      </c>
      <c r="H316">
        <v>168</v>
      </c>
      <c r="I316">
        <v>19344</v>
      </c>
      <c r="J316">
        <v>18395</v>
      </c>
      <c r="K316">
        <v>30</v>
      </c>
      <c r="L316" t="s">
        <v>62</v>
      </c>
      <c r="M316" t="s">
        <v>31</v>
      </c>
      <c r="N316" s="4">
        <v>45651</v>
      </c>
      <c r="O316" s="4">
        <v>45667</v>
      </c>
      <c r="P316" t="s">
        <v>637</v>
      </c>
      <c r="Q316">
        <f>Table1_2[[#This Row],[Likes]]+Table1_2[[#This Row],[Shares]]+Table1_2[[#This Row],[Comments]]</f>
        <v>2073</v>
      </c>
      <c r="R316" s="12">
        <f>(Table1_2[[#This Row],[Likes]]+Table1_2[[#This Row],[Shares]]+Table1_2[[#This Row],[Comments]])/Table1_2[[#This Row],[Impressions]]</f>
        <v>0.1071650124069479</v>
      </c>
      <c r="S316" s="4">
        <f>_xlfn.XLOOKUP(Table1_2[[#This Row],[Campaign_Name]],'Campaign Metadata'!A:A,'Campaign Metadata'!B:B,"not found",0)</f>
        <v>45651</v>
      </c>
      <c r="T316" s="4">
        <f>_xlfn.XLOOKUP(Table1_2[[#This Row],[Campaign_Name]],'Campaign Metadata'!A:A,'Campaign Metadata'!C:C,"not found",0)</f>
        <v>45667</v>
      </c>
      <c r="U316" t="str">
        <f>IF(AND(Table1_2[[#This Row],[Date]]&gt;=Table1_2[[#This Row],[Campaign Start Date2]],Table1_2[[#This Row],[Date]]&lt;=Table1_2[[#This Row],[Campaign End Date3]]),"During Campaign","Before Campaign")</f>
        <v>Before Campaign</v>
      </c>
      <c r="V316" s="30">
        <f>_xlfn.XLOOKUP(Table1_2[[#This Row],[Campaign_Name]],'Campaign Metadata'!A:A,'Campaign Metadata'!E:E,"Not Available",0)</f>
        <v>250000</v>
      </c>
      <c r="W316">
        <f>Table1_2[[#This Row],[Engagement]]/Table1_2[[#This Row],[Campaign Budget]]</f>
        <v>8.2920000000000008E-3</v>
      </c>
      <c r="X316">
        <f>_xlfn.XLOOKUP(Table1_2[[#This Row],[Platform]],'Engagement Summary'!B:B,'Engagement Summary'!H:H,"Not Available",0)</f>
        <v>1047</v>
      </c>
      <c r="Y316">
        <f>WEEKNUM(Table1_2[[#This Row],[Date]])</f>
        <v>40</v>
      </c>
      <c r="Z316">
        <f>_xlfn.XLOOKUP(Table1_2[[#This Row],[Platform]],'Engagement Summary'!B:B,'Engagement Summary'!G:G,"Notavailable",0)</f>
        <v>5904</v>
      </c>
    </row>
    <row r="317" spans="1:26" x14ac:dyDescent="0.3">
      <c r="A317" t="s">
        <v>540</v>
      </c>
      <c r="B317" t="s">
        <v>14</v>
      </c>
      <c r="C317" s="4">
        <v>45786</v>
      </c>
      <c r="D317" t="s">
        <v>16</v>
      </c>
      <c r="E317" t="s">
        <v>17</v>
      </c>
      <c r="F317">
        <v>3367</v>
      </c>
      <c r="G317">
        <v>302</v>
      </c>
      <c r="H317">
        <v>57</v>
      </c>
      <c r="I317">
        <v>63973</v>
      </c>
      <c r="J317">
        <v>63789</v>
      </c>
      <c r="K317">
        <v>157</v>
      </c>
      <c r="L317" t="s">
        <v>62</v>
      </c>
      <c r="M317" t="s">
        <v>25</v>
      </c>
      <c r="N317" s="4">
        <v>45566</v>
      </c>
      <c r="O317" s="4">
        <v>45596</v>
      </c>
      <c r="P317" t="s">
        <v>637</v>
      </c>
      <c r="Q317">
        <f>Table1_2[[#This Row],[Likes]]+Table1_2[[#This Row],[Shares]]+Table1_2[[#This Row],[Comments]]</f>
        <v>3726</v>
      </c>
      <c r="R317" s="12">
        <f>(Table1_2[[#This Row],[Likes]]+Table1_2[[#This Row],[Shares]]+Table1_2[[#This Row],[Comments]])/Table1_2[[#This Row],[Impressions]]</f>
        <v>5.8243321401216137E-2</v>
      </c>
      <c r="S317" s="4">
        <f>_xlfn.XLOOKUP(Table1_2[[#This Row],[Campaign_Name]],'Campaign Metadata'!A:A,'Campaign Metadata'!B:B,"not found",0)</f>
        <v>45566</v>
      </c>
      <c r="T317" s="4">
        <f>_xlfn.XLOOKUP(Table1_2[[#This Row],[Campaign_Name]],'Campaign Metadata'!A:A,'Campaign Metadata'!C:C,"not found",0)</f>
        <v>45596</v>
      </c>
      <c r="U317" t="str">
        <f>IF(AND(Table1_2[[#This Row],[Date]]&gt;=Table1_2[[#This Row],[Campaign Start Date2]],Table1_2[[#This Row],[Date]]&lt;=Table1_2[[#This Row],[Campaign End Date3]]),"During Campaign","Before Campaign")</f>
        <v>Before Campaign</v>
      </c>
      <c r="V317" s="30">
        <f>_xlfn.XLOOKUP(Table1_2[[#This Row],[Campaign_Name]],'Campaign Metadata'!A:A,'Campaign Metadata'!E:E,"Not Available",0)</f>
        <v>200000</v>
      </c>
      <c r="W317">
        <f>Table1_2[[#This Row],[Engagement]]/Table1_2[[#This Row],[Campaign Budget]]</f>
        <v>1.8630000000000001E-2</v>
      </c>
      <c r="X317">
        <f>_xlfn.XLOOKUP(Table1_2[[#This Row],[Platform]],'Engagement Summary'!B:B,'Engagement Summary'!H:H,"Not Available",0)</f>
        <v>415</v>
      </c>
      <c r="Y317">
        <f>WEEKNUM(Table1_2[[#This Row],[Date]])</f>
        <v>19</v>
      </c>
      <c r="Z317">
        <f>_xlfn.XLOOKUP(Table1_2[[#This Row],[Platform]],'Engagement Summary'!B:B,'Engagement Summary'!G:G,"Notavailable",0)</f>
        <v>26752</v>
      </c>
    </row>
    <row r="318" spans="1:26" x14ac:dyDescent="0.3">
      <c r="A318" t="s">
        <v>542</v>
      </c>
      <c r="B318" t="s">
        <v>14</v>
      </c>
      <c r="C318" s="4">
        <v>45552</v>
      </c>
      <c r="D318" t="s">
        <v>22</v>
      </c>
      <c r="E318" t="s">
        <v>23</v>
      </c>
      <c r="F318">
        <v>571</v>
      </c>
      <c r="G318">
        <v>190</v>
      </c>
      <c r="H318">
        <v>352</v>
      </c>
      <c r="I318">
        <v>9707</v>
      </c>
      <c r="J318">
        <v>9418</v>
      </c>
      <c r="K318">
        <v>231</v>
      </c>
      <c r="L318" t="s">
        <v>30</v>
      </c>
      <c r="M318" t="s">
        <v>38</v>
      </c>
      <c r="N318" s="4">
        <v>45717</v>
      </c>
      <c r="O318" s="4">
        <v>45747</v>
      </c>
      <c r="P318" t="s">
        <v>637</v>
      </c>
      <c r="Q318">
        <f>Table1_2[[#This Row],[Likes]]+Table1_2[[#This Row],[Shares]]+Table1_2[[#This Row],[Comments]]</f>
        <v>1113</v>
      </c>
      <c r="R318" s="12">
        <f>(Table1_2[[#This Row],[Likes]]+Table1_2[[#This Row],[Shares]]+Table1_2[[#This Row],[Comments]])/Table1_2[[#This Row],[Impressions]]</f>
        <v>0.11465952405480581</v>
      </c>
      <c r="S318" s="4">
        <f>_xlfn.XLOOKUP(Table1_2[[#This Row],[Campaign_Name]],'Campaign Metadata'!A:A,'Campaign Metadata'!B:B,"not found",0)</f>
        <v>45717</v>
      </c>
      <c r="T318" s="4">
        <f>_xlfn.XLOOKUP(Table1_2[[#This Row],[Campaign_Name]],'Campaign Metadata'!A:A,'Campaign Metadata'!C:C,"not found",0)</f>
        <v>45747</v>
      </c>
      <c r="U318" t="str">
        <f>IF(AND(Table1_2[[#This Row],[Date]]&gt;=Table1_2[[#This Row],[Campaign Start Date2]],Table1_2[[#This Row],[Date]]&lt;=Table1_2[[#This Row],[Campaign End Date3]]),"During Campaign","Before Campaign")</f>
        <v>Before Campaign</v>
      </c>
      <c r="V318" s="30">
        <f>_xlfn.XLOOKUP(Table1_2[[#This Row],[Campaign_Name]],'Campaign Metadata'!A:A,'Campaign Metadata'!E:E,"Not Available",0)</f>
        <v>180000</v>
      </c>
      <c r="W318">
        <f>Table1_2[[#This Row],[Engagement]]/Table1_2[[#This Row],[Campaign Budget]]</f>
        <v>6.1833333333333332E-3</v>
      </c>
      <c r="X318">
        <f>_xlfn.XLOOKUP(Table1_2[[#This Row],[Platform]],'Engagement Summary'!B:B,'Engagement Summary'!H:H,"Not Available",0)</f>
        <v>415</v>
      </c>
      <c r="Y318">
        <f>WEEKNUM(Table1_2[[#This Row],[Date]])</f>
        <v>38</v>
      </c>
      <c r="Z318">
        <f>_xlfn.XLOOKUP(Table1_2[[#This Row],[Platform]],'Engagement Summary'!B:B,'Engagement Summary'!G:G,"Notavailable",0)</f>
        <v>26752</v>
      </c>
    </row>
    <row r="319" spans="1:26" x14ac:dyDescent="0.3">
      <c r="A319" t="s">
        <v>543</v>
      </c>
      <c r="B319" t="s">
        <v>27</v>
      </c>
      <c r="C319" s="4">
        <v>45491</v>
      </c>
      <c r="D319" t="s">
        <v>22</v>
      </c>
      <c r="E319" t="s">
        <v>104</v>
      </c>
      <c r="F319">
        <v>4021</v>
      </c>
      <c r="G319">
        <v>794</v>
      </c>
      <c r="H319">
        <v>77</v>
      </c>
      <c r="I319">
        <v>36189</v>
      </c>
      <c r="J319">
        <v>35505</v>
      </c>
      <c r="K319">
        <v>174</v>
      </c>
      <c r="L319" t="s">
        <v>37</v>
      </c>
      <c r="M319" t="s">
        <v>617</v>
      </c>
      <c r="N319" s="4">
        <v>0</v>
      </c>
      <c r="O319" s="4">
        <v>0</v>
      </c>
      <c r="P319" t="s">
        <v>637</v>
      </c>
      <c r="Q319">
        <f>Table1_2[[#This Row],[Likes]]+Table1_2[[#This Row],[Shares]]+Table1_2[[#This Row],[Comments]]</f>
        <v>4892</v>
      </c>
      <c r="R319" s="12">
        <f>(Table1_2[[#This Row],[Likes]]+Table1_2[[#This Row],[Shares]]+Table1_2[[#This Row],[Comments]])/Table1_2[[#This Row],[Impressions]]</f>
        <v>0.13517919809886983</v>
      </c>
      <c r="S319" s="4" t="str">
        <f>_xlfn.XLOOKUP(Table1_2[[#This Row],[Campaign_Name]],'Campaign Metadata'!A:A,'Campaign Metadata'!B:B,"not found",0)</f>
        <v>not found</v>
      </c>
      <c r="T319" s="4" t="str">
        <f>_xlfn.XLOOKUP(Table1_2[[#This Row],[Campaign_Name]],'Campaign Metadata'!A:A,'Campaign Metadata'!C:C,"not found",0)</f>
        <v>not found</v>
      </c>
      <c r="U319" t="str">
        <f>IF(AND(Table1_2[[#This Row],[Date]]&gt;=Table1_2[[#This Row],[Campaign Start Date2]],Table1_2[[#This Row],[Date]]&lt;=Table1_2[[#This Row],[Campaign End Date3]]),"During Campaign","Before Campaign")</f>
        <v>Before Campaign</v>
      </c>
      <c r="V319" s="30" t="str">
        <f>_xlfn.XLOOKUP(Table1_2[[#This Row],[Campaign_Name]],'Campaign Metadata'!A:A,'Campaign Metadata'!E:E,"Not Available",0)</f>
        <v>Not Available</v>
      </c>
      <c r="W319" t="e">
        <f>Table1_2[[#This Row],[Engagement]]/Table1_2[[#This Row],[Campaign Budget]]</f>
        <v>#VALUE!</v>
      </c>
      <c r="X319">
        <f>_xlfn.XLOOKUP(Table1_2[[#This Row],[Platform]],'Engagement Summary'!B:B,'Engagement Summary'!H:H,"Not Available",0)</f>
        <v>1090</v>
      </c>
      <c r="Y319">
        <f>WEEKNUM(Table1_2[[#This Row],[Date]])</f>
        <v>29</v>
      </c>
      <c r="Z319">
        <f>_xlfn.XLOOKUP(Table1_2[[#This Row],[Platform]],'Engagement Summary'!B:B,'Engagement Summary'!G:G,"Notavailable",0)</f>
        <v>30671</v>
      </c>
    </row>
    <row r="320" spans="1:26" x14ac:dyDescent="0.3">
      <c r="A320" t="s">
        <v>544</v>
      </c>
      <c r="B320" t="s">
        <v>27</v>
      </c>
      <c r="C320" s="4">
        <v>45560</v>
      </c>
      <c r="D320" t="s">
        <v>74</v>
      </c>
      <c r="E320" t="s">
        <v>219</v>
      </c>
      <c r="F320">
        <v>3389</v>
      </c>
      <c r="G320">
        <v>344</v>
      </c>
      <c r="H320">
        <v>229</v>
      </c>
      <c r="I320">
        <v>20334</v>
      </c>
      <c r="J320">
        <v>19443</v>
      </c>
      <c r="K320">
        <v>228</v>
      </c>
      <c r="L320" t="s">
        <v>62</v>
      </c>
      <c r="M320" t="s">
        <v>31</v>
      </c>
      <c r="N320" s="4">
        <v>45651</v>
      </c>
      <c r="O320" s="4">
        <v>45667</v>
      </c>
      <c r="P320" t="s">
        <v>637</v>
      </c>
      <c r="Q320">
        <f>Table1_2[[#This Row],[Likes]]+Table1_2[[#This Row],[Shares]]+Table1_2[[#This Row],[Comments]]</f>
        <v>3962</v>
      </c>
      <c r="R320" s="12">
        <f>(Table1_2[[#This Row],[Likes]]+Table1_2[[#This Row],[Shares]]+Table1_2[[#This Row],[Comments]])/Table1_2[[#This Row],[Impressions]]</f>
        <v>0.19484607062063539</v>
      </c>
      <c r="S320" s="4">
        <f>_xlfn.XLOOKUP(Table1_2[[#This Row],[Campaign_Name]],'Campaign Metadata'!A:A,'Campaign Metadata'!B:B,"not found",0)</f>
        <v>45651</v>
      </c>
      <c r="T320" s="4">
        <f>_xlfn.XLOOKUP(Table1_2[[#This Row],[Campaign_Name]],'Campaign Metadata'!A:A,'Campaign Metadata'!C:C,"not found",0)</f>
        <v>45667</v>
      </c>
      <c r="U320" t="str">
        <f>IF(AND(Table1_2[[#This Row],[Date]]&gt;=Table1_2[[#This Row],[Campaign Start Date2]],Table1_2[[#This Row],[Date]]&lt;=Table1_2[[#This Row],[Campaign End Date3]]),"During Campaign","Before Campaign")</f>
        <v>Before Campaign</v>
      </c>
      <c r="V320" s="30">
        <f>_xlfn.XLOOKUP(Table1_2[[#This Row],[Campaign_Name]],'Campaign Metadata'!A:A,'Campaign Metadata'!E:E,"Not Available",0)</f>
        <v>250000</v>
      </c>
      <c r="W320">
        <f>Table1_2[[#This Row],[Engagement]]/Table1_2[[#This Row],[Campaign Budget]]</f>
        <v>1.5848000000000001E-2</v>
      </c>
      <c r="X320">
        <f>_xlfn.XLOOKUP(Table1_2[[#This Row],[Platform]],'Engagement Summary'!B:B,'Engagement Summary'!H:H,"Not Available",0)</f>
        <v>1090</v>
      </c>
      <c r="Y320">
        <f>WEEKNUM(Table1_2[[#This Row],[Date]])</f>
        <v>39</v>
      </c>
      <c r="Z320">
        <f>_xlfn.XLOOKUP(Table1_2[[#This Row],[Platform]],'Engagement Summary'!B:B,'Engagement Summary'!G:G,"Notavailable",0)</f>
        <v>30671</v>
      </c>
    </row>
    <row r="321" spans="1:26" x14ac:dyDescent="0.3">
      <c r="A321" t="s">
        <v>546</v>
      </c>
      <c r="B321" t="s">
        <v>33</v>
      </c>
      <c r="C321" s="4">
        <v>45519</v>
      </c>
      <c r="D321" t="s">
        <v>16</v>
      </c>
      <c r="E321" t="s">
        <v>82</v>
      </c>
      <c r="F321">
        <v>1164</v>
      </c>
      <c r="G321">
        <v>616</v>
      </c>
      <c r="H321">
        <v>324</v>
      </c>
      <c r="I321">
        <v>6984</v>
      </c>
      <c r="J321">
        <v>6636</v>
      </c>
      <c r="K321">
        <v>82</v>
      </c>
      <c r="L321" t="s">
        <v>37</v>
      </c>
      <c r="M321" t="s">
        <v>19</v>
      </c>
      <c r="N321" s="4">
        <v>45458</v>
      </c>
      <c r="O321" s="4">
        <v>45488</v>
      </c>
      <c r="P321" t="s">
        <v>637</v>
      </c>
      <c r="Q321">
        <f>Table1_2[[#This Row],[Likes]]+Table1_2[[#This Row],[Shares]]+Table1_2[[#This Row],[Comments]]</f>
        <v>2104</v>
      </c>
      <c r="R321" s="12">
        <f>(Table1_2[[#This Row],[Likes]]+Table1_2[[#This Row],[Shares]]+Table1_2[[#This Row],[Comments]])/Table1_2[[#This Row],[Impressions]]</f>
        <v>0.30126002290950743</v>
      </c>
      <c r="S321" s="4">
        <f>_xlfn.XLOOKUP(Table1_2[[#This Row],[Campaign_Name]],'Campaign Metadata'!A:A,'Campaign Metadata'!B:B,"not found",0)</f>
        <v>45458</v>
      </c>
      <c r="T321" s="4">
        <f>_xlfn.XLOOKUP(Table1_2[[#This Row],[Campaign_Name]],'Campaign Metadata'!A:A,'Campaign Metadata'!C:C,"not found",0)</f>
        <v>45488</v>
      </c>
      <c r="U321" t="str">
        <f>IF(AND(Table1_2[[#This Row],[Date]]&gt;=Table1_2[[#This Row],[Campaign Start Date2]],Table1_2[[#This Row],[Date]]&lt;=Table1_2[[#This Row],[Campaign End Date3]]),"During Campaign","Before Campaign")</f>
        <v>Before Campaign</v>
      </c>
      <c r="V321" s="30">
        <f>_xlfn.XLOOKUP(Table1_2[[#This Row],[Campaign_Name]],'Campaign Metadata'!A:A,'Campaign Metadata'!E:E,"Not Available",0)</f>
        <v>150000</v>
      </c>
      <c r="W321">
        <f>Table1_2[[#This Row],[Engagement]]/Table1_2[[#This Row],[Campaign Budget]]</f>
        <v>1.4026666666666666E-2</v>
      </c>
      <c r="X321">
        <f>_xlfn.XLOOKUP(Table1_2[[#This Row],[Platform]],'Engagement Summary'!B:B,'Engagement Summary'!H:H,"Not Available",0)</f>
        <v>1047</v>
      </c>
      <c r="Y321">
        <f>WEEKNUM(Table1_2[[#This Row],[Date]])</f>
        <v>33</v>
      </c>
      <c r="Z321">
        <f>_xlfn.XLOOKUP(Table1_2[[#This Row],[Platform]],'Engagement Summary'!B:B,'Engagement Summary'!G:G,"Notavailable",0)</f>
        <v>5904</v>
      </c>
    </row>
    <row r="322" spans="1:26" x14ac:dyDescent="0.3">
      <c r="A322" t="s">
        <v>547</v>
      </c>
      <c r="B322" t="s">
        <v>27</v>
      </c>
      <c r="C322" s="4">
        <v>45764</v>
      </c>
      <c r="D322" t="s">
        <v>45</v>
      </c>
      <c r="E322" t="s">
        <v>68</v>
      </c>
      <c r="F322">
        <v>4780</v>
      </c>
      <c r="G322">
        <v>691</v>
      </c>
      <c r="H322">
        <v>380</v>
      </c>
      <c r="I322">
        <v>86040</v>
      </c>
      <c r="J322">
        <v>85743</v>
      </c>
      <c r="K322">
        <v>262</v>
      </c>
      <c r="L322" t="s">
        <v>62</v>
      </c>
      <c r="M322" t="s">
        <v>31</v>
      </c>
      <c r="N322" s="4">
        <v>45651</v>
      </c>
      <c r="O322" s="4">
        <v>45667</v>
      </c>
      <c r="P322" t="s">
        <v>637</v>
      </c>
      <c r="Q322">
        <f>Table1_2[[#This Row],[Likes]]+Table1_2[[#This Row],[Shares]]+Table1_2[[#This Row],[Comments]]</f>
        <v>5851</v>
      </c>
      <c r="R322" s="12">
        <f>(Table1_2[[#This Row],[Likes]]+Table1_2[[#This Row],[Shares]]+Table1_2[[#This Row],[Comments]])/Table1_2[[#This Row],[Impressions]]</f>
        <v>6.800325430032543E-2</v>
      </c>
      <c r="S322" s="4">
        <f>_xlfn.XLOOKUP(Table1_2[[#This Row],[Campaign_Name]],'Campaign Metadata'!A:A,'Campaign Metadata'!B:B,"not found",0)</f>
        <v>45651</v>
      </c>
      <c r="T322" s="4">
        <f>_xlfn.XLOOKUP(Table1_2[[#This Row],[Campaign_Name]],'Campaign Metadata'!A:A,'Campaign Metadata'!C:C,"not found",0)</f>
        <v>45667</v>
      </c>
      <c r="U322" t="str">
        <f>IF(AND(Table1_2[[#This Row],[Date]]&gt;=Table1_2[[#This Row],[Campaign Start Date2]],Table1_2[[#This Row],[Date]]&lt;=Table1_2[[#This Row],[Campaign End Date3]]),"During Campaign","Before Campaign")</f>
        <v>Before Campaign</v>
      </c>
      <c r="V322" s="30">
        <f>_xlfn.XLOOKUP(Table1_2[[#This Row],[Campaign_Name]],'Campaign Metadata'!A:A,'Campaign Metadata'!E:E,"Not Available",0)</f>
        <v>250000</v>
      </c>
      <c r="W322">
        <f>Table1_2[[#This Row],[Engagement]]/Table1_2[[#This Row],[Campaign Budget]]</f>
        <v>2.3404000000000001E-2</v>
      </c>
      <c r="X322">
        <f>_xlfn.XLOOKUP(Table1_2[[#This Row],[Platform]],'Engagement Summary'!B:B,'Engagement Summary'!H:H,"Not Available",0)</f>
        <v>1090</v>
      </c>
      <c r="Y322">
        <f>WEEKNUM(Table1_2[[#This Row],[Date]])</f>
        <v>16</v>
      </c>
      <c r="Z322">
        <f>_xlfn.XLOOKUP(Table1_2[[#This Row],[Platform]],'Engagement Summary'!B:B,'Engagement Summary'!G:G,"Notavailable",0)</f>
        <v>30671</v>
      </c>
    </row>
    <row r="323" spans="1:26" x14ac:dyDescent="0.3">
      <c r="A323" t="s">
        <v>549</v>
      </c>
      <c r="B323" t="s">
        <v>43</v>
      </c>
      <c r="C323" s="4">
        <v>45624</v>
      </c>
      <c r="D323" t="s">
        <v>45</v>
      </c>
      <c r="E323" t="s">
        <v>46</v>
      </c>
      <c r="F323">
        <v>2751</v>
      </c>
      <c r="G323">
        <v>33</v>
      </c>
      <c r="H323">
        <v>430</v>
      </c>
      <c r="I323">
        <v>44016</v>
      </c>
      <c r="J323">
        <v>43415</v>
      </c>
      <c r="K323">
        <v>129</v>
      </c>
      <c r="L323" t="s">
        <v>62</v>
      </c>
      <c r="M323" t="s">
        <v>617</v>
      </c>
      <c r="N323" s="4">
        <v>0</v>
      </c>
      <c r="O323" s="4">
        <v>0</v>
      </c>
      <c r="P323" t="s">
        <v>637</v>
      </c>
      <c r="Q323">
        <f>Table1_2[[#This Row],[Likes]]+Table1_2[[#This Row],[Shares]]+Table1_2[[#This Row],[Comments]]</f>
        <v>3214</v>
      </c>
      <c r="R323" s="12">
        <f>(Table1_2[[#This Row],[Likes]]+Table1_2[[#This Row],[Shares]]+Table1_2[[#This Row],[Comments]])/Table1_2[[#This Row],[Impressions]]</f>
        <v>7.3018902217375503E-2</v>
      </c>
      <c r="S323" s="4" t="str">
        <f>_xlfn.XLOOKUP(Table1_2[[#This Row],[Campaign_Name]],'Campaign Metadata'!A:A,'Campaign Metadata'!B:B,"not found",0)</f>
        <v>not found</v>
      </c>
      <c r="T323" s="4" t="str">
        <f>_xlfn.XLOOKUP(Table1_2[[#This Row],[Campaign_Name]],'Campaign Metadata'!A:A,'Campaign Metadata'!C:C,"not found",0)</f>
        <v>not found</v>
      </c>
      <c r="U323" t="str">
        <f>IF(AND(Table1_2[[#This Row],[Date]]&gt;=Table1_2[[#This Row],[Campaign Start Date2]],Table1_2[[#This Row],[Date]]&lt;=Table1_2[[#This Row],[Campaign End Date3]]),"During Campaign","Before Campaign")</f>
        <v>Before Campaign</v>
      </c>
      <c r="V323" s="30" t="str">
        <f>_xlfn.XLOOKUP(Table1_2[[#This Row],[Campaign_Name]],'Campaign Metadata'!A:A,'Campaign Metadata'!E:E,"Not Available",0)</f>
        <v>Not Available</v>
      </c>
      <c r="W323" t="e">
        <f>Table1_2[[#This Row],[Engagement]]/Table1_2[[#This Row],[Campaign Budget]]</f>
        <v>#VALUE!</v>
      </c>
      <c r="X323">
        <f>_xlfn.XLOOKUP(Table1_2[[#This Row],[Platform]],'Engagement Summary'!B:B,'Engagement Summary'!H:H,"Not Available",0)</f>
        <v>1002</v>
      </c>
      <c r="Y323">
        <f>WEEKNUM(Table1_2[[#This Row],[Date]])</f>
        <v>48</v>
      </c>
      <c r="Z323">
        <f>_xlfn.XLOOKUP(Table1_2[[#This Row],[Platform]],'Engagement Summary'!B:B,'Engagement Summary'!G:G,"Notavailable",0)</f>
        <v>9566</v>
      </c>
    </row>
    <row r="324" spans="1:26" x14ac:dyDescent="0.3">
      <c r="A324" t="s">
        <v>550</v>
      </c>
      <c r="B324" t="s">
        <v>33</v>
      </c>
      <c r="C324" s="4">
        <v>45646</v>
      </c>
      <c r="D324" t="s">
        <v>45</v>
      </c>
      <c r="E324" t="s">
        <v>88</v>
      </c>
      <c r="F324">
        <v>2107</v>
      </c>
      <c r="G324">
        <v>550</v>
      </c>
      <c r="H324">
        <v>349</v>
      </c>
      <c r="I324">
        <v>35819</v>
      </c>
      <c r="J324">
        <v>35340</v>
      </c>
      <c r="K324">
        <v>191</v>
      </c>
      <c r="L324" t="s">
        <v>37</v>
      </c>
      <c r="M324" t="s">
        <v>38</v>
      </c>
      <c r="N324" s="4">
        <v>45717</v>
      </c>
      <c r="O324" s="4">
        <v>45747</v>
      </c>
      <c r="P324" t="s">
        <v>637</v>
      </c>
      <c r="Q324">
        <f>Table1_2[[#This Row],[Likes]]+Table1_2[[#This Row],[Shares]]+Table1_2[[#This Row],[Comments]]</f>
        <v>3006</v>
      </c>
      <c r="R324" s="12">
        <f>(Table1_2[[#This Row],[Likes]]+Table1_2[[#This Row],[Shares]]+Table1_2[[#This Row],[Comments]])/Table1_2[[#This Row],[Impressions]]</f>
        <v>8.3921940869371006E-2</v>
      </c>
      <c r="S324" s="4">
        <f>_xlfn.XLOOKUP(Table1_2[[#This Row],[Campaign_Name]],'Campaign Metadata'!A:A,'Campaign Metadata'!B:B,"not found",0)</f>
        <v>45717</v>
      </c>
      <c r="T324" s="4">
        <f>_xlfn.XLOOKUP(Table1_2[[#This Row],[Campaign_Name]],'Campaign Metadata'!A:A,'Campaign Metadata'!C:C,"not found",0)</f>
        <v>45747</v>
      </c>
      <c r="U324" t="str">
        <f>IF(AND(Table1_2[[#This Row],[Date]]&gt;=Table1_2[[#This Row],[Campaign Start Date2]],Table1_2[[#This Row],[Date]]&lt;=Table1_2[[#This Row],[Campaign End Date3]]),"During Campaign","Before Campaign")</f>
        <v>Before Campaign</v>
      </c>
      <c r="V324" s="30">
        <f>_xlfn.XLOOKUP(Table1_2[[#This Row],[Campaign_Name]],'Campaign Metadata'!A:A,'Campaign Metadata'!E:E,"Not Available",0)</f>
        <v>180000</v>
      </c>
      <c r="W324">
        <f>Table1_2[[#This Row],[Engagement]]/Table1_2[[#This Row],[Campaign Budget]]</f>
        <v>1.67E-2</v>
      </c>
      <c r="X324">
        <f>_xlfn.XLOOKUP(Table1_2[[#This Row],[Platform]],'Engagement Summary'!B:B,'Engagement Summary'!H:H,"Not Available",0)</f>
        <v>1047</v>
      </c>
      <c r="Y324">
        <f>WEEKNUM(Table1_2[[#This Row],[Date]])</f>
        <v>51</v>
      </c>
      <c r="Z324">
        <f>_xlfn.XLOOKUP(Table1_2[[#This Row],[Platform]],'Engagement Summary'!B:B,'Engagement Summary'!G:G,"Notavailable",0)</f>
        <v>5904</v>
      </c>
    </row>
    <row r="325" spans="1:26" x14ac:dyDescent="0.3">
      <c r="A325" t="s">
        <v>552</v>
      </c>
      <c r="B325" t="s">
        <v>43</v>
      </c>
      <c r="C325" s="4">
        <v>45602</v>
      </c>
      <c r="D325" t="s">
        <v>74</v>
      </c>
      <c r="E325" t="s">
        <v>75</v>
      </c>
      <c r="F325">
        <v>4663</v>
      </c>
      <c r="G325">
        <v>145</v>
      </c>
      <c r="H325">
        <v>225</v>
      </c>
      <c r="I325">
        <v>69945</v>
      </c>
      <c r="J325">
        <v>69596</v>
      </c>
      <c r="K325">
        <v>35</v>
      </c>
      <c r="L325" t="s">
        <v>37</v>
      </c>
      <c r="M325" t="s">
        <v>38</v>
      </c>
      <c r="N325" s="4">
        <v>45717</v>
      </c>
      <c r="O325" s="4">
        <v>45747</v>
      </c>
      <c r="P325" t="s">
        <v>637</v>
      </c>
      <c r="Q325">
        <f>Table1_2[[#This Row],[Likes]]+Table1_2[[#This Row],[Shares]]+Table1_2[[#This Row],[Comments]]</f>
        <v>5033</v>
      </c>
      <c r="R325" s="12">
        <f>(Table1_2[[#This Row],[Likes]]+Table1_2[[#This Row],[Shares]]+Table1_2[[#This Row],[Comments]])/Table1_2[[#This Row],[Impressions]]</f>
        <v>7.1956537279290869E-2</v>
      </c>
      <c r="S325" s="4">
        <f>_xlfn.XLOOKUP(Table1_2[[#This Row],[Campaign_Name]],'Campaign Metadata'!A:A,'Campaign Metadata'!B:B,"not found",0)</f>
        <v>45717</v>
      </c>
      <c r="T325" s="4">
        <f>_xlfn.XLOOKUP(Table1_2[[#This Row],[Campaign_Name]],'Campaign Metadata'!A:A,'Campaign Metadata'!C:C,"not found",0)</f>
        <v>45747</v>
      </c>
      <c r="U325" t="str">
        <f>IF(AND(Table1_2[[#This Row],[Date]]&gt;=Table1_2[[#This Row],[Campaign Start Date2]],Table1_2[[#This Row],[Date]]&lt;=Table1_2[[#This Row],[Campaign End Date3]]),"During Campaign","Before Campaign")</f>
        <v>Before Campaign</v>
      </c>
      <c r="V325" s="30">
        <f>_xlfn.XLOOKUP(Table1_2[[#This Row],[Campaign_Name]],'Campaign Metadata'!A:A,'Campaign Metadata'!E:E,"Not Available",0)</f>
        <v>180000</v>
      </c>
      <c r="W325">
        <f>Table1_2[[#This Row],[Engagement]]/Table1_2[[#This Row],[Campaign Budget]]</f>
        <v>2.796111111111111E-2</v>
      </c>
      <c r="X325">
        <f>_xlfn.XLOOKUP(Table1_2[[#This Row],[Platform]],'Engagement Summary'!B:B,'Engagement Summary'!H:H,"Not Available",0)</f>
        <v>1002</v>
      </c>
      <c r="Y325">
        <f>WEEKNUM(Table1_2[[#This Row],[Date]])</f>
        <v>45</v>
      </c>
      <c r="Z325">
        <f>_xlfn.XLOOKUP(Table1_2[[#This Row],[Platform]],'Engagement Summary'!B:B,'Engagement Summary'!G:G,"Notavailable",0)</f>
        <v>9566</v>
      </c>
    </row>
    <row r="326" spans="1:26" x14ac:dyDescent="0.3">
      <c r="A326" t="s">
        <v>553</v>
      </c>
      <c r="B326" t="s">
        <v>43</v>
      </c>
      <c r="C326" s="4">
        <v>45613</v>
      </c>
      <c r="D326" t="s">
        <v>22</v>
      </c>
      <c r="E326" t="s">
        <v>56</v>
      </c>
      <c r="F326">
        <v>880</v>
      </c>
      <c r="G326">
        <v>297</v>
      </c>
      <c r="H326">
        <v>345</v>
      </c>
      <c r="I326">
        <v>12320</v>
      </c>
      <c r="J326">
        <v>11978</v>
      </c>
      <c r="K326">
        <v>238</v>
      </c>
      <c r="L326" t="s">
        <v>30</v>
      </c>
      <c r="M326" t="s">
        <v>617</v>
      </c>
      <c r="N326" s="4">
        <v>0</v>
      </c>
      <c r="O326" s="4">
        <v>0</v>
      </c>
      <c r="P326" t="s">
        <v>637</v>
      </c>
      <c r="Q326">
        <f>Table1_2[[#This Row],[Likes]]+Table1_2[[#This Row],[Shares]]+Table1_2[[#This Row],[Comments]]</f>
        <v>1522</v>
      </c>
      <c r="R326" s="12">
        <f>(Table1_2[[#This Row],[Likes]]+Table1_2[[#This Row],[Shares]]+Table1_2[[#This Row],[Comments]])/Table1_2[[#This Row],[Impressions]]</f>
        <v>0.12353896103896105</v>
      </c>
      <c r="S326" s="4" t="str">
        <f>_xlfn.XLOOKUP(Table1_2[[#This Row],[Campaign_Name]],'Campaign Metadata'!A:A,'Campaign Metadata'!B:B,"not found",0)</f>
        <v>not found</v>
      </c>
      <c r="T326" s="4" t="str">
        <f>_xlfn.XLOOKUP(Table1_2[[#This Row],[Campaign_Name]],'Campaign Metadata'!A:A,'Campaign Metadata'!C:C,"not found",0)</f>
        <v>not found</v>
      </c>
      <c r="U326" t="str">
        <f>IF(AND(Table1_2[[#This Row],[Date]]&gt;=Table1_2[[#This Row],[Campaign Start Date2]],Table1_2[[#This Row],[Date]]&lt;=Table1_2[[#This Row],[Campaign End Date3]]),"During Campaign","Before Campaign")</f>
        <v>Before Campaign</v>
      </c>
      <c r="V326" s="30" t="str">
        <f>_xlfn.XLOOKUP(Table1_2[[#This Row],[Campaign_Name]],'Campaign Metadata'!A:A,'Campaign Metadata'!E:E,"Not Available",0)</f>
        <v>Not Available</v>
      </c>
      <c r="W326" t="e">
        <f>Table1_2[[#This Row],[Engagement]]/Table1_2[[#This Row],[Campaign Budget]]</f>
        <v>#VALUE!</v>
      </c>
      <c r="X326">
        <f>_xlfn.XLOOKUP(Table1_2[[#This Row],[Platform]],'Engagement Summary'!B:B,'Engagement Summary'!H:H,"Not Available",0)</f>
        <v>1002</v>
      </c>
      <c r="Y326">
        <f>WEEKNUM(Table1_2[[#This Row],[Date]])</f>
        <v>47</v>
      </c>
      <c r="Z326">
        <f>_xlfn.XLOOKUP(Table1_2[[#This Row],[Platform]],'Engagement Summary'!B:B,'Engagement Summary'!G:G,"Notavailable",0)</f>
        <v>9566</v>
      </c>
    </row>
    <row r="327" spans="1:26" x14ac:dyDescent="0.3">
      <c r="A327" t="s">
        <v>553</v>
      </c>
      <c r="B327" t="s">
        <v>43</v>
      </c>
      <c r="C327" s="4">
        <v>45613</v>
      </c>
      <c r="D327" t="s">
        <v>22</v>
      </c>
      <c r="E327" t="s">
        <v>56</v>
      </c>
      <c r="F327">
        <v>880</v>
      </c>
      <c r="G327">
        <v>297</v>
      </c>
      <c r="H327">
        <v>345</v>
      </c>
      <c r="I327">
        <v>12320</v>
      </c>
      <c r="J327">
        <v>11978</v>
      </c>
      <c r="K327">
        <v>238</v>
      </c>
      <c r="L327" t="s">
        <v>615</v>
      </c>
      <c r="M327" t="s">
        <v>617</v>
      </c>
      <c r="N327" s="4">
        <v>0</v>
      </c>
      <c r="O327" s="4">
        <v>0</v>
      </c>
      <c r="P327" t="s">
        <v>637</v>
      </c>
      <c r="Q327">
        <f>Table1_2[[#This Row],[Likes]]+Table1_2[[#This Row],[Shares]]+Table1_2[[#This Row],[Comments]]</f>
        <v>1522</v>
      </c>
      <c r="R327" s="12">
        <f>(Table1_2[[#This Row],[Likes]]+Table1_2[[#This Row],[Shares]]+Table1_2[[#This Row],[Comments]])/Table1_2[[#This Row],[Impressions]]</f>
        <v>0.12353896103896105</v>
      </c>
      <c r="S327" s="4" t="str">
        <f>_xlfn.XLOOKUP(Table1_2[[#This Row],[Campaign_Name]],'Campaign Metadata'!A:A,'Campaign Metadata'!B:B,"not found",0)</f>
        <v>not found</v>
      </c>
      <c r="T327" s="4" t="str">
        <f>_xlfn.XLOOKUP(Table1_2[[#This Row],[Campaign_Name]],'Campaign Metadata'!A:A,'Campaign Metadata'!C:C,"not found",0)</f>
        <v>not found</v>
      </c>
      <c r="U327" t="str">
        <f>IF(AND(Table1_2[[#This Row],[Date]]&gt;=Table1_2[[#This Row],[Campaign Start Date2]],Table1_2[[#This Row],[Date]]&lt;=Table1_2[[#This Row],[Campaign End Date3]]),"During Campaign","Before Campaign")</f>
        <v>Before Campaign</v>
      </c>
      <c r="V327" s="30" t="str">
        <f>_xlfn.XLOOKUP(Table1_2[[#This Row],[Campaign_Name]],'Campaign Metadata'!A:A,'Campaign Metadata'!E:E,"Not Available",0)</f>
        <v>Not Available</v>
      </c>
      <c r="W327" t="e">
        <f>Table1_2[[#This Row],[Engagement]]/Table1_2[[#This Row],[Campaign Budget]]</f>
        <v>#VALUE!</v>
      </c>
      <c r="X327">
        <f>_xlfn.XLOOKUP(Table1_2[[#This Row],[Platform]],'Engagement Summary'!B:B,'Engagement Summary'!H:H,"Not Available",0)</f>
        <v>1002</v>
      </c>
      <c r="Y327">
        <f>WEEKNUM(Table1_2[[#This Row],[Date]])</f>
        <v>47</v>
      </c>
      <c r="Z327">
        <f>_xlfn.XLOOKUP(Table1_2[[#This Row],[Platform]],'Engagement Summary'!B:B,'Engagement Summary'!G:G,"Notavailable",0)</f>
        <v>9566</v>
      </c>
    </row>
    <row r="328" spans="1:26" x14ac:dyDescent="0.3">
      <c r="A328" t="s">
        <v>555</v>
      </c>
      <c r="B328" t="s">
        <v>43</v>
      </c>
      <c r="C328" s="4">
        <v>45791</v>
      </c>
      <c r="D328" t="s">
        <v>22</v>
      </c>
      <c r="E328" t="s">
        <v>56</v>
      </c>
      <c r="F328">
        <v>2634</v>
      </c>
      <c r="G328">
        <v>726</v>
      </c>
      <c r="H328">
        <v>241</v>
      </c>
      <c r="I328">
        <v>28974</v>
      </c>
      <c r="J328">
        <v>28102</v>
      </c>
      <c r="K328">
        <v>277</v>
      </c>
      <c r="L328" t="s">
        <v>37</v>
      </c>
      <c r="M328" t="s">
        <v>19</v>
      </c>
      <c r="N328" s="4">
        <v>45458</v>
      </c>
      <c r="O328" s="4">
        <v>45488</v>
      </c>
      <c r="P328" t="s">
        <v>637</v>
      </c>
      <c r="Q328">
        <f>Table1_2[[#This Row],[Likes]]+Table1_2[[#This Row],[Shares]]+Table1_2[[#This Row],[Comments]]</f>
        <v>3601</v>
      </c>
      <c r="R328" s="12">
        <f>(Table1_2[[#This Row],[Likes]]+Table1_2[[#This Row],[Shares]]+Table1_2[[#This Row],[Comments]])/Table1_2[[#This Row],[Impressions]]</f>
        <v>0.12428384068475185</v>
      </c>
      <c r="S328" s="4">
        <f>_xlfn.XLOOKUP(Table1_2[[#This Row],[Campaign_Name]],'Campaign Metadata'!A:A,'Campaign Metadata'!B:B,"not found",0)</f>
        <v>45458</v>
      </c>
      <c r="T328" s="4">
        <f>_xlfn.XLOOKUP(Table1_2[[#This Row],[Campaign_Name]],'Campaign Metadata'!A:A,'Campaign Metadata'!C:C,"not found",0)</f>
        <v>45488</v>
      </c>
      <c r="U328" t="str">
        <f>IF(AND(Table1_2[[#This Row],[Date]]&gt;=Table1_2[[#This Row],[Campaign Start Date2]],Table1_2[[#This Row],[Date]]&lt;=Table1_2[[#This Row],[Campaign End Date3]]),"During Campaign","Before Campaign")</f>
        <v>Before Campaign</v>
      </c>
      <c r="V328" s="30">
        <f>_xlfn.XLOOKUP(Table1_2[[#This Row],[Campaign_Name]],'Campaign Metadata'!A:A,'Campaign Metadata'!E:E,"Not Available",0)</f>
        <v>150000</v>
      </c>
      <c r="W328">
        <f>Table1_2[[#This Row],[Engagement]]/Table1_2[[#This Row],[Campaign Budget]]</f>
        <v>2.4006666666666666E-2</v>
      </c>
      <c r="X328">
        <f>_xlfn.XLOOKUP(Table1_2[[#This Row],[Platform]],'Engagement Summary'!B:B,'Engagement Summary'!H:H,"Not Available",0)</f>
        <v>1002</v>
      </c>
      <c r="Y328">
        <f>WEEKNUM(Table1_2[[#This Row],[Date]])</f>
        <v>20</v>
      </c>
      <c r="Z328">
        <f>_xlfn.XLOOKUP(Table1_2[[#This Row],[Platform]],'Engagement Summary'!B:B,'Engagement Summary'!G:G,"Notavailable",0)</f>
        <v>9566</v>
      </c>
    </row>
    <row r="329" spans="1:26" x14ac:dyDescent="0.3">
      <c r="A329" t="s">
        <v>557</v>
      </c>
      <c r="B329" t="s">
        <v>43</v>
      </c>
      <c r="C329" s="4">
        <v>45462</v>
      </c>
      <c r="D329" t="s">
        <v>45</v>
      </c>
      <c r="E329" t="s">
        <v>46</v>
      </c>
      <c r="F329">
        <v>4731</v>
      </c>
      <c r="G329">
        <v>173</v>
      </c>
      <c r="H329">
        <v>276</v>
      </c>
      <c r="I329">
        <v>28386</v>
      </c>
      <c r="J329">
        <v>28185</v>
      </c>
      <c r="K329">
        <v>89</v>
      </c>
      <c r="L329" t="s">
        <v>37</v>
      </c>
      <c r="M329" t="s">
        <v>31</v>
      </c>
      <c r="N329" s="4">
        <v>45651</v>
      </c>
      <c r="O329" s="4">
        <v>45667</v>
      </c>
      <c r="P329" t="s">
        <v>637</v>
      </c>
      <c r="Q329">
        <f>Table1_2[[#This Row],[Likes]]+Table1_2[[#This Row],[Shares]]+Table1_2[[#This Row],[Comments]]</f>
        <v>5180</v>
      </c>
      <c r="R329" s="12">
        <f>(Table1_2[[#This Row],[Likes]]+Table1_2[[#This Row],[Shares]]+Table1_2[[#This Row],[Comments]])/Table1_2[[#This Row],[Impressions]]</f>
        <v>0.18248432325794406</v>
      </c>
      <c r="S329" s="4">
        <f>_xlfn.XLOOKUP(Table1_2[[#This Row],[Campaign_Name]],'Campaign Metadata'!A:A,'Campaign Metadata'!B:B,"not found",0)</f>
        <v>45651</v>
      </c>
      <c r="T329" s="4">
        <f>_xlfn.XLOOKUP(Table1_2[[#This Row],[Campaign_Name]],'Campaign Metadata'!A:A,'Campaign Metadata'!C:C,"not found",0)</f>
        <v>45667</v>
      </c>
      <c r="U329" t="str">
        <f>IF(AND(Table1_2[[#This Row],[Date]]&gt;=Table1_2[[#This Row],[Campaign Start Date2]],Table1_2[[#This Row],[Date]]&lt;=Table1_2[[#This Row],[Campaign End Date3]]),"During Campaign","Before Campaign")</f>
        <v>Before Campaign</v>
      </c>
      <c r="V329" s="30">
        <f>_xlfn.XLOOKUP(Table1_2[[#This Row],[Campaign_Name]],'Campaign Metadata'!A:A,'Campaign Metadata'!E:E,"Not Available",0)</f>
        <v>250000</v>
      </c>
      <c r="W329">
        <f>Table1_2[[#This Row],[Engagement]]/Table1_2[[#This Row],[Campaign Budget]]</f>
        <v>2.0719999999999999E-2</v>
      </c>
      <c r="X329">
        <f>_xlfn.XLOOKUP(Table1_2[[#This Row],[Platform]],'Engagement Summary'!B:B,'Engagement Summary'!H:H,"Not Available",0)</f>
        <v>1002</v>
      </c>
      <c r="Y329">
        <f>WEEKNUM(Table1_2[[#This Row],[Date]])</f>
        <v>25</v>
      </c>
      <c r="Z329">
        <f>_xlfn.XLOOKUP(Table1_2[[#This Row],[Platform]],'Engagement Summary'!B:B,'Engagement Summary'!G:G,"Notavailable",0)</f>
        <v>9566</v>
      </c>
    </row>
    <row r="330" spans="1:26" x14ac:dyDescent="0.3">
      <c r="A330" t="s">
        <v>559</v>
      </c>
      <c r="B330" t="s">
        <v>14</v>
      </c>
      <c r="C330" s="4">
        <v>45783</v>
      </c>
      <c r="D330" t="s">
        <v>52</v>
      </c>
      <c r="E330" t="s">
        <v>132</v>
      </c>
      <c r="F330">
        <v>1952</v>
      </c>
      <c r="G330">
        <v>344</v>
      </c>
      <c r="H330">
        <v>287</v>
      </c>
      <c r="I330">
        <v>15616</v>
      </c>
      <c r="J330">
        <v>15403</v>
      </c>
      <c r="K330">
        <v>235</v>
      </c>
      <c r="L330" t="s">
        <v>62</v>
      </c>
      <c r="M330" t="s">
        <v>25</v>
      </c>
      <c r="N330" s="4">
        <v>45566</v>
      </c>
      <c r="O330" s="4">
        <v>45596</v>
      </c>
      <c r="P330" t="s">
        <v>637</v>
      </c>
      <c r="Q330">
        <f>Table1_2[[#This Row],[Likes]]+Table1_2[[#This Row],[Shares]]+Table1_2[[#This Row],[Comments]]</f>
        <v>2583</v>
      </c>
      <c r="R330" s="12">
        <f>(Table1_2[[#This Row],[Likes]]+Table1_2[[#This Row],[Shares]]+Table1_2[[#This Row],[Comments]])/Table1_2[[#This Row],[Impressions]]</f>
        <v>0.16540727459016394</v>
      </c>
      <c r="S330" s="4">
        <f>_xlfn.XLOOKUP(Table1_2[[#This Row],[Campaign_Name]],'Campaign Metadata'!A:A,'Campaign Metadata'!B:B,"not found",0)</f>
        <v>45566</v>
      </c>
      <c r="T330" s="4">
        <f>_xlfn.XLOOKUP(Table1_2[[#This Row],[Campaign_Name]],'Campaign Metadata'!A:A,'Campaign Metadata'!C:C,"not found",0)</f>
        <v>45596</v>
      </c>
      <c r="U330" t="str">
        <f>IF(AND(Table1_2[[#This Row],[Date]]&gt;=Table1_2[[#This Row],[Campaign Start Date2]],Table1_2[[#This Row],[Date]]&lt;=Table1_2[[#This Row],[Campaign End Date3]]),"During Campaign","Before Campaign")</f>
        <v>Before Campaign</v>
      </c>
      <c r="V330" s="30">
        <f>_xlfn.XLOOKUP(Table1_2[[#This Row],[Campaign_Name]],'Campaign Metadata'!A:A,'Campaign Metadata'!E:E,"Not Available",0)</f>
        <v>200000</v>
      </c>
      <c r="W330">
        <f>Table1_2[[#This Row],[Engagement]]/Table1_2[[#This Row],[Campaign Budget]]</f>
        <v>1.2914999999999999E-2</v>
      </c>
      <c r="X330">
        <f>_xlfn.XLOOKUP(Table1_2[[#This Row],[Platform]],'Engagement Summary'!B:B,'Engagement Summary'!H:H,"Not Available",0)</f>
        <v>415</v>
      </c>
      <c r="Y330">
        <f>WEEKNUM(Table1_2[[#This Row],[Date]])</f>
        <v>19</v>
      </c>
      <c r="Z330">
        <f>_xlfn.XLOOKUP(Table1_2[[#This Row],[Platform]],'Engagement Summary'!B:B,'Engagement Summary'!G:G,"Notavailable",0)</f>
        <v>26752</v>
      </c>
    </row>
    <row r="331" spans="1:26" x14ac:dyDescent="0.3">
      <c r="A331" t="s">
        <v>559</v>
      </c>
      <c r="B331" t="s">
        <v>14</v>
      </c>
      <c r="C331" s="4">
        <v>45783</v>
      </c>
      <c r="D331" t="s">
        <v>52</v>
      </c>
      <c r="E331" t="s">
        <v>132</v>
      </c>
      <c r="F331">
        <v>1952</v>
      </c>
      <c r="G331">
        <v>344</v>
      </c>
      <c r="H331">
        <v>287</v>
      </c>
      <c r="I331">
        <v>15616</v>
      </c>
      <c r="J331">
        <v>15403</v>
      </c>
      <c r="K331">
        <v>235</v>
      </c>
      <c r="L331" t="s">
        <v>30</v>
      </c>
      <c r="M331" t="s">
        <v>25</v>
      </c>
      <c r="N331" s="4">
        <v>45566</v>
      </c>
      <c r="O331" s="4">
        <v>45596</v>
      </c>
      <c r="P331" t="s">
        <v>637</v>
      </c>
      <c r="Q331">
        <f>Table1_2[[#This Row],[Likes]]+Table1_2[[#This Row],[Shares]]+Table1_2[[#This Row],[Comments]]</f>
        <v>2583</v>
      </c>
      <c r="R331" s="12">
        <f>(Table1_2[[#This Row],[Likes]]+Table1_2[[#This Row],[Shares]]+Table1_2[[#This Row],[Comments]])/Table1_2[[#This Row],[Impressions]]</f>
        <v>0.16540727459016394</v>
      </c>
      <c r="S331" s="4">
        <f>_xlfn.XLOOKUP(Table1_2[[#This Row],[Campaign_Name]],'Campaign Metadata'!A:A,'Campaign Metadata'!B:B,"not found",0)</f>
        <v>45566</v>
      </c>
      <c r="T331" s="4">
        <f>_xlfn.XLOOKUP(Table1_2[[#This Row],[Campaign_Name]],'Campaign Metadata'!A:A,'Campaign Metadata'!C:C,"not found",0)</f>
        <v>45596</v>
      </c>
      <c r="U331" t="str">
        <f>IF(AND(Table1_2[[#This Row],[Date]]&gt;=Table1_2[[#This Row],[Campaign Start Date2]],Table1_2[[#This Row],[Date]]&lt;=Table1_2[[#This Row],[Campaign End Date3]]),"During Campaign","Before Campaign")</f>
        <v>Before Campaign</v>
      </c>
      <c r="V331" s="30">
        <f>_xlfn.XLOOKUP(Table1_2[[#This Row],[Campaign_Name]],'Campaign Metadata'!A:A,'Campaign Metadata'!E:E,"Not Available",0)</f>
        <v>200000</v>
      </c>
      <c r="W331">
        <f>Table1_2[[#This Row],[Engagement]]/Table1_2[[#This Row],[Campaign Budget]]</f>
        <v>1.2914999999999999E-2</v>
      </c>
      <c r="X331">
        <f>_xlfn.XLOOKUP(Table1_2[[#This Row],[Platform]],'Engagement Summary'!B:B,'Engagement Summary'!H:H,"Not Available",0)</f>
        <v>415</v>
      </c>
      <c r="Y331">
        <f>WEEKNUM(Table1_2[[#This Row],[Date]])</f>
        <v>19</v>
      </c>
      <c r="Z331">
        <f>_xlfn.XLOOKUP(Table1_2[[#This Row],[Platform]],'Engagement Summary'!B:B,'Engagement Summary'!G:G,"Notavailable",0)</f>
        <v>26752</v>
      </c>
    </row>
    <row r="332" spans="1:26" x14ac:dyDescent="0.3">
      <c r="A332" t="s">
        <v>559</v>
      </c>
      <c r="B332" t="s">
        <v>14</v>
      </c>
      <c r="C332" s="4">
        <v>45783</v>
      </c>
      <c r="D332" t="s">
        <v>52</v>
      </c>
      <c r="E332" t="s">
        <v>132</v>
      </c>
      <c r="F332">
        <v>1952</v>
      </c>
      <c r="G332">
        <v>344</v>
      </c>
      <c r="H332">
        <v>287</v>
      </c>
      <c r="I332">
        <v>15616</v>
      </c>
      <c r="J332">
        <v>15403</v>
      </c>
      <c r="K332">
        <v>235</v>
      </c>
      <c r="L332" t="s">
        <v>615</v>
      </c>
      <c r="M332" t="s">
        <v>25</v>
      </c>
      <c r="N332" s="4">
        <v>45566</v>
      </c>
      <c r="O332" s="4">
        <v>45596</v>
      </c>
      <c r="P332" t="s">
        <v>637</v>
      </c>
      <c r="Q332">
        <f>Table1_2[[#This Row],[Likes]]+Table1_2[[#This Row],[Shares]]+Table1_2[[#This Row],[Comments]]</f>
        <v>2583</v>
      </c>
      <c r="R332" s="12">
        <f>(Table1_2[[#This Row],[Likes]]+Table1_2[[#This Row],[Shares]]+Table1_2[[#This Row],[Comments]])/Table1_2[[#This Row],[Impressions]]</f>
        <v>0.16540727459016394</v>
      </c>
      <c r="S332" s="4">
        <f>_xlfn.XLOOKUP(Table1_2[[#This Row],[Campaign_Name]],'Campaign Metadata'!A:A,'Campaign Metadata'!B:B,"not found",0)</f>
        <v>45566</v>
      </c>
      <c r="T332" s="4">
        <f>_xlfn.XLOOKUP(Table1_2[[#This Row],[Campaign_Name]],'Campaign Metadata'!A:A,'Campaign Metadata'!C:C,"not found",0)</f>
        <v>45596</v>
      </c>
      <c r="U332" t="str">
        <f>IF(AND(Table1_2[[#This Row],[Date]]&gt;=Table1_2[[#This Row],[Campaign Start Date2]],Table1_2[[#This Row],[Date]]&lt;=Table1_2[[#This Row],[Campaign End Date3]]),"During Campaign","Before Campaign")</f>
        <v>Before Campaign</v>
      </c>
      <c r="V332" s="30">
        <f>_xlfn.XLOOKUP(Table1_2[[#This Row],[Campaign_Name]],'Campaign Metadata'!A:A,'Campaign Metadata'!E:E,"Not Available",0)</f>
        <v>200000</v>
      </c>
      <c r="W332">
        <f>Table1_2[[#This Row],[Engagement]]/Table1_2[[#This Row],[Campaign Budget]]</f>
        <v>1.2914999999999999E-2</v>
      </c>
      <c r="X332">
        <f>_xlfn.XLOOKUP(Table1_2[[#This Row],[Platform]],'Engagement Summary'!B:B,'Engagement Summary'!H:H,"Not Available",0)</f>
        <v>415</v>
      </c>
      <c r="Y332">
        <f>WEEKNUM(Table1_2[[#This Row],[Date]])</f>
        <v>19</v>
      </c>
      <c r="Z332">
        <f>_xlfn.XLOOKUP(Table1_2[[#This Row],[Platform]],'Engagement Summary'!B:B,'Engagement Summary'!G:G,"Notavailable",0)</f>
        <v>26752</v>
      </c>
    </row>
    <row r="333" spans="1:26" x14ac:dyDescent="0.3">
      <c r="A333" t="s">
        <v>560</v>
      </c>
      <c r="B333" t="s">
        <v>14</v>
      </c>
      <c r="C333" s="4">
        <v>45699</v>
      </c>
      <c r="D333" t="s">
        <v>74</v>
      </c>
      <c r="E333" t="s">
        <v>145</v>
      </c>
      <c r="F333">
        <v>3440</v>
      </c>
      <c r="G333">
        <v>13</v>
      </c>
      <c r="H333">
        <v>20</v>
      </c>
      <c r="I333">
        <v>58480</v>
      </c>
      <c r="J333">
        <v>58146</v>
      </c>
      <c r="K333">
        <v>210</v>
      </c>
      <c r="L333" t="s">
        <v>30</v>
      </c>
      <c r="M333" t="s">
        <v>38</v>
      </c>
      <c r="N333" s="4">
        <v>45717</v>
      </c>
      <c r="O333" s="4">
        <v>45747</v>
      </c>
      <c r="P333" t="s">
        <v>637</v>
      </c>
      <c r="Q333">
        <f>Table1_2[[#This Row],[Likes]]+Table1_2[[#This Row],[Shares]]+Table1_2[[#This Row],[Comments]]</f>
        <v>3473</v>
      </c>
      <c r="R333" s="12">
        <f>(Table1_2[[#This Row],[Likes]]+Table1_2[[#This Row],[Shares]]+Table1_2[[#This Row],[Comments]])/Table1_2[[#This Row],[Impressions]]</f>
        <v>5.9387824897400819E-2</v>
      </c>
      <c r="S333" s="4">
        <f>_xlfn.XLOOKUP(Table1_2[[#This Row],[Campaign_Name]],'Campaign Metadata'!A:A,'Campaign Metadata'!B:B,"not found",0)</f>
        <v>45717</v>
      </c>
      <c r="T333" s="4">
        <f>_xlfn.XLOOKUP(Table1_2[[#This Row],[Campaign_Name]],'Campaign Metadata'!A:A,'Campaign Metadata'!C:C,"not found",0)</f>
        <v>45747</v>
      </c>
      <c r="U333" t="str">
        <f>IF(AND(Table1_2[[#This Row],[Date]]&gt;=Table1_2[[#This Row],[Campaign Start Date2]],Table1_2[[#This Row],[Date]]&lt;=Table1_2[[#This Row],[Campaign End Date3]]),"During Campaign","Before Campaign")</f>
        <v>Before Campaign</v>
      </c>
      <c r="V333" s="30">
        <f>_xlfn.XLOOKUP(Table1_2[[#This Row],[Campaign_Name]],'Campaign Metadata'!A:A,'Campaign Metadata'!E:E,"Not Available",0)</f>
        <v>180000</v>
      </c>
      <c r="W333">
        <f>Table1_2[[#This Row],[Engagement]]/Table1_2[[#This Row],[Campaign Budget]]</f>
        <v>1.9294444444444444E-2</v>
      </c>
      <c r="X333">
        <f>_xlfn.XLOOKUP(Table1_2[[#This Row],[Platform]],'Engagement Summary'!B:B,'Engagement Summary'!H:H,"Not Available",0)</f>
        <v>415</v>
      </c>
      <c r="Y333">
        <f>WEEKNUM(Table1_2[[#This Row],[Date]])</f>
        <v>7</v>
      </c>
      <c r="Z333">
        <f>_xlfn.XLOOKUP(Table1_2[[#This Row],[Platform]],'Engagement Summary'!B:B,'Engagement Summary'!G:G,"Notavailable",0)</f>
        <v>26752</v>
      </c>
    </row>
    <row r="334" spans="1:26" x14ac:dyDescent="0.3">
      <c r="A334" t="s">
        <v>560</v>
      </c>
      <c r="B334" t="s">
        <v>14</v>
      </c>
      <c r="C334" s="4">
        <v>45699</v>
      </c>
      <c r="D334" t="s">
        <v>74</v>
      </c>
      <c r="E334" t="s">
        <v>145</v>
      </c>
      <c r="F334">
        <v>3440</v>
      </c>
      <c r="G334">
        <v>13</v>
      </c>
      <c r="H334">
        <v>20</v>
      </c>
      <c r="I334">
        <v>58480</v>
      </c>
      <c r="J334">
        <v>58146</v>
      </c>
      <c r="K334">
        <v>210</v>
      </c>
      <c r="L334" t="s">
        <v>603</v>
      </c>
      <c r="M334" t="s">
        <v>38</v>
      </c>
      <c r="N334" s="4">
        <v>45717</v>
      </c>
      <c r="O334" s="4">
        <v>45747</v>
      </c>
      <c r="P334" t="s">
        <v>637</v>
      </c>
      <c r="Q334">
        <f>Table1_2[[#This Row],[Likes]]+Table1_2[[#This Row],[Shares]]+Table1_2[[#This Row],[Comments]]</f>
        <v>3473</v>
      </c>
      <c r="R334" s="12">
        <f>(Table1_2[[#This Row],[Likes]]+Table1_2[[#This Row],[Shares]]+Table1_2[[#This Row],[Comments]])/Table1_2[[#This Row],[Impressions]]</f>
        <v>5.9387824897400819E-2</v>
      </c>
      <c r="S334" s="4">
        <f>_xlfn.XLOOKUP(Table1_2[[#This Row],[Campaign_Name]],'Campaign Metadata'!A:A,'Campaign Metadata'!B:B,"not found",0)</f>
        <v>45717</v>
      </c>
      <c r="T334" s="4">
        <f>_xlfn.XLOOKUP(Table1_2[[#This Row],[Campaign_Name]],'Campaign Metadata'!A:A,'Campaign Metadata'!C:C,"not found",0)</f>
        <v>45747</v>
      </c>
      <c r="U334" t="str">
        <f>IF(AND(Table1_2[[#This Row],[Date]]&gt;=Table1_2[[#This Row],[Campaign Start Date2]],Table1_2[[#This Row],[Date]]&lt;=Table1_2[[#This Row],[Campaign End Date3]]),"During Campaign","Before Campaign")</f>
        <v>Before Campaign</v>
      </c>
      <c r="V334" s="30">
        <f>_xlfn.XLOOKUP(Table1_2[[#This Row],[Campaign_Name]],'Campaign Metadata'!A:A,'Campaign Metadata'!E:E,"Not Available",0)</f>
        <v>180000</v>
      </c>
      <c r="W334">
        <f>Table1_2[[#This Row],[Engagement]]/Table1_2[[#This Row],[Campaign Budget]]</f>
        <v>1.9294444444444444E-2</v>
      </c>
      <c r="X334">
        <f>_xlfn.XLOOKUP(Table1_2[[#This Row],[Platform]],'Engagement Summary'!B:B,'Engagement Summary'!H:H,"Not Available",0)</f>
        <v>415</v>
      </c>
      <c r="Y334">
        <f>WEEKNUM(Table1_2[[#This Row],[Date]])</f>
        <v>7</v>
      </c>
      <c r="Z334">
        <f>_xlfn.XLOOKUP(Table1_2[[#This Row],[Platform]],'Engagement Summary'!B:B,'Engagement Summary'!G:G,"Notavailable",0)</f>
        <v>26752</v>
      </c>
    </row>
    <row r="335" spans="1:26" x14ac:dyDescent="0.3">
      <c r="A335" t="s">
        <v>562</v>
      </c>
      <c r="B335" t="s">
        <v>14</v>
      </c>
      <c r="C335" s="4">
        <v>45650</v>
      </c>
      <c r="D335" t="s">
        <v>22</v>
      </c>
      <c r="E335" t="s">
        <v>23</v>
      </c>
      <c r="F335">
        <v>2166</v>
      </c>
      <c r="G335">
        <v>354</v>
      </c>
      <c r="H335">
        <v>117</v>
      </c>
      <c r="I335">
        <v>10830</v>
      </c>
      <c r="J335">
        <v>10245</v>
      </c>
      <c r="K335">
        <v>24</v>
      </c>
      <c r="L335" t="s">
        <v>37</v>
      </c>
      <c r="M335" t="s">
        <v>38</v>
      </c>
      <c r="N335" s="4">
        <v>45717</v>
      </c>
      <c r="O335" s="4">
        <v>45747</v>
      </c>
      <c r="P335" t="s">
        <v>637</v>
      </c>
      <c r="Q335">
        <f>Table1_2[[#This Row],[Likes]]+Table1_2[[#This Row],[Shares]]+Table1_2[[#This Row],[Comments]]</f>
        <v>2637</v>
      </c>
      <c r="R335" s="12">
        <f>(Table1_2[[#This Row],[Likes]]+Table1_2[[#This Row],[Shares]]+Table1_2[[#This Row],[Comments]])/Table1_2[[#This Row],[Impressions]]</f>
        <v>0.24349030470914126</v>
      </c>
      <c r="S335" s="4">
        <f>_xlfn.XLOOKUP(Table1_2[[#This Row],[Campaign_Name]],'Campaign Metadata'!A:A,'Campaign Metadata'!B:B,"not found",0)</f>
        <v>45717</v>
      </c>
      <c r="T335" s="4">
        <f>_xlfn.XLOOKUP(Table1_2[[#This Row],[Campaign_Name]],'Campaign Metadata'!A:A,'Campaign Metadata'!C:C,"not found",0)</f>
        <v>45747</v>
      </c>
      <c r="U335" t="str">
        <f>IF(AND(Table1_2[[#This Row],[Date]]&gt;=Table1_2[[#This Row],[Campaign Start Date2]],Table1_2[[#This Row],[Date]]&lt;=Table1_2[[#This Row],[Campaign End Date3]]),"During Campaign","Before Campaign")</f>
        <v>Before Campaign</v>
      </c>
      <c r="V335" s="30">
        <f>_xlfn.XLOOKUP(Table1_2[[#This Row],[Campaign_Name]],'Campaign Metadata'!A:A,'Campaign Metadata'!E:E,"Not Available",0)</f>
        <v>180000</v>
      </c>
      <c r="W335">
        <f>Table1_2[[#This Row],[Engagement]]/Table1_2[[#This Row],[Campaign Budget]]</f>
        <v>1.465E-2</v>
      </c>
      <c r="X335">
        <f>_xlfn.XLOOKUP(Table1_2[[#This Row],[Platform]],'Engagement Summary'!B:B,'Engagement Summary'!H:H,"Not Available",0)</f>
        <v>415</v>
      </c>
      <c r="Y335">
        <f>WEEKNUM(Table1_2[[#This Row],[Date]])</f>
        <v>52</v>
      </c>
      <c r="Z335">
        <f>_xlfn.XLOOKUP(Table1_2[[#This Row],[Platform]],'Engagement Summary'!B:B,'Engagement Summary'!G:G,"Notavailable",0)</f>
        <v>26752</v>
      </c>
    </row>
    <row r="336" spans="1:26" x14ac:dyDescent="0.3">
      <c r="A336" t="s">
        <v>564</v>
      </c>
      <c r="B336" t="s">
        <v>43</v>
      </c>
      <c r="C336" s="4">
        <v>45589</v>
      </c>
      <c r="D336" t="s">
        <v>52</v>
      </c>
      <c r="E336" t="s">
        <v>59</v>
      </c>
      <c r="F336">
        <v>4303</v>
      </c>
      <c r="G336">
        <v>451</v>
      </c>
      <c r="H336">
        <v>286</v>
      </c>
      <c r="I336">
        <v>86060</v>
      </c>
      <c r="J336">
        <v>85823</v>
      </c>
      <c r="K336">
        <v>14</v>
      </c>
      <c r="L336" t="s">
        <v>30</v>
      </c>
      <c r="M336" t="s">
        <v>31</v>
      </c>
      <c r="N336" s="4">
        <v>45651</v>
      </c>
      <c r="O336" s="4">
        <v>45667</v>
      </c>
      <c r="P336" t="s">
        <v>637</v>
      </c>
      <c r="Q336">
        <f>Table1_2[[#This Row],[Likes]]+Table1_2[[#This Row],[Shares]]+Table1_2[[#This Row],[Comments]]</f>
        <v>5040</v>
      </c>
      <c r="R336" s="12">
        <f>(Table1_2[[#This Row],[Likes]]+Table1_2[[#This Row],[Shares]]+Table1_2[[#This Row],[Comments]])/Table1_2[[#This Row],[Impressions]]</f>
        <v>5.8563792702765516E-2</v>
      </c>
      <c r="S336" s="4">
        <f>_xlfn.XLOOKUP(Table1_2[[#This Row],[Campaign_Name]],'Campaign Metadata'!A:A,'Campaign Metadata'!B:B,"not found",0)</f>
        <v>45651</v>
      </c>
      <c r="T336" s="4">
        <f>_xlfn.XLOOKUP(Table1_2[[#This Row],[Campaign_Name]],'Campaign Metadata'!A:A,'Campaign Metadata'!C:C,"not found",0)</f>
        <v>45667</v>
      </c>
      <c r="U336" t="str">
        <f>IF(AND(Table1_2[[#This Row],[Date]]&gt;=Table1_2[[#This Row],[Campaign Start Date2]],Table1_2[[#This Row],[Date]]&lt;=Table1_2[[#This Row],[Campaign End Date3]]),"During Campaign","Before Campaign")</f>
        <v>Before Campaign</v>
      </c>
      <c r="V336" s="30">
        <f>_xlfn.XLOOKUP(Table1_2[[#This Row],[Campaign_Name]],'Campaign Metadata'!A:A,'Campaign Metadata'!E:E,"Not Available",0)</f>
        <v>250000</v>
      </c>
      <c r="W336">
        <f>Table1_2[[#This Row],[Engagement]]/Table1_2[[#This Row],[Campaign Budget]]</f>
        <v>2.0160000000000001E-2</v>
      </c>
      <c r="X336">
        <f>_xlfn.XLOOKUP(Table1_2[[#This Row],[Platform]],'Engagement Summary'!B:B,'Engagement Summary'!H:H,"Not Available",0)</f>
        <v>1002</v>
      </c>
      <c r="Y336">
        <f>WEEKNUM(Table1_2[[#This Row],[Date]])</f>
        <v>43</v>
      </c>
      <c r="Z336">
        <f>_xlfn.XLOOKUP(Table1_2[[#This Row],[Platform]],'Engagement Summary'!B:B,'Engagement Summary'!G:G,"Notavailable",0)</f>
        <v>9566</v>
      </c>
    </row>
    <row r="337" spans="1:26" x14ac:dyDescent="0.3">
      <c r="A337" t="s">
        <v>565</v>
      </c>
      <c r="B337" t="s">
        <v>43</v>
      </c>
      <c r="C337" s="4">
        <v>45530</v>
      </c>
      <c r="D337" t="s">
        <v>52</v>
      </c>
      <c r="E337" t="s">
        <v>59</v>
      </c>
      <c r="F337">
        <v>2581</v>
      </c>
      <c r="G337">
        <v>517</v>
      </c>
      <c r="H337">
        <v>117</v>
      </c>
      <c r="I337">
        <v>23229</v>
      </c>
      <c r="J337">
        <v>22331</v>
      </c>
      <c r="K337">
        <v>70</v>
      </c>
      <c r="L337" t="s">
        <v>62</v>
      </c>
      <c r="M337" t="s">
        <v>31</v>
      </c>
      <c r="N337" s="4">
        <v>45651</v>
      </c>
      <c r="O337" s="4">
        <v>45667</v>
      </c>
      <c r="P337" t="s">
        <v>637</v>
      </c>
      <c r="Q337">
        <f>Table1_2[[#This Row],[Likes]]+Table1_2[[#This Row],[Shares]]+Table1_2[[#This Row],[Comments]]</f>
        <v>3215</v>
      </c>
      <c r="R337" s="12">
        <f>(Table1_2[[#This Row],[Likes]]+Table1_2[[#This Row],[Shares]]+Table1_2[[#This Row],[Comments]])/Table1_2[[#This Row],[Impressions]]</f>
        <v>0.13840458048129492</v>
      </c>
      <c r="S337" s="4">
        <f>_xlfn.XLOOKUP(Table1_2[[#This Row],[Campaign_Name]],'Campaign Metadata'!A:A,'Campaign Metadata'!B:B,"not found",0)</f>
        <v>45651</v>
      </c>
      <c r="T337" s="4">
        <f>_xlfn.XLOOKUP(Table1_2[[#This Row],[Campaign_Name]],'Campaign Metadata'!A:A,'Campaign Metadata'!C:C,"not found",0)</f>
        <v>45667</v>
      </c>
      <c r="U337" t="str">
        <f>IF(AND(Table1_2[[#This Row],[Date]]&gt;=Table1_2[[#This Row],[Campaign Start Date2]],Table1_2[[#This Row],[Date]]&lt;=Table1_2[[#This Row],[Campaign End Date3]]),"During Campaign","Before Campaign")</f>
        <v>Before Campaign</v>
      </c>
      <c r="V337" s="30">
        <f>_xlfn.XLOOKUP(Table1_2[[#This Row],[Campaign_Name]],'Campaign Metadata'!A:A,'Campaign Metadata'!E:E,"Not Available",0)</f>
        <v>250000</v>
      </c>
      <c r="W337">
        <f>Table1_2[[#This Row],[Engagement]]/Table1_2[[#This Row],[Campaign Budget]]</f>
        <v>1.286E-2</v>
      </c>
      <c r="X337">
        <f>_xlfn.XLOOKUP(Table1_2[[#This Row],[Platform]],'Engagement Summary'!B:B,'Engagement Summary'!H:H,"Not Available",0)</f>
        <v>1002</v>
      </c>
      <c r="Y337">
        <f>WEEKNUM(Table1_2[[#This Row],[Date]])</f>
        <v>35</v>
      </c>
      <c r="Z337">
        <f>_xlfn.XLOOKUP(Table1_2[[#This Row],[Platform]],'Engagement Summary'!B:B,'Engagement Summary'!G:G,"Notavailable",0)</f>
        <v>9566</v>
      </c>
    </row>
    <row r="338" spans="1:26" x14ac:dyDescent="0.3">
      <c r="A338" t="s">
        <v>566</v>
      </c>
      <c r="B338" t="s">
        <v>14</v>
      </c>
      <c r="C338" s="4">
        <v>45535</v>
      </c>
      <c r="D338" t="s">
        <v>45</v>
      </c>
      <c r="E338" t="s">
        <v>49</v>
      </c>
      <c r="F338">
        <v>4494</v>
      </c>
      <c r="G338">
        <v>717</v>
      </c>
      <c r="H338">
        <v>45</v>
      </c>
      <c r="I338">
        <v>62916</v>
      </c>
      <c r="J338">
        <v>62688</v>
      </c>
      <c r="K338">
        <v>191</v>
      </c>
      <c r="L338" t="s">
        <v>30</v>
      </c>
      <c r="M338" t="s">
        <v>19</v>
      </c>
      <c r="N338" s="4">
        <v>45458</v>
      </c>
      <c r="O338" s="4">
        <v>45488</v>
      </c>
      <c r="P338" t="s">
        <v>637</v>
      </c>
      <c r="Q338">
        <f>Table1_2[[#This Row],[Likes]]+Table1_2[[#This Row],[Shares]]+Table1_2[[#This Row],[Comments]]</f>
        <v>5256</v>
      </c>
      <c r="R338" s="12">
        <f>(Table1_2[[#This Row],[Likes]]+Table1_2[[#This Row],[Shares]]+Table1_2[[#This Row],[Comments]])/Table1_2[[#This Row],[Impressions]]</f>
        <v>8.3539958039290485E-2</v>
      </c>
      <c r="S338" s="4">
        <f>_xlfn.XLOOKUP(Table1_2[[#This Row],[Campaign_Name]],'Campaign Metadata'!A:A,'Campaign Metadata'!B:B,"not found",0)</f>
        <v>45458</v>
      </c>
      <c r="T338" s="4">
        <f>_xlfn.XLOOKUP(Table1_2[[#This Row],[Campaign_Name]],'Campaign Metadata'!A:A,'Campaign Metadata'!C:C,"not found",0)</f>
        <v>45488</v>
      </c>
      <c r="U338" t="str">
        <f>IF(AND(Table1_2[[#This Row],[Date]]&gt;=Table1_2[[#This Row],[Campaign Start Date2]],Table1_2[[#This Row],[Date]]&lt;=Table1_2[[#This Row],[Campaign End Date3]]),"During Campaign","Before Campaign")</f>
        <v>Before Campaign</v>
      </c>
      <c r="V338" s="30">
        <f>_xlfn.XLOOKUP(Table1_2[[#This Row],[Campaign_Name]],'Campaign Metadata'!A:A,'Campaign Metadata'!E:E,"Not Available",0)</f>
        <v>150000</v>
      </c>
      <c r="W338">
        <f>Table1_2[[#This Row],[Engagement]]/Table1_2[[#This Row],[Campaign Budget]]</f>
        <v>3.5040000000000002E-2</v>
      </c>
      <c r="X338">
        <f>_xlfn.XLOOKUP(Table1_2[[#This Row],[Platform]],'Engagement Summary'!B:B,'Engagement Summary'!H:H,"Not Available",0)</f>
        <v>415</v>
      </c>
      <c r="Y338">
        <f>WEEKNUM(Table1_2[[#This Row],[Date]])</f>
        <v>35</v>
      </c>
      <c r="Z338">
        <f>_xlfn.XLOOKUP(Table1_2[[#This Row],[Platform]],'Engagement Summary'!B:B,'Engagement Summary'!G:G,"Notavailable",0)</f>
        <v>26752</v>
      </c>
    </row>
    <row r="339" spans="1:26" x14ac:dyDescent="0.3">
      <c r="A339" t="s">
        <v>566</v>
      </c>
      <c r="B339" t="s">
        <v>14</v>
      </c>
      <c r="C339" s="4">
        <v>45535</v>
      </c>
      <c r="D339" t="s">
        <v>45</v>
      </c>
      <c r="E339" t="s">
        <v>49</v>
      </c>
      <c r="F339">
        <v>4494</v>
      </c>
      <c r="G339">
        <v>717</v>
      </c>
      <c r="H339">
        <v>45</v>
      </c>
      <c r="I339">
        <v>62916</v>
      </c>
      <c r="J339">
        <v>62688</v>
      </c>
      <c r="K339">
        <v>191</v>
      </c>
      <c r="L339" t="s">
        <v>37</v>
      </c>
      <c r="M339" t="s">
        <v>19</v>
      </c>
      <c r="N339" s="4">
        <v>45458</v>
      </c>
      <c r="O339" s="4">
        <v>45488</v>
      </c>
      <c r="P339" t="s">
        <v>637</v>
      </c>
      <c r="Q339">
        <f>Table1_2[[#This Row],[Likes]]+Table1_2[[#This Row],[Shares]]+Table1_2[[#This Row],[Comments]]</f>
        <v>5256</v>
      </c>
      <c r="R339" s="12">
        <f>(Table1_2[[#This Row],[Likes]]+Table1_2[[#This Row],[Shares]]+Table1_2[[#This Row],[Comments]])/Table1_2[[#This Row],[Impressions]]</f>
        <v>8.3539958039290485E-2</v>
      </c>
      <c r="S339" s="4">
        <f>_xlfn.XLOOKUP(Table1_2[[#This Row],[Campaign_Name]],'Campaign Metadata'!A:A,'Campaign Metadata'!B:B,"not found",0)</f>
        <v>45458</v>
      </c>
      <c r="T339" s="4">
        <f>_xlfn.XLOOKUP(Table1_2[[#This Row],[Campaign_Name]],'Campaign Metadata'!A:A,'Campaign Metadata'!C:C,"not found",0)</f>
        <v>45488</v>
      </c>
      <c r="U339" t="str">
        <f>IF(AND(Table1_2[[#This Row],[Date]]&gt;=Table1_2[[#This Row],[Campaign Start Date2]],Table1_2[[#This Row],[Date]]&lt;=Table1_2[[#This Row],[Campaign End Date3]]),"During Campaign","Before Campaign")</f>
        <v>Before Campaign</v>
      </c>
      <c r="V339" s="30">
        <f>_xlfn.XLOOKUP(Table1_2[[#This Row],[Campaign_Name]],'Campaign Metadata'!A:A,'Campaign Metadata'!E:E,"Not Available",0)</f>
        <v>150000</v>
      </c>
      <c r="W339">
        <f>Table1_2[[#This Row],[Engagement]]/Table1_2[[#This Row],[Campaign Budget]]</f>
        <v>3.5040000000000002E-2</v>
      </c>
      <c r="X339">
        <f>_xlfn.XLOOKUP(Table1_2[[#This Row],[Platform]],'Engagement Summary'!B:B,'Engagement Summary'!H:H,"Not Available",0)</f>
        <v>415</v>
      </c>
      <c r="Y339">
        <f>WEEKNUM(Table1_2[[#This Row],[Date]])</f>
        <v>35</v>
      </c>
      <c r="Z339">
        <f>_xlfn.XLOOKUP(Table1_2[[#This Row],[Platform]],'Engagement Summary'!B:B,'Engagement Summary'!G:G,"Notavailable",0)</f>
        <v>26752</v>
      </c>
    </row>
    <row r="340" spans="1:26" x14ac:dyDescent="0.3">
      <c r="A340" t="s">
        <v>566</v>
      </c>
      <c r="B340" t="s">
        <v>14</v>
      </c>
      <c r="C340" s="4">
        <v>45535</v>
      </c>
      <c r="D340" t="s">
        <v>45</v>
      </c>
      <c r="E340" t="s">
        <v>49</v>
      </c>
      <c r="F340">
        <v>4494</v>
      </c>
      <c r="G340">
        <v>717</v>
      </c>
      <c r="H340">
        <v>45</v>
      </c>
      <c r="I340">
        <v>62916</v>
      </c>
      <c r="J340">
        <v>62688</v>
      </c>
      <c r="K340">
        <v>191</v>
      </c>
      <c r="L340" t="s">
        <v>616</v>
      </c>
      <c r="M340" t="s">
        <v>19</v>
      </c>
      <c r="N340" s="4">
        <v>45458</v>
      </c>
      <c r="O340" s="4">
        <v>45488</v>
      </c>
      <c r="P340" t="s">
        <v>637</v>
      </c>
      <c r="Q340">
        <f>Table1_2[[#This Row],[Likes]]+Table1_2[[#This Row],[Shares]]+Table1_2[[#This Row],[Comments]]</f>
        <v>5256</v>
      </c>
      <c r="R340" s="12">
        <f>(Table1_2[[#This Row],[Likes]]+Table1_2[[#This Row],[Shares]]+Table1_2[[#This Row],[Comments]])/Table1_2[[#This Row],[Impressions]]</f>
        <v>8.3539958039290485E-2</v>
      </c>
      <c r="S340" s="4">
        <f>_xlfn.XLOOKUP(Table1_2[[#This Row],[Campaign_Name]],'Campaign Metadata'!A:A,'Campaign Metadata'!B:B,"not found",0)</f>
        <v>45458</v>
      </c>
      <c r="T340" s="4">
        <f>_xlfn.XLOOKUP(Table1_2[[#This Row],[Campaign_Name]],'Campaign Metadata'!A:A,'Campaign Metadata'!C:C,"not found",0)</f>
        <v>45488</v>
      </c>
      <c r="U340" t="str">
        <f>IF(AND(Table1_2[[#This Row],[Date]]&gt;=Table1_2[[#This Row],[Campaign Start Date2]],Table1_2[[#This Row],[Date]]&lt;=Table1_2[[#This Row],[Campaign End Date3]]),"During Campaign","Before Campaign")</f>
        <v>Before Campaign</v>
      </c>
      <c r="V340" s="30">
        <f>_xlfn.XLOOKUP(Table1_2[[#This Row],[Campaign_Name]],'Campaign Metadata'!A:A,'Campaign Metadata'!E:E,"Not Available",0)</f>
        <v>150000</v>
      </c>
      <c r="W340">
        <f>Table1_2[[#This Row],[Engagement]]/Table1_2[[#This Row],[Campaign Budget]]</f>
        <v>3.5040000000000002E-2</v>
      </c>
      <c r="X340">
        <f>_xlfn.XLOOKUP(Table1_2[[#This Row],[Platform]],'Engagement Summary'!B:B,'Engagement Summary'!H:H,"Not Available",0)</f>
        <v>415</v>
      </c>
      <c r="Y340">
        <f>WEEKNUM(Table1_2[[#This Row],[Date]])</f>
        <v>35</v>
      </c>
      <c r="Z340">
        <f>_xlfn.XLOOKUP(Table1_2[[#This Row],[Platform]],'Engagement Summary'!B:B,'Engagement Summary'!G:G,"Notavailable",0)</f>
        <v>26752</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155A-1737-496B-B65E-8E766CC721A3}">
  <sheetPr>
    <tabColor theme="5" tint="0.39997558519241921"/>
  </sheetPr>
  <dimension ref="A1:P110"/>
  <sheetViews>
    <sheetView showGridLines="0" topLeftCell="A95" workbookViewId="0">
      <selection activeCell="H78" sqref="H78"/>
    </sheetView>
  </sheetViews>
  <sheetFormatPr defaultRowHeight="14.4" x14ac:dyDescent="0.3"/>
  <cols>
    <col min="1" max="1" width="11.5546875" bestFit="1" customWidth="1"/>
    <col min="2" max="2" width="18.21875" bestFit="1" customWidth="1"/>
    <col min="3" max="3" width="11.21875" bestFit="1" customWidth="1"/>
    <col min="4" max="4" width="14.88671875" bestFit="1" customWidth="1"/>
    <col min="5" max="8" width="6" bestFit="1" customWidth="1"/>
    <col min="9" max="11" width="5.109375" bestFit="1" customWidth="1"/>
  </cols>
  <sheetData>
    <row r="1" spans="1:4" ht="23.4" customHeight="1" x14ac:dyDescent="0.5">
      <c r="D1" s="40" t="s">
        <v>673</v>
      </c>
    </row>
    <row r="2" spans="1:4" x14ac:dyDescent="0.3">
      <c r="A2" s="67" t="s">
        <v>662</v>
      </c>
      <c r="B2" s="67"/>
    </row>
    <row r="3" spans="1:4" ht="28.8" x14ac:dyDescent="0.3">
      <c r="A3" s="5" t="s">
        <v>1</v>
      </c>
      <c r="B3" s="41" t="s">
        <v>609</v>
      </c>
      <c r="C3" s="41"/>
    </row>
    <row r="4" spans="1:4" x14ac:dyDescent="0.3">
      <c r="A4" s="6" t="s">
        <v>43</v>
      </c>
      <c r="B4" s="7">
        <v>0.12094203382654937</v>
      </c>
    </row>
    <row r="9" spans="1:4" x14ac:dyDescent="0.3">
      <c r="A9" s="70" t="s">
        <v>675</v>
      </c>
      <c r="B9" s="70"/>
    </row>
    <row r="10" spans="1:4" x14ac:dyDescent="0.3">
      <c r="A10" s="70" t="s">
        <v>676</v>
      </c>
      <c r="B10" s="70"/>
    </row>
    <row r="12" spans="1:4" x14ac:dyDescent="0.3">
      <c r="A12" s="67" t="s">
        <v>661</v>
      </c>
      <c r="B12" s="67"/>
    </row>
    <row r="13" spans="1:4" x14ac:dyDescent="0.3">
      <c r="A13" s="5" t="s">
        <v>618</v>
      </c>
      <c r="B13" t="s">
        <v>610</v>
      </c>
    </row>
    <row r="14" spans="1:4" x14ac:dyDescent="0.3">
      <c r="A14" s="6" t="s">
        <v>483</v>
      </c>
      <c r="B14">
        <v>12702</v>
      </c>
    </row>
    <row r="15" spans="1:4" x14ac:dyDescent="0.3">
      <c r="A15" s="6" t="s">
        <v>498</v>
      </c>
      <c r="B15">
        <v>11853</v>
      </c>
    </row>
    <row r="16" spans="1:4" x14ac:dyDescent="0.3">
      <c r="A16" s="6" t="s">
        <v>435</v>
      </c>
      <c r="B16">
        <v>5973</v>
      </c>
    </row>
    <row r="17" spans="1:4" x14ac:dyDescent="0.3">
      <c r="A17" s="6" t="s">
        <v>438</v>
      </c>
      <c r="B17">
        <v>5767</v>
      </c>
    </row>
    <row r="18" spans="1:4" x14ac:dyDescent="0.3">
      <c r="A18" s="6" t="s">
        <v>314</v>
      </c>
      <c r="B18">
        <v>5708</v>
      </c>
    </row>
    <row r="19" spans="1:4" x14ac:dyDescent="0.3">
      <c r="A19" s="6" t="s">
        <v>443</v>
      </c>
      <c r="B19">
        <v>5660</v>
      </c>
    </row>
    <row r="20" spans="1:4" x14ac:dyDescent="0.3">
      <c r="A20" s="6" t="s">
        <v>333</v>
      </c>
      <c r="B20">
        <v>5624</v>
      </c>
    </row>
    <row r="21" spans="1:4" x14ac:dyDescent="0.3">
      <c r="A21" s="6" t="s">
        <v>283</v>
      </c>
      <c r="B21">
        <v>5472</v>
      </c>
    </row>
    <row r="22" spans="1:4" x14ac:dyDescent="0.3">
      <c r="A22" s="6" t="s">
        <v>187</v>
      </c>
      <c r="B22">
        <v>5407</v>
      </c>
    </row>
    <row r="23" spans="1:4" x14ac:dyDescent="0.3">
      <c r="A23" s="6" t="s">
        <v>472</v>
      </c>
      <c r="B23">
        <v>5367</v>
      </c>
    </row>
    <row r="24" spans="1:4" x14ac:dyDescent="0.3">
      <c r="A24" s="38" t="s">
        <v>677</v>
      </c>
      <c r="B24" s="34"/>
      <c r="C24" s="34"/>
      <c r="D24" s="34"/>
    </row>
    <row r="25" spans="1:4" ht="60" customHeight="1" x14ac:dyDescent="0.3"/>
    <row r="26" spans="1:4" x14ac:dyDescent="0.3">
      <c r="A26" s="67" t="s">
        <v>663</v>
      </c>
      <c r="B26" s="67"/>
      <c r="C26" s="67"/>
      <c r="D26" s="67"/>
    </row>
    <row r="27" spans="1:4" x14ac:dyDescent="0.3">
      <c r="A27" s="5" t="s">
        <v>1</v>
      </c>
      <c r="B27" s="39" t="s">
        <v>612</v>
      </c>
      <c r="C27" t="s">
        <v>613</v>
      </c>
      <c r="D27" s="39" t="s">
        <v>614</v>
      </c>
    </row>
    <row r="28" spans="1:4" x14ac:dyDescent="0.3">
      <c r="A28" s="6" t="s">
        <v>43</v>
      </c>
    </row>
    <row r="29" spans="1:4" x14ac:dyDescent="0.3">
      <c r="A29" s="18" t="s">
        <v>45</v>
      </c>
      <c r="B29">
        <v>44476</v>
      </c>
      <c r="C29">
        <v>7400</v>
      </c>
      <c r="D29">
        <v>4589</v>
      </c>
    </row>
    <row r="30" spans="1:4" s="37" customFormat="1" x14ac:dyDescent="0.3">
      <c r="A30" s="46" t="s">
        <v>52</v>
      </c>
      <c r="B30" s="37">
        <v>80073</v>
      </c>
      <c r="C30" s="37">
        <v>14376</v>
      </c>
      <c r="D30" s="37">
        <v>7308</v>
      </c>
    </row>
    <row r="31" spans="1:4" x14ac:dyDescent="0.3">
      <c r="A31" s="18" t="s">
        <v>16</v>
      </c>
      <c r="B31">
        <v>46102</v>
      </c>
      <c r="C31">
        <v>7149</v>
      </c>
      <c r="D31">
        <v>3732</v>
      </c>
    </row>
    <row r="32" spans="1:4" x14ac:dyDescent="0.3">
      <c r="A32" s="18" t="s">
        <v>35</v>
      </c>
      <c r="B32">
        <v>29405</v>
      </c>
      <c r="C32">
        <v>4950</v>
      </c>
      <c r="D32">
        <v>3223</v>
      </c>
    </row>
    <row r="33" spans="1:4" x14ac:dyDescent="0.3">
      <c r="A33" s="18" t="s">
        <v>22</v>
      </c>
      <c r="B33">
        <v>35357</v>
      </c>
      <c r="C33">
        <v>5127</v>
      </c>
      <c r="D33">
        <v>4424</v>
      </c>
    </row>
    <row r="34" spans="1:4" x14ac:dyDescent="0.3">
      <c r="A34" s="18" t="s">
        <v>74</v>
      </c>
      <c r="B34">
        <v>30553</v>
      </c>
      <c r="C34">
        <v>3718</v>
      </c>
      <c r="D34">
        <v>2579</v>
      </c>
    </row>
    <row r="39" spans="1:4" s="37" customFormat="1" x14ac:dyDescent="0.3">
      <c r="A39"/>
      <c r="B39"/>
      <c r="C39"/>
      <c r="D39"/>
    </row>
    <row r="43" spans="1:4" s="37" customFormat="1" x14ac:dyDescent="0.3">
      <c r="A43"/>
      <c r="B43"/>
      <c r="C43"/>
      <c r="D43"/>
    </row>
    <row r="55" spans="1:16" s="47" customFormat="1" x14ac:dyDescent="0.3">
      <c r="A55"/>
      <c r="B55"/>
      <c r="C55"/>
      <c r="D55"/>
    </row>
    <row r="56" spans="1:16" x14ac:dyDescent="0.3">
      <c r="A56" s="34" t="s">
        <v>678</v>
      </c>
      <c r="B56" s="34"/>
      <c r="C56" s="34"/>
      <c r="D56" s="34"/>
      <c r="E56" s="34"/>
      <c r="F56" s="34"/>
      <c r="G56" s="34"/>
      <c r="H56" s="34"/>
      <c r="I56" s="34"/>
      <c r="J56" s="34"/>
      <c r="K56" s="34"/>
      <c r="L56" s="34"/>
      <c r="M56" s="34"/>
      <c r="N56" s="34"/>
      <c r="O56" s="34"/>
      <c r="P56" s="31"/>
    </row>
    <row r="57" spans="1:16" x14ac:dyDescent="0.3">
      <c r="A57" s="34" t="s">
        <v>674</v>
      </c>
      <c r="B57" s="34"/>
      <c r="C57" s="34"/>
      <c r="D57" s="34"/>
      <c r="E57" s="34"/>
      <c r="F57" s="34"/>
      <c r="G57" s="34"/>
      <c r="H57" s="34"/>
      <c r="I57" s="34"/>
      <c r="J57" s="34"/>
      <c r="K57" s="34"/>
      <c r="L57" s="34"/>
      <c r="M57" s="34"/>
      <c r="N57" s="34"/>
      <c r="O57" s="34"/>
      <c r="P57" s="31"/>
    </row>
    <row r="61" spans="1:16" x14ac:dyDescent="0.3">
      <c r="A61" s="67" t="s">
        <v>664</v>
      </c>
      <c r="B61" s="67"/>
    </row>
    <row r="62" spans="1:16" x14ac:dyDescent="0.3">
      <c r="A62" s="5" t="s">
        <v>621</v>
      </c>
      <c r="B62" t="s">
        <v>620</v>
      </c>
    </row>
    <row r="63" spans="1:16" ht="28.8" x14ac:dyDescent="0.3">
      <c r="A63" s="50" t="s">
        <v>615</v>
      </c>
      <c r="B63" s="48">
        <v>219</v>
      </c>
    </row>
    <row r="64" spans="1:16" x14ac:dyDescent="0.3">
      <c r="A64" s="6" t="s">
        <v>62</v>
      </c>
      <c r="B64" s="8">
        <v>158.41379310344828</v>
      </c>
    </row>
    <row r="65" spans="1:16" x14ac:dyDescent="0.3">
      <c r="A65" s="36" t="s">
        <v>37</v>
      </c>
      <c r="B65" s="8">
        <v>145.03571428571428</v>
      </c>
    </row>
    <row r="66" spans="1:16" ht="28.8" x14ac:dyDescent="0.3">
      <c r="A66" s="50" t="s">
        <v>30</v>
      </c>
      <c r="B66" s="49">
        <v>136.41379310344828</v>
      </c>
    </row>
    <row r="67" spans="1:16" x14ac:dyDescent="0.3">
      <c r="A67" s="6" t="s">
        <v>616</v>
      </c>
      <c r="B67" s="8">
        <v>116.5</v>
      </c>
    </row>
    <row r="68" spans="1:16" x14ac:dyDescent="0.3">
      <c r="A68" s="6" t="s">
        <v>603</v>
      </c>
      <c r="B68" s="8">
        <v>24.5</v>
      </c>
    </row>
    <row r="76" spans="1:16" x14ac:dyDescent="0.3">
      <c r="A76" s="68" t="s">
        <v>679</v>
      </c>
      <c r="B76" s="69"/>
      <c r="C76" s="69"/>
      <c r="D76" s="69"/>
      <c r="E76" s="68" t="s">
        <v>679</v>
      </c>
      <c r="F76" s="69"/>
      <c r="G76" s="69"/>
      <c r="H76" s="69"/>
      <c r="I76" s="68" t="s">
        <v>679</v>
      </c>
      <c r="J76" s="69"/>
      <c r="K76" s="69"/>
      <c r="L76" s="69"/>
      <c r="M76" s="68" t="s">
        <v>679</v>
      </c>
      <c r="N76" s="69"/>
      <c r="O76" s="69"/>
      <c r="P76" s="69"/>
    </row>
    <row r="79" spans="1:16" x14ac:dyDescent="0.3">
      <c r="A79" s="67" t="s">
        <v>665</v>
      </c>
      <c r="B79" s="67"/>
    </row>
    <row r="80" spans="1:16" x14ac:dyDescent="0.3">
      <c r="A80" s="5" t="s">
        <v>1</v>
      </c>
      <c r="B80" t="s">
        <v>642</v>
      </c>
    </row>
    <row r="81" spans="1:2" x14ac:dyDescent="0.3">
      <c r="A81" s="6" t="s">
        <v>43</v>
      </c>
      <c r="B81" s="9"/>
    </row>
    <row r="82" spans="1:2" x14ac:dyDescent="0.3">
      <c r="A82" s="18" t="s">
        <v>45</v>
      </c>
      <c r="B82" s="9">
        <v>4033.2142857142858</v>
      </c>
    </row>
    <row r="83" spans="1:2" x14ac:dyDescent="0.3">
      <c r="A83" s="18" t="s">
        <v>52</v>
      </c>
      <c r="B83" s="9">
        <v>3634.1785714285716</v>
      </c>
    </row>
    <row r="84" spans="1:2" x14ac:dyDescent="0.3">
      <c r="A84" s="18" t="s">
        <v>16</v>
      </c>
      <c r="B84" s="9">
        <v>4070.2142857142858</v>
      </c>
    </row>
    <row r="85" spans="1:2" x14ac:dyDescent="0.3">
      <c r="A85" s="18" t="s">
        <v>35</v>
      </c>
      <c r="B85" s="9">
        <v>3416.181818181818</v>
      </c>
    </row>
    <row r="86" spans="1:2" x14ac:dyDescent="0.3">
      <c r="A86" s="18" t="s">
        <v>22</v>
      </c>
      <c r="B86" s="9">
        <v>2806.75</v>
      </c>
    </row>
    <row r="87" spans="1:2" x14ac:dyDescent="0.3">
      <c r="A87" s="18" t="s">
        <v>74</v>
      </c>
      <c r="B87" s="9">
        <v>3685</v>
      </c>
    </row>
    <row r="110" spans="1:4" x14ac:dyDescent="0.3">
      <c r="A110" s="34" t="s">
        <v>680</v>
      </c>
      <c r="B110" s="31"/>
      <c r="C110" s="31"/>
      <c r="D110" s="31"/>
    </row>
  </sheetData>
  <mergeCells count="11">
    <mergeCell ref="I76:L76"/>
    <mergeCell ref="M76:P76"/>
    <mergeCell ref="A79:B79"/>
    <mergeCell ref="A9:B9"/>
    <mergeCell ref="A10:B10"/>
    <mergeCell ref="A12:B12"/>
    <mergeCell ref="A2:B2"/>
    <mergeCell ref="A26:D26"/>
    <mergeCell ref="A61:B61"/>
    <mergeCell ref="A76:D76"/>
    <mergeCell ref="E76:H76"/>
  </mergeCells>
  <conditionalFormatting pivot="1" sqref="B63">
    <cfRule type="top10" dxfId="122" priority="3" rank="3"/>
  </conditionalFormatting>
  <conditionalFormatting pivot="1" sqref="B63:B68">
    <cfRule type="top10" dxfId="121" priority="2" rank="3"/>
  </conditionalFormatting>
  <conditionalFormatting pivot="1" sqref="B63">
    <cfRule type="top10" dxfId="120" priority="1" rank="10"/>
  </conditionalFormatting>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32AA-D60E-401A-B4AB-A8D362B37CA6}">
  <sheetPr>
    <tabColor theme="4" tint="0.39997558519241921"/>
  </sheetPr>
  <dimension ref="A1:O47"/>
  <sheetViews>
    <sheetView showGridLines="0" topLeftCell="A34" zoomScale="142" workbookViewId="0">
      <selection activeCell="C27" sqref="C27"/>
    </sheetView>
  </sheetViews>
  <sheetFormatPr defaultRowHeight="14.4" x14ac:dyDescent="0.3"/>
  <cols>
    <col min="1" max="1" width="10.5546875" bestFit="1" customWidth="1"/>
    <col min="2" max="2" width="18.21875" bestFit="1" customWidth="1"/>
    <col min="3" max="3" width="13.6640625" bestFit="1" customWidth="1"/>
    <col min="5" max="5" width="13.44140625" customWidth="1"/>
    <col min="15" max="15" width="12.5546875" customWidth="1"/>
  </cols>
  <sheetData>
    <row r="1" spans="1:5" ht="34.799999999999997" customHeight="1" x14ac:dyDescent="0.3">
      <c r="E1" s="52" t="s">
        <v>684</v>
      </c>
    </row>
    <row r="3" spans="1:5" x14ac:dyDescent="0.3">
      <c r="A3" s="67" t="s">
        <v>666</v>
      </c>
      <c r="B3" s="67"/>
    </row>
    <row r="4" spans="1:5" x14ac:dyDescent="0.3">
      <c r="A4" s="5" t="s">
        <v>1</v>
      </c>
      <c r="B4" t="s">
        <v>610</v>
      </c>
    </row>
    <row r="5" spans="1:5" x14ac:dyDescent="0.3">
      <c r="A5" s="36" t="s">
        <v>43</v>
      </c>
      <c r="B5" s="37">
        <v>334541</v>
      </c>
    </row>
    <row r="10" spans="1:5" x14ac:dyDescent="0.3">
      <c r="A10" s="34" t="s">
        <v>667</v>
      </c>
      <c r="B10" s="34"/>
    </row>
    <row r="11" spans="1:5" x14ac:dyDescent="0.3">
      <c r="A11" s="71" t="s">
        <v>668</v>
      </c>
      <c r="B11" s="71"/>
    </row>
    <row r="15" spans="1:5" x14ac:dyDescent="0.3">
      <c r="A15" s="67" t="s">
        <v>669</v>
      </c>
      <c r="B15" s="67"/>
    </row>
    <row r="16" spans="1:5" x14ac:dyDescent="0.3">
      <c r="A16" s="5" t="s">
        <v>1</v>
      </c>
      <c r="B16" t="s">
        <v>624</v>
      </c>
    </row>
    <row r="17" spans="1:3" x14ac:dyDescent="0.3">
      <c r="A17" s="6" t="s">
        <v>43</v>
      </c>
      <c r="B17" s="14">
        <v>0.27324953416486325</v>
      </c>
    </row>
    <row r="18" spans="1:3" x14ac:dyDescent="0.3">
      <c r="A18" s="6" t="s">
        <v>33</v>
      </c>
      <c r="B18" s="14">
        <v>0.28812660632475912</v>
      </c>
    </row>
    <row r="19" spans="1:3" x14ac:dyDescent="0.3">
      <c r="A19" s="6" t="s">
        <v>14</v>
      </c>
      <c r="B19" s="14">
        <v>0.46400128383106698</v>
      </c>
    </row>
    <row r="20" spans="1:3" x14ac:dyDescent="0.3">
      <c r="A20" s="6" t="s">
        <v>27</v>
      </c>
      <c r="B20" s="14">
        <v>0.45105333156680044</v>
      </c>
    </row>
    <row r="22" spans="1:3" x14ac:dyDescent="0.3">
      <c r="A22" s="38" t="s">
        <v>670</v>
      </c>
      <c r="B22" s="34"/>
      <c r="C22" s="34"/>
    </row>
    <row r="25" spans="1:3" x14ac:dyDescent="0.3">
      <c r="A25" s="67" t="s">
        <v>671</v>
      </c>
      <c r="B25" s="67"/>
    </row>
    <row r="26" spans="1:3" x14ac:dyDescent="0.3">
      <c r="A26" s="5" t="s">
        <v>1</v>
      </c>
      <c r="B26" t="s">
        <v>625</v>
      </c>
      <c r="C26" t="s">
        <v>626</v>
      </c>
    </row>
    <row r="27" spans="1:3" x14ac:dyDescent="0.3">
      <c r="A27" s="6" t="s">
        <v>43</v>
      </c>
      <c r="B27">
        <v>5.6486000000000001</v>
      </c>
      <c r="C27" s="27">
        <v>1379539</v>
      </c>
    </row>
    <row r="28" spans="1:3" x14ac:dyDescent="0.3">
      <c r="A28" s="36" t="s">
        <v>33</v>
      </c>
      <c r="B28" s="37">
        <v>5.7156000000000002</v>
      </c>
      <c r="C28" s="27">
        <v>1164373</v>
      </c>
    </row>
    <row r="29" spans="1:3" x14ac:dyDescent="0.3">
      <c r="A29" s="6" t="s">
        <v>14</v>
      </c>
      <c r="B29">
        <v>5.6558000000000002</v>
      </c>
      <c r="C29" s="27">
        <v>1060357</v>
      </c>
    </row>
    <row r="30" spans="1:3" x14ac:dyDescent="0.3">
      <c r="A30" s="6" t="s">
        <v>27</v>
      </c>
      <c r="B30">
        <v>5.5587999999999997</v>
      </c>
      <c r="C30" s="27">
        <v>1228647</v>
      </c>
    </row>
    <row r="32" spans="1:3" x14ac:dyDescent="0.3">
      <c r="A32" s="67" t="s">
        <v>672</v>
      </c>
      <c r="B32" s="67"/>
      <c r="C32" s="67"/>
    </row>
    <row r="42" spans="1:15" x14ac:dyDescent="0.3">
      <c r="A42" s="66" t="s">
        <v>681</v>
      </c>
      <c r="B42" s="66"/>
      <c r="C42" s="66"/>
      <c r="D42" s="66"/>
      <c r="E42" s="66"/>
      <c r="F42" s="66"/>
      <c r="G42" s="66"/>
      <c r="H42" s="66"/>
      <c r="I42" s="66"/>
      <c r="J42" s="66"/>
      <c r="K42" s="66"/>
      <c r="L42" s="66"/>
      <c r="M42" s="66"/>
      <c r="N42" s="66"/>
      <c r="O42" s="66"/>
    </row>
    <row r="43" spans="1:15" x14ac:dyDescent="0.3">
      <c r="A43" s="66" t="s">
        <v>682</v>
      </c>
      <c r="B43" s="66"/>
      <c r="C43" s="66"/>
      <c r="D43" s="66"/>
      <c r="E43" s="66"/>
      <c r="F43" s="66"/>
      <c r="G43" s="66"/>
      <c r="H43" s="66"/>
      <c r="I43" s="66"/>
      <c r="J43" s="66"/>
      <c r="K43" s="66"/>
      <c r="L43" s="66"/>
      <c r="M43" s="66"/>
      <c r="N43" s="66"/>
      <c r="O43" s="66"/>
    </row>
    <row r="44" spans="1:15" x14ac:dyDescent="0.3">
      <c r="A44" s="66" t="s">
        <v>683</v>
      </c>
      <c r="B44" s="66"/>
      <c r="C44" s="66"/>
      <c r="D44" s="66"/>
      <c r="E44" s="66"/>
      <c r="F44" s="66"/>
      <c r="G44" s="66"/>
      <c r="H44" s="66"/>
      <c r="I44" s="66"/>
      <c r="J44" s="66"/>
      <c r="K44" s="66"/>
      <c r="L44" s="66"/>
      <c r="M44" s="66"/>
      <c r="N44" s="66"/>
      <c r="O44" s="66"/>
    </row>
    <row r="45" spans="1:15" x14ac:dyDescent="0.3">
      <c r="A45" s="66" t="s">
        <v>694</v>
      </c>
      <c r="B45" s="66"/>
      <c r="C45" s="66"/>
      <c r="D45" s="66"/>
      <c r="E45" s="66"/>
      <c r="F45" s="66"/>
      <c r="G45" s="66"/>
      <c r="H45" s="66"/>
      <c r="I45" s="66"/>
      <c r="J45" s="66"/>
      <c r="K45" s="66"/>
      <c r="L45" s="66"/>
      <c r="M45" s="66"/>
      <c r="N45" s="66"/>
      <c r="O45" s="66"/>
    </row>
    <row r="46" spans="1:15" x14ac:dyDescent="0.3">
      <c r="A46" s="34"/>
      <c r="B46" s="34"/>
      <c r="C46" s="34"/>
      <c r="D46" s="34"/>
      <c r="E46" s="34"/>
      <c r="F46" s="34"/>
      <c r="G46" s="34"/>
      <c r="H46" s="34"/>
      <c r="I46" s="34"/>
      <c r="J46" s="34"/>
      <c r="K46" s="34"/>
      <c r="L46" s="34"/>
      <c r="M46" s="34"/>
      <c r="N46" s="34"/>
      <c r="O46" s="34"/>
    </row>
    <row r="47" spans="1:15" x14ac:dyDescent="0.3">
      <c r="A47" s="34"/>
      <c r="B47" s="34"/>
      <c r="C47" s="34"/>
      <c r="D47" s="34"/>
      <c r="E47" s="34"/>
      <c r="F47" s="34"/>
      <c r="G47" s="34"/>
      <c r="H47" s="34"/>
      <c r="I47" s="34"/>
      <c r="J47" s="34"/>
      <c r="K47" s="34"/>
      <c r="L47" s="34"/>
      <c r="M47" s="34"/>
      <c r="N47" s="34"/>
      <c r="O47" s="34"/>
    </row>
  </sheetData>
  <mergeCells count="9">
    <mergeCell ref="A42:O42"/>
    <mergeCell ref="A43:O43"/>
    <mergeCell ref="A44:O44"/>
    <mergeCell ref="A45:O45"/>
    <mergeCell ref="A3:B3"/>
    <mergeCell ref="A11:B11"/>
    <mergeCell ref="A15:B15"/>
    <mergeCell ref="A25:B25"/>
    <mergeCell ref="A32:C32"/>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0328-3F02-40C2-8198-B9DC33FB0F38}">
  <sheetPr>
    <tabColor theme="6" tint="-0.249977111117893"/>
  </sheetPr>
  <dimension ref="A1:T69"/>
  <sheetViews>
    <sheetView showGridLines="0" topLeftCell="A48" workbookViewId="0">
      <selection activeCell="B50" sqref="B50"/>
    </sheetView>
  </sheetViews>
  <sheetFormatPr defaultRowHeight="14.4" x14ac:dyDescent="0.3"/>
  <cols>
    <col min="1" max="1" width="14.5546875" bestFit="1" customWidth="1"/>
    <col min="2" max="2" width="25.77734375" bestFit="1" customWidth="1"/>
    <col min="5" max="5" width="14.5546875" customWidth="1"/>
    <col min="20" max="20" width="12" customWidth="1"/>
  </cols>
  <sheetData>
    <row r="1" spans="1:5" ht="23.4" x14ac:dyDescent="0.45">
      <c r="E1" s="51" t="s">
        <v>685</v>
      </c>
    </row>
    <row r="13" spans="1:5" ht="15.6" x14ac:dyDescent="0.3">
      <c r="A13" s="74" t="s">
        <v>686</v>
      </c>
      <c r="B13" s="74"/>
    </row>
    <row r="17" spans="1:2" x14ac:dyDescent="0.3">
      <c r="A17" s="5" t="s">
        <v>11</v>
      </c>
      <c r="B17" t="s">
        <v>627</v>
      </c>
    </row>
    <row r="18" spans="1:2" x14ac:dyDescent="0.3">
      <c r="A18" s="6" t="s">
        <v>62</v>
      </c>
      <c r="B18">
        <v>29</v>
      </c>
    </row>
    <row r="19" spans="1:2" x14ac:dyDescent="0.3">
      <c r="A19" s="6" t="s">
        <v>30</v>
      </c>
      <c r="B19">
        <v>29</v>
      </c>
    </row>
    <row r="20" spans="1:2" x14ac:dyDescent="0.3">
      <c r="A20" s="6" t="s">
        <v>37</v>
      </c>
      <c r="B20">
        <v>28</v>
      </c>
    </row>
    <row r="21" spans="1:2" x14ac:dyDescent="0.3">
      <c r="A21" s="6" t="s">
        <v>615</v>
      </c>
      <c r="B21">
        <v>3</v>
      </c>
    </row>
    <row r="22" spans="1:2" x14ac:dyDescent="0.3">
      <c r="A22" s="6" t="s">
        <v>616</v>
      </c>
      <c r="B22">
        <v>2</v>
      </c>
    </row>
    <row r="23" spans="1:2" x14ac:dyDescent="0.3">
      <c r="A23" s="6" t="s">
        <v>603</v>
      </c>
      <c r="B23">
        <v>2</v>
      </c>
    </row>
    <row r="25" spans="1:2" x14ac:dyDescent="0.3">
      <c r="A25" s="38" t="s">
        <v>689</v>
      </c>
      <c r="B25" s="34"/>
    </row>
    <row r="30" spans="1:2" ht="15.6" x14ac:dyDescent="0.3">
      <c r="A30" s="74" t="s">
        <v>687</v>
      </c>
      <c r="B30" s="74"/>
    </row>
    <row r="34" spans="1:2" x14ac:dyDescent="0.3">
      <c r="A34" s="5" t="s">
        <v>11</v>
      </c>
      <c r="B34" t="s">
        <v>609</v>
      </c>
    </row>
    <row r="35" spans="1:2" x14ac:dyDescent="0.3">
      <c r="A35" s="6" t="s">
        <v>603</v>
      </c>
      <c r="B35" s="7">
        <v>0.13357644934787313</v>
      </c>
    </row>
    <row r="36" spans="1:2" x14ac:dyDescent="0.3">
      <c r="A36" s="6" t="s">
        <v>30</v>
      </c>
      <c r="B36" s="7">
        <v>0.12889893462121699</v>
      </c>
    </row>
    <row r="37" spans="1:2" x14ac:dyDescent="0.3">
      <c r="A37" s="6" t="s">
        <v>37</v>
      </c>
      <c r="B37" s="7">
        <v>0.12145133616783972</v>
      </c>
    </row>
    <row r="38" spans="1:2" x14ac:dyDescent="0.3">
      <c r="A38" s="6" t="s">
        <v>62</v>
      </c>
      <c r="B38" s="7">
        <v>0.11424805036682933</v>
      </c>
    </row>
    <row r="39" spans="1:2" x14ac:dyDescent="0.3">
      <c r="A39" s="6" t="s">
        <v>615</v>
      </c>
      <c r="B39" s="7">
        <v>0.10994737304811847</v>
      </c>
    </row>
    <row r="40" spans="1:2" x14ac:dyDescent="0.3">
      <c r="A40" s="6" t="s">
        <v>616</v>
      </c>
      <c r="B40" s="7">
        <v>9.9357075338062401E-2</v>
      </c>
    </row>
    <row r="42" spans="1:2" x14ac:dyDescent="0.3">
      <c r="A42" s="71" t="s">
        <v>690</v>
      </c>
      <c r="B42" s="71"/>
    </row>
    <row r="43" spans="1:2" x14ac:dyDescent="0.3">
      <c r="A43" s="71" t="s">
        <v>691</v>
      </c>
      <c r="B43" s="71"/>
    </row>
    <row r="45" spans="1:2" x14ac:dyDescent="0.3">
      <c r="A45" s="67" t="s">
        <v>688</v>
      </c>
      <c r="B45" s="67"/>
    </row>
    <row r="46" spans="1:2" x14ac:dyDescent="0.3">
      <c r="A46" s="5" t="s">
        <v>3</v>
      </c>
      <c r="B46" t="s">
        <v>609</v>
      </c>
    </row>
    <row r="47" spans="1:2" x14ac:dyDescent="0.3">
      <c r="A47" s="6" t="s">
        <v>35</v>
      </c>
      <c r="B47" s="7">
        <v>0.15898977777988452</v>
      </c>
    </row>
    <row r="48" spans="1:2" x14ac:dyDescent="0.3">
      <c r="A48" s="6" t="s">
        <v>74</v>
      </c>
      <c r="B48" s="7">
        <v>0.12378368203470033</v>
      </c>
    </row>
    <row r="49" spans="1:20" x14ac:dyDescent="0.3">
      <c r="A49" s="6" t="s">
        <v>45</v>
      </c>
      <c r="B49" s="7">
        <v>0.11820589815604368</v>
      </c>
    </row>
    <row r="50" spans="1:20" x14ac:dyDescent="0.3">
      <c r="A50" s="6" t="s">
        <v>52</v>
      </c>
      <c r="B50" s="7">
        <v>0.1174542452833237</v>
      </c>
    </row>
    <row r="51" spans="1:20" x14ac:dyDescent="0.3">
      <c r="A51" s="6" t="s">
        <v>22</v>
      </c>
      <c r="B51" s="7">
        <v>0.11119518464556614</v>
      </c>
    </row>
    <row r="52" spans="1:20" x14ac:dyDescent="0.3">
      <c r="A52" s="6" t="s">
        <v>16</v>
      </c>
      <c r="B52" s="7">
        <v>0.10986859810690117</v>
      </c>
    </row>
    <row r="54" spans="1:20" x14ac:dyDescent="0.3">
      <c r="A54" s="71" t="s">
        <v>693</v>
      </c>
      <c r="B54" s="71"/>
    </row>
    <row r="55" spans="1:20" x14ac:dyDescent="0.3">
      <c r="A55" s="71" t="s">
        <v>692</v>
      </c>
      <c r="B55" s="71"/>
    </row>
    <row r="63" spans="1:20" x14ac:dyDescent="0.3">
      <c r="A63" s="66" t="s">
        <v>695</v>
      </c>
      <c r="B63" s="66"/>
      <c r="C63" s="66"/>
      <c r="D63" s="66"/>
      <c r="E63" s="66"/>
      <c r="F63" s="66"/>
      <c r="G63" s="66"/>
      <c r="H63" s="66"/>
      <c r="I63" s="66"/>
      <c r="J63" s="66"/>
      <c r="K63" s="66"/>
      <c r="L63" s="66"/>
      <c r="M63" s="66"/>
      <c r="N63" s="66"/>
      <c r="O63" s="66"/>
      <c r="P63" s="66"/>
      <c r="Q63" s="66"/>
      <c r="R63" s="66"/>
      <c r="S63" s="66"/>
      <c r="T63" s="66"/>
    </row>
    <row r="64" spans="1:20" x14ac:dyDescent="0.3">
      <c r="A64" s="66" t="s">
        <v>696</v>
      </c>
      <c r="B64" s="66"/>
      <c r="C64" s="66"/>
      <c r="D64" s="66"/>
      <c r="E64" s="66"/>
      <c r="F64" s="66"/>
      <c r="G64" s="66"/>
      <c r="H64" s="66"/>
      <c r="I64" s="66"/>
      <c r="J64" s="66"/>
      <c r="K64" s="66"/>
      <c r="L64" s="66"/>
      <c r="M64" s="66"/>
      <c r="N64" s="66"/>
      <c r="O64" s="66"/>
      <c r="P64" s="66"/>
      <c r="Q64" s="66"/>
      <c r="R64" s="66"/>
      <c r="S64" s="66"/>
      <c r="T64" s="66"/>
    </row>
    <row r="65" spans="1:20" x14ac:dyDescent="0.3">
      <c r="A65" s="66" t="s">
        <v>697</v>
      </c>
      <c r="B65" s="73"/>
      <c r="C65" s="73"/>
      <c r="D65" s="73"/>
      <c r="E65" s="73"/>
      <c r="F65" s="73"/>
      <c r="G65" s="73"/>
      <c r="H65" s="73"/>
      <c r="I65" s="73"/>
      <c r="J65" s="73"/>
      <c r="K65" s="73"/>
      <c r="L65" s="73"/>
      <c r="M65" s="73"/>
      <c r="N65" s="73"/>
      <c r="O65" s="73"/>
      <c r="P65" s="73"/>
      <c r="Q65" s="73"/>
      <c r="R65" s="73"/>
      <c r="S65" s="73"/>
      <c r="T65" s="73"/>
    </row>
    <row r="67" spans="1:20" x14ac:dyDescent="0.3">
      <c r="A67" s="72"/>
      <c r="B67" s="72"/>
      <c r="C67" s="72"/>
      <c r="D67" s="72"/>
      <c r="E67" s="72"/>
      <c r="F67" s="72"/>
      <c r="G67" s="72"/>
      <c r="H67" s="72"/>
      <c r="I67" s="72"/>
      <c r="J67" s="72"/>
      <c r="K67" s="72"/>
      <c r="L67" s="72"/>
      <c r="M67" s="72"/>
      <c r="N67" s="72"/>
      <c r="O67" s="72"/>
    </row>
    <row r="68" spans="1:20" x14ac:dyDescent="0.3">
      <c r="A68" s="53"/>
      <c r="B68" s="53"/>
      <c r="C68" s="53"/>
      <c r="D68" s="53"/>
      <c r="E68" s="53"/>
      <c r="F68" s="53"/>
      <c r="G68" s="53"/>
      <c r="H68" s="53"/>
      <c r="I68" s="53"/>
      <c r="J68" s="53"/>
      <c r="K68" s="53"/>
      <c r="L68" s="53"/>
      <c r="M68" s="53"/>
      <c r="N68" s="53"/>
      <c r="O68" s="53"/>
    </row>
    <row r="69" spans="1:20" x14ac:dyDescent="0.3">
      <c r="A69" s="53"/>
      <c r="B69" s="53"/>
      <c r="C69" s="53"/>
      <c r="D69" s="53"/>
      <c r="E69" s="53"/>
      <c r="F69" s="53"/>
      <c r="G69" s="53"/>
      <c r="H69" s="53"/>
      <c r="I69" s="53"/>
      <c r="J69" s="53"/>
      <c r="K69" s="53"/>
      <c r="L69" s="53"/>
      <c r="M69" s="53"/>
      <c r="N69" s="53"/>
      <c r="O69" s="53"/>
    </row>
  </sheetData>
  <mergeCells count="11">
    <mergeCell ref="A54:B54"/>
    <mergeCell ref="A13:B13"/>
    <mergeCell ref="A30:B30"/>
    <mergeCell ref="A45:B45"/>
    <mergeCell ref="A42:B42"/>
    <mergeCell ref="A43:B43"/>
    <mergeCell ref="A55:B55"/>
    <mergeCell ref="A67:O67"/>
    <mergeCell ref="A63:T63"/>
    <mergeCell ref="A64:T64"/>
    <mergeCell ref="A65:T65"/>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0C3F1-80AB-4A2E-B5A5-7D2FEC3EFB60}">
  <sheetPr>
    <tabColor theme="9" tint="0.39997558519241921"/>
  </sheetPr>
  <dimension ref="A1:G80"/>
  <sheetViews>
    <sheetView topLeftCell="A53" zoomScale="101" workbookViewId="0">
      <selection activeCell="A84" sqref="A84"/>
    </sheetView>
  </sheetViews>
  <sheetFormatPr defaultRowHeight="14.4" x14ac:dyDescent="0.3"/>
  <cols>
    <col min="1" max="1" width="17.33203125" bestFit="1" customWidth="1"/>
    <col min="2" max="2" width="22.33203125" bestFit="1" customWidth="1"/>
    <col min="3" max="3" width="15.44140625" bestFit="1" customWidth="1"/>
    <col min="4" max="4" width="12.33203125" bestFit="1" customWidth="1"/>
    <col min="5" max="5" width="16" bestFit="1" customWidth="1"/>
    <col min="6" max="6" width="18" bestFit="1" customWidth="1"/>
    <col min="7" max="7" width="21.6640625" bestFit="1" customWidth="1"/>
  </cols>
  <sheetData>
    <row r="1" spans="1:7" ht="23.4" x14ac:dyDescent="0.45">
      <c r="A1" s="24"/>
      <c r="B1" s="24"/>
      <c r="D1" s="78" t="s">
        <v>698</v>
      </c>
      <c r="E1" s="78"/>
    </row>
    <row r="2" spans="1:7" ht="15.6" x14ac:dyDescent="0.3">
      <c r="A2" s="74" t="s">
        <v>644</v>
      </c>
      <c r="B2" s="74"/>
      <c r="C2" s="74"/>
      <c r="D2" s="74"/>
      <c r="E2" s="74"/>
      <c r="F2" s="74"/>
      <c r="G2" s="74"/>
    </row>
    <row r="3" spans="1:7" x14ac:dyDescent="0.3">
      <c r="A3" s="5" t="s">
        <v>631</v>
      </c>
      <c r="B3" t="s">
        <v>611</v>
      </c>
      <c r="C3" t="s">
        <v>629</v>
      </c>
      <c r="D3" t="s">
        <v>619</v>
      </c>
      <c r="E3" t="s">
        <v>620</v>
      </c>
      <c r="F3" t="s">
        <v>628</v>
      </c>
      <c r="G3" t="s">
        <v>630</v>
      </c>
    </row>
    <row r="4" spans="1:7" x14ac:dyDescent="0.3">
      <c r="A4" s="6" t="s">
        <v>617</v>
      </c>
      <c r="B4">
        <v>54737</v>
      </c>
      <c r="C4" s="9">
        <v>2880.8947368421054</v>
      </c>
      <c r="D4">
        <v>3200</v>
      </c>
      <c r="E4" s="9">
        <v>168.42105263157896</v>
      </c>
      <c r="F4">
        <v>661164</v>
      </c>
      <c r="G4" s="9">
        <v>34798.105263157893</v>
      </c>
    </row>
    <row r="5" spans="1:7" x14ac:dyDescent="0.3">
      <c r="A5" s="6" t="s">
        <v>19</v>
      </c>
      <c r="B5">
        <v>33436</v>
      </c>
      <c r="C5" s="55">
        <v>2786.3333333333335</v>
      </c>
      <c r="D5">
        <v>1812</v>
      </c>
      <c r="E5" s="9">
        <v>151</v>
      </c>
      <c r="F5">
        <v>470831</v>
      </c>
      <c r="G5" s="55">
        <v>39235.916666666664</v>
      </c>
    </row>
    <row r="6" spans="1:7" x14ac:dyDescent="0.3">
      <c r="A6" s="6" t="s">
        <v>38</v>
      </c>
      <c r="B6" s="31">
        <v>51192</v>
      </c>
      <c r="C6" s="9">
        <v>2844</v>
      </c>
      <c r="D6" s="31">
        <v>2626</v>
      </c>
      <c r="E6" s="9">
        <v>145.88888888888889</v>
      </c>
      <c r="F6" s="31">
        <v>678203</v>
      </c>
      <c r="G6" s="9">
        <v>37677.944444444445</v>
      </c>
    </row>
    <row r="7" spans="1:7" x14ac:dyDescent="0.3">
      <c r="A7" s="6" t="s">
        <v>25</v>
      </c>
      <c r="B7">
        <v>55180</v>
      </c>
      <c r="C7" s="9">
        <v>2627.6190476190477</v>
      </c>
      <c r="D7">
        <v>2893</v>
      </c>
      <c r="E7" s="55">
        <v>137.76190476190476</v>
      </c>
      <c r="F7">
        <v>757676</v>
      </c>
      <c r="G7" s="9">
        <v>36079.809523809527</v>
      </c>
    </row>
    <row r="8" spans="1:7" x14ac:dyDescent="0.3">
      <c r="A8" s="6" t="s">
        <v>31</v>
      </c>
      <c r="B8">
        <v>71421</v>
      </c>
      <c r="C8" s="9">
        <v>3105.2608695652175</v>
      </c>
      <c r="D8">
        <v>3019</v>
      </c>
      <c r="E8" s="9">
        <v>131.2608695652174</v>
      </c>
      <c r="F8">
        <v>954744</v>
      </c>
      <c r="G8" s="9">
        <v>41510.608695652176</v>
      </c>
    </row>
    <row r="11" spans="1:7" x14ac:dyDescent="0.3">
      <c r="F11" s="10"/>
    </row>
    <row r="12" spans="1:7" x14ac:dyDescent="0.3">
      <c r="F12" s="10"/>
      <c r="G12" s="10"/>
    </row>
    <row r="13" spans="1:7" x14ac:dyDescent="0.3">
      <c r="E13" s="12"/>
      <c r="F13" s="7"/>
    </row>
    <row r="26" spans="1:4" ht="19.8" customHeight="1" x14ac:dyDescent="0.3">
      <c r="A26" s="34" t="s">
        <v>701</v>
      </c>
      <c r="B26" s="34"/>
      <c r="C26" s="34"/>
      <c r="D26" s="34"/>
    </row>
    <row r="28" spans="1:4" ht="15.6" x14ac:dyDescent="0.3">
      <c r="A28" s="75" t="s">
        <v>643</v>
      </c>
      <c r="B28" s="75"/>
      <c r="C28" s="75"/>
    </row>
    <row r="29" spans="1:4" x14ac:dyDescent="0.3">
      <c r="A29" s="5" t="s">
        <v>631</v>
      </c>
      <c r="B29" t="s">
        <v>642</v>
      </c>
      <c r="C29" s="22" t="s">
        <v>641</v>
      </c>
    </row>
    <row r="30" spans="1:4" x14ac:dyDescent="0.3">
      <c r="A30" s="6" t="s">
        <v>19</v>
      </c>
    </row>
    <row r="31" spans="1:4" x14ac:dyDescent="0.3">
      <c r="A31" s="18" t="s">
        <v>637</v>
      </c>
      <c r="B31" s="9">
        <v>3511.3636363636365</v>
      </c>
      <c r="C31" s="77">
        <f>GETPIVOTDATA("Engagement",$A$29,"Campaign_Name","CybertruckLaunch","Campaign Category","During Campaign")-GETPIVOTDATA("Engagement",$A$29,"Campaign_Name","CybertruckLaunch","Campaign Category","Before Campaign")</f>
        <v>596.63636363636351</v>
      </c>
    </row>
    <row r="32" spans="1:4" x14ac:dyDescent="0.3">
      <c r="A32" s="18" t="s">
        <v>640</v>
      </c>
      <c r="B32" s="9">
        <v>4108</v>
      </c>
      <c r="C32" s="77"/>
    </row>
    <row r="33" spans="1:3" x14ac:dyDescent="0.3">
      <c r="A33" s="19" t="s">
        <v>31</v>
      </c>
      <c r="B33" s="9"/>
    </row>
    <row r="34" spans="1:3" x14ac:dyDescent="0.3">
      <c r="A34" s="18" t="s">
        <v>637</v>
      </c>
      <c r="B34" s="9">
        <v>3874.521739130435</v>
      </c>
      <c r="C34" s="77" t="e">
        <f>GETPIVOTDATA("Engagement",$A$29,"Campaign_Name","FSDUpdate","Campaign Category","During Campaign")-GETPIVOTDATA("Engagement",$A$29,"Campaign_Name","FSDUpdate","Campaign Category","Before Campaign")</f>
        <v>#REF!</v>
      </c>
    </row>
    <row r="35" spans="1:3" x14ac:dyDescent="0.3">
      <c r="A35" s="20" t="s">
        <v>25</v>
      </c>
      <c r="B35" s="21"/>
      <c r="C35" s="77"/>
    </row>
    <row r="36" spans="1:3" x14ac:dyDescent="0.3">
      <c r="A36" s="18" t="s">
        <v>637</v>
      </c>
      <c r="B36" s="9">
        <v>3444.6111111111113</v>
      </c>
    </row>
    <row r="37" spans="1:3" x14ac:dyDescent="0.3">
      <c r="A37" s="18" t="s">
        <v>640</v>
      </c>
      <c r="B37" s="9">
        <v>3506.3333333333335</v>
      </c>
      <c r="C37" s="23">
        <f>GETPIVOTDATA("Engagement",$A$29,"Campaign_Name","ModelYCampaign","Campaign Category","During Campaign")-GETPIVOTDATA("Engagement",$A$29,"Campaign_Name","ModelYCampaign","Campaign Category","Before Campaign")</f>
        <v>61.722222222222172</v>
      </c>
    </row>
    <row r="38" spans="1:3" x14ac:dyDescent="0.3">
      <c r="A38" s="6" t="s">
        <v>617</v>
      </c>
      <c r="B38" s="9">
        <v>3503.8947368421054</v>
      </c>
      <c r="C38" s="9"/>
    </row>
    <row r="39" spans="1:3" hidden="1" x14ac:dyDescent="0.3">
      <c r="A39" s="6" t="s">
        <v>38</v>
      </c>
      <c r="B39" s="9"/>
      <c r="C39" s="9"/>
    </row>
    <row r="40" spans="1:3" x14ac:dyDescent="0.3">
      <c r="A40" s="18" t="s">
        <v>637</v>
      </c>
      <c r="B40" s="9">
        <v>3675</v>
      </c>
      <c r="C40" s="9"/>
    </row>
    <row r="41" spans="1:3" x14ac:dyDescent="0.3">
      <c r="A41" s="18" t="s">
        <v>640</v>
      </c>
      <c r="B41" s="9">
        <v>2399</v>
      </c>
    </row>
    <row r="42" spans="1:3" x14ac:dyDescent="0.3">
      <c r="C42" s="77">
        <f>GETPIVOTDATA("Engagement",$A$29,"Campaign_Name","SustainabilityDrive","Campaign Category","During Campaign")-GETPIVOTDATA("Engagement",$A$29,"Campaign_Name","SustainabilityDrive","Campaign Category","Before Campaign")</f>
        <v>-1276</v>
      </c>
    </row>
    <row r="43" spans="1:3" x14ac:dyDescent="0.3">
      <c r="C43" s="77"/>
    </row>
    <row r="44" spans="1:3" x14ac:dyDescent="0.3">
      <c r="A44" s="66" t="s">
        <v>702</v>
      </c>
      <c r="B44" s="66"/>
      <c r="C44" s="66"/>
    </row>
    <row r="46" spans="1:3" ht="15.6" x14ac:dyDescent="0.3">
      <c r="A46" s="75" t="s">
        <v>648</v>
      </c>
      <c r="B46" s="75"/>
    </row>
    <row r="48" spans="1:3" x14ac:dyDescent="0.3">
      <c r="A48" s="5" t="s">
        <v>631</v>
      </c>
      <c r="B48" t="s">
        <v>647</v>
      </c>
    </row>
    <row r="49" spans="1:2" x14ac:dyDescent="0.3">
      <c r="A49" s="6" t="s">
        <v>19</v>
      </c>
      <c r="B49" s="54">
        <v>2.3740555555555556E-2</v>
      </c>
    </row>
    <row r="50" spans="1:2" x14ac:dyDescent="0.3">
      <c r="A50" s="6" t="s">
        <v>31</v>
      </c>
      <c r="B50" s="54">
        <v>1.5498086956521736E-2</v>
      </c>
    </row>
    <row r="51" spans="1:2" x14ac:dyDescent="0.3">
      <c r="A51" s="6" t="s">
        <v>25</v>
      </c>
      <c r="B51" s="54">
        <v>1.7267142857142856E-2</v>
      </c>
    </row>
    <row r="52" spans="1:2" hidden="1" x14ac:dyDescent="0.3">
      <c r="A52" s="6" t="s">
        <v>617</v>
      </c>
      <c r="B52" s="54" t="e">
        <v>#VALUE!</v>
      </c>
    </row>
    <row r="53" spans="1:2" x14ac:dyDescent="0.3">
      <c r="A53" s="6" t="s">
        <v>38</v>
      </c>
      <c r="B53" s="54">
        <v>1.9629012345679011E-2</v>
      </c>
    </row>
    <row r="56" spans="1:2" x14ac:dyDescent="0.3">
      <c r="A56" s="38" t="s">
        <v>703</v>
      </c>
      <c r="B56" s="34"/>
    </row>
    <row r="60" spans="1:2" x14ac:dyDescent="0.3">
      <c r="A60" s="76" t="s">
        <v>652</v>
      </c>
      <c r="B60" s="76"/>
    </row>
    <row r="62" spans="1:2" x14ac:dyDescent="0.3">
      <c r="A62" s="5" t="s">
        <v>631</v>
      </c>
      <c r="B62" t="s">
        <v>650</v>
      </c>
    </row>
    <row r="63" spans="1:2" x14ac:dyDescent="0.3">
      <c r="A63" s="6" t="s">
        <v>19</v>
      </c>
      <c r="B63" s="9">
        <v>12024</v>
      </c>
    </row>
    <row r="64" spans="1:2" x14ac:dyDescent="0.3">
      <c r="A64" s="6" t="s">
        <v>31</v>
      </c>
      <c r="B64" s="61">
        <v>23046</v>
      </c>
    </row>
    <row r="65" spans="1:6" x14ac:dyDescent="0.3">
      <c r="A65" s="6" t="s">
        <v>25</v>
      </c>
      <c r="B65" s="9">
        <v>21042</v>
      </c>
    </row>
    <row r="66" spans="1:6" hidden="1" x14ac:dyDescent="0.3">
      <c r="A66" s="6" t="s">
        <v>617</v>
      </c>
      <c r="B66" s="9">
        <v>19038</v>
      </c>
    </row>
    <row r="67" spans="1:6" x14ac:dyDescent="0.3">
      <c r="A67" s="6" t="s">
        <v>38</v>
      </c>
      <c r="B67" s="9">
        <v>18036</v>
      </c>
    </row>
    <row r="79" spans="1:6" x14ac:dyDescent="0.3">
      <c r="A79" s="66" t="s">
        <v>700</v>
      </c>
      <c r="B79" s="66"/>
      <c r="C79" s="66"/>
      <c r="D79" s="66"/>
      <c r="E79" s="66"/>
      <c r="F79" s="66"/>
    </row>
    <row r="80" spans="1:6" x14ac:dyDescent="0.3">
      <c r="A80" s="66" t="s">
        <v>715</v>
      </c>
      <c r="B80" s="66"/>
      <c r="C80" s="66"/>
      <c r="D80" s="66"/>
      <c r="E80" s="66"/>
      <c r="F80" s="66"/>
    </row>
  </sheetData>
  <mergeCells count="11">
    <mergeCell ref="C31:C32"/>
    <mergeCell ref="C34:C35"/>
    <mergeCell ref="C42:C43"/>
    <mergeCell ref="D1:E1"/>
    <mergeCell ref="A28:C28"/>
    <mergeCell ref="A2:G2"/>
    <mergeCell ref="A44:C44"/>
    <mergeCell ref="A46:B46"/>
    <mergeCell ref="A60:B60"/>
    <mergeCell ref="A79:F79"/>
    <mergeCell ref="A80:F80"/>
  </mergeCells>
  <conditionalFormatting pivot="1" sqref="B64">
    <cfRule type="top10" dxfId="68" priority="1" rank="1"/>
  </conditionalFormatting>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BC5F-7DD0-4FBF-BB00-F5C2220C58E7}">
  <sheetPr>
    <tabColor theme="6" tint="-0.249977111117893"/>
  </sheetPr>
  <dimension ref="A1:Z199"/>
  <sheetViews>
    <sheetView topLeftCell="A178" zoomScale="67" workbookViewId="0">
      <selection activeCell="B205" sqref="B205"/>
    </sheetView>
  </sheetViews>
  <sheetFormatPr defaultRowHeight="14.4" x14ac:dyDescent="0.3"/>
  <cols>
    <col min="1" max="1" width="11.5546875" bestFit="1" customWidth="1"/>
    <col min="2" max="2" width="24.77734375" bestFit="1" customWidth="1"/>
    <col min="3" max="3" width="15.44140625" bestFit="1" customWidth="1"/>
    <col min="4" max="4" width="21.44140625" bestFit="1" customWidth="1"/>
    <col min="5" max="5" width="18.21875" bestFit="1" customWidth="1"/>
    <col min="6" max="6" width="8.44140625" bestFit="1" customWidth="1"/>
    <col min="7" max="7" width="10.77734375" bestFit="1" customWidth="1"/>
    <col min="8" max="10" width="5" bestFit="1" customWidth="1"/>
    <col min="11" max="11" width="6" bestFit="1" customWidth="1"/>
    <col min="12" max="13" width="5" bestFit="1" customWidth="1"/>
    <col min="14" max="14" width="6" bestFit="1" customWidth="1"/>
    <col min="15" max="32" width="5" bestFit="1" customWidth="1"/>
    <col min="33" max="33" width="6" bestFit="1" customWidth="1"/>
    <col min="34" max="42" width="5" bestFit="1" customWidth="1"/>
    <col min="43" max="43" width="6" bestFit="1" customWidth="1"/>
    <col min="44" max="53" width="5" bestFit="1" customWidth="1"/>
    <col min="54" max="54" width="10.77734375" bestFit="1" customWidth="1"/>
  </cols>
  <sheetData>
    <row r="1" spans="1:11" ht="25.8" x14ac:dyDescent="0.5">
      <c r="H1" s="65" t="s">
        <v>699</v>
      </c>
      <c r="I1" s="65"/>
      <c r="J1" s="65"/>
      <c r="K1" s="65"/>
    </row>
    <row r="2" spans="1:11" ht="18" x14ac:dyDescent="0.35">
      <c r="A2" s="63" t="s">
        <v>655</v>
      </c>
      <c r="B2" s="63"/>
    </row>
    <row r="3" spans="1:11" x14ac:dyDescent="0.3">
      <c r="A3" s="5" t="s">
        <v>1</v>
      </c>
      <c r="B3" t="s">
        <v>651</v>
      </c>
    </row>
    <row r="4" spans="1:11" x14ac:dyDescent="0.3">
      <c r="A4" s="6">
        <v>1</v>
      </c>
      <c r="B4">
        <v>1002</v>
      </c>
    </row>
    <row r="5" spans="1:11" x14ac:dyDescent="0.3">
      <c r="A5" s="6">
        <v>2</v>
      </c>
      <c r="B5">
        <v>1002</v>
      </c>
    </row>
    <row r="6" spans="1:11" x14ac:dyDescent="0.3">
      <c r="A6" s="6">
        <v>3</v>
      </c>
      <c r="B6">
        <v>1002</v>
      </c>
    </row>
    <row r="7" spans="1:11" x14ac:dyDescent="0.3">
      <c r="A7" s="6">
        <v>4</v>
      </c>
      <c r="B7">
        <v>1002</v>
      </c>
    </row>
    <row r="8" spans="1:11" x14ac:dyDescent="0.3">
      <c r="A8" s="6">
        <v>5</v>
      </c>
      <c r="B8">
        <v>1002</v>
      </c>
    </row>
    <row r="9" spans="1:11" x14ac:dyDescent="0.3">
      <c r="A9" s="6">
        <v>6</v>
      </c>
      <c r="B9">
        <v>1002</v>
      </c>
    </row>
    <row r="10" spans="1:11" x14ac:dyDescent="0.3">
      <c r="A10" s="6">
        <v>7</v>
      </c>
      <c r="B10">
        <v>1002</v>
      </c>
    </row>
    <row r="11" spans="1:11" x14ac:dyDescent="0.3">
      <c r="A11" s="6">
        <v>8</v>
      </c>
      <c r="B11">
        <v>1002</v>
      </c>
    </row>
    <row r="12" spans="1:11" x14ac:dyDescent="0.3">
      <c r="A12" s="6">
        <v>9</v>
      </c>
      <c r="B12">
        <v>1002</v>
      </c>
    </row>
    <row r="13" spans="1:11" x14ac:dyDescent="0.3">
      <c r="A13" s="6">
        <v>10</v>
      </c>
      <c r="B13">
        <v>1002</v>
      </c>
    </row>
    <row r="14" spans="1:11" x14ac:dyDescent="0.3">
      <c r="A14" s="6">
        <v>11</v>
      </c>
      <c r="B14">
        <v>1002</v>
      </c>
    </row>
    <row r="15" spans="1:11" x14ac:dyDescent="0.3">
      <c r="A15" s="6">
        <v>13</v>
      </c>
      <c r="B15">
        <v>1002</v>
      </c>
    </row>
    <row r="16" spans="1:11" x14ac:dyDescent="0.3">
      <c r="A16" s="6">
        <v>14</v>
      </c>
      <c r="B16">
        <v>1002</v>
      </c>
    </row>
    <row r="17" spans="1:17" x14ac:dyDescent="0.3">
      <c r="A17" s="6">
        <v>15</v>
      </c>
      <c r="B17">
        <v>1002</v>
      </c>
    </row>
    <row r="18" spans="1:17" x14ac:dyDescent="0.3">
      <c r="A18" s="6">
        <v>17</v>
      </c>
      <c r="B18">
        <v>1002</v>
      </c>
    </row>
    <row r="19" spans="1:17" x14ac:dyDescent="0.3">
      <c r="A19" s="6">
        <v>18</v>
      </c>
      <c r="B19">
        <v>1002</v>
      </c>
    </row>
    <row r="20" spans="1:17" x14ac:dyDescent="0.3">
      <c r="A20" s="6">
        <v>19</v>
      </c>
      <c r="B20">
        <v>1002</v>
      </c>
    </row>
    <row r="21" spans="1:17" x14ac:dyDescent="0.3">
      <c r="A21" s="6">
        <v>20</v>
      </c>
      <c r="B21">
        <v>1002</v>
      </c>
    </row>
    <row r="22" spans="1:17" x14ac:dyDescent="0.3">
      <c r="A22" s="6">
        <v>22</v>
      </c>
      <c r="B22">
        <v>1002</v>
      </c>
    </row>
    <row r="23" spans="1:17" x14ac:dyDescent="0.3">
      <c r="A23" s="6">
        <v>23</v>
      </c>
      <c r="B23">
        <v>1002</v>
      </c>
    </row>
    <row r="24" spans="1:17" x14ac:dyDescent="0.3">
      <c r="A24" s="6">
        <v>24</v>
      </c>
      <c r="B24">
        <v>1002</v>
      </c>
    </row>
    <row r="25" spans="1:17" x14ac:dyDescent="0.3">
      <c r="A25" s="6">
        <v>25</v>
      </c>
      <c r="B25">
        <v>1002</v>
      </c>
    </row>
    <row r="26" spans="1:17" x14ac:dyDescent="0.3">
      <c r="A26" s="6">
        <v>28</v>
      </c>
      <c r="B26">
        <v>1002</v>
      </c>
    </row>
    <row r="27" spans="1:17" x14ac:dyDescent="0.3">
      <c r="A27" s="6">
        <v>29</v>
      </c>
      <c r="B27">
        <v>1002</v>
      </c>
    </row>
    <row r="28" spans="1:17" x14ac:dyDescent="0.3">
      <c r="A28" s="6">
        <v>30</v>
      </c>
      <c r="B28">
        <v>1002</v>
      </c>
    </row>
    <row r="29" spans="1:17" x14ac:dyDescent="0.3">
      <c r="A29" s="6">
        <v>31</v>
      </c>
      <c r="B29">
        <v>1002</v>
      </c>
      <c r="D29" s="34" t="s">
        <v>704</v>
      </c>
      <c r="E29" s="34"/>
      <c r="F29" s="34"/>
      <c r="G29" s="34"/>
      <c r="H29" s="34"/>
      <c r="I29" s="31"/>
      <c r="J29" s="31"/>
      <c r="K29" s="31"/>
      <c r="L29" s="31"/>
      <c r="M29" s="31"/>
      <c r="N29" s="31"/>
      <c r="O29" s="31"/>
      <c r="P29" s="31"/>
      <c r="Q29" s="31"/>
    </row>
    <row r="30" spans="1:17" x14ac:dyDescent="0.3">
      <c r="A30" s="6">
        <v>32</v>
      </c>
      <c r="B30">
        <v>1002</v>
      </c>
    </row>
    <row r="31" spans="1:17" x14ac:dyDescent="0.3">
      <c r="A31" s="6">
        <v>33</v>
      </c>
      <c r="B31">
        <v>1002</v>
      </c>
    </row>
    <row r="32" spans="1:17" x14ac:dyDescent="0.3">
      <c r="A32" s="6">
        <v>34</v>
      </c>
      <c r="B32">
        <v>1002</v>
      </c>
    </row>
    <row r="33" spans="1:2" x14ac:dyDescent="0.3">
      <c r="A33" s="6">
        <v>35</v>
      </c>
      <c r="B33">
        <v>1002</v>
      </c>
    </row>
    <row r="34" spans="1:2" x14ac:dyDescent="0.3">
      <c r="A34" s="6">
        <v>41</v>
      </c>
      <c r="B34">
        <v>1002</v>
      </c>
    </row>
    <row r="35" spans="1:2" x14ac:dyDescent="0.3">
      <c r="A35" s="6">
        <v>42</v>
      </c>
      <c r="B35">
        <v>1002</v>
      </c>
    </row>
    <row r="36" spans="1:2" x14ac:dyDescent="0.3">
      <c r="A36" s="6">
        <v>43</v>
      </c>
      <c r="B36">
        <v>1002</v>
      </c>
    </row>
    <row r="37" spans="1:2" x14ac:dyDescent="0.3">
      <c r="A37" s="6">
        <v>44</v>
      </c>
      <c r="B37">
        <v>1002</v>
      </c>
    </row>
    <row r="38" spans="1:2" x14ac:dyDescent="0.3">
      <c r="A38" s="6">
        <v>45</v>
      </c>
      <c r="B38">
        <v>1002</v>
      </c>
    </row>
    <row r="39" spans="1:2" x14ac:dyDescent="0.3">
      <c r="A39" s="6">
        <v>46</v>
      </c>
      <c r="B39">
        <v>1002</v>
      </c>
    </row>
    <row r="40" spans="1:2" x14ac:dyDescent="0.3">
      <c r="A40" s="6">
        <v>47</v>
      </c>
      <c r="B40">
        <v>1002</v>
      </c>
    </row>
    <row r="41" spans="1:2" x14ac:dyDescent="0.3">
      <c r="A41" s="6">
        <v>48</v>
      </c>
      <c r="B41">
        <v>1002</v>
      </c>
    </row>
    <row r="42" spans="1:2" x14ac:dyDescent="0.3">
      <c r="A42" s="6">
        <v>49</v>
      </c>
      <c r="B42">
        <v>1002</v>
      </c>
    </row>
    <row r="43" spans="1:2" x14ac:dyDescent="0.3">
      <c r="A43" s="6">
        <v>50</v>
      </c>
      <c r="B43">
        <v>1002</v>
      </c>
    </row>
    <row r="44" spans="1:2" x14ac:dyDescent="0.3">
      <c r="A44" s="6">
        <v>51</v>
      </c>
      <c r="B44">
        <v>1002</v>
      </c>
    </row>
    <row r="45" spans="1:2" x14ac:dyDescent="0.3">
      <c r="A45" s="6">
        <v>52</v>
      </c>
      <c r="B45">
        <v>1002</v>
      </c>
    </row>
    <row r="62" spans="3:4" ht="21" x14ac:dyDescent="0.4">
      <c r="C62" s="64" t="s">
        <v>657</v>
      </c>
      <c r="D62" s="64"/>
    </row>
    <row r="64" spans="3:4" x14ac:dyDescent="0.3">
      <c r="C64" s="5" t="s">
        <v>654</v>
      </c>
      <c r="D64" t="s">
        <v>656</v>
      </c>
    </row>
    <row r="65" spans="3:4" x14ac:dyDescent="0.3">
      <c r="C65" s="6">
        <v>2</v>
      </c>
      <c r="D65" s="9">
        <v>889.25</v>
      </c>
    </row>
    <row r="66" spans="3:4" x14ac:dyDescent="0.3">
      <c r="C66" s="6">
        <v>3</v>
      </c>
      <c r="D66" s="9">
        <v>694.25</v>
      </c>
    </row>
    <row r="67" spans="3:4" x14ac:dyDescent="0.3">
      <c r="C67" s="6">
        <v>4</v>
      </c>
      <c r="D67" s="9">
        <v>903.5</v>
      </c>
    </row>
    <row r="68" spans="3:4" x14ac:dyDescent="0.3">
      <c r="C68" s="6">
        <v>5</v>
      </c>
      <c r="D68" s="9">
        <v>845.75</v>
      </c>
    </row>
    <row r="69" spans="3:4" x14ac:dyDescent="0.3">
      <c r="C69" s="6">
        <v>6</v>
      </c>
      <c r="D69" s="9">
        <v>548.5</v>
      </c>
    </row>
    <row r="70" spans="3:4" x14ac:dyDescent="0.3">
      <c r="C70" s="6">
        <v>7</v>
      </c>
      <c r="D70" s="9">
        <v>1320.25</v>
      </c>
    </row>
    <row r="71" spans="3:4" x14ac:dyDescent="0.3">
      <c r="C71" s="6">
        <v>8</v>
      </c>
      <c r="D71" s="9">
        <v>923.25</v>
      </c>
    </row>
    <row r="72" spans="3:4" x14ac:dyDescent="0.3">
      <c r="C72" s="6">
        <v>9</v>
      </c>
      <c r="D72" s="9">
        <v>1201.5</v>
      </c>
    </row>
    <row r="73" spans="3:4" x14ac:dyDescent="0.3">
      <c r="C73" s="6">
        <v>10</v>
      </c>
      <c r="D73" s="9">
        <v>602.5</v>
      </c>
    </row>
    <row r="74" spans="3:4" x14ac:dyDescent="0.3">
      <c r="C74" s="6">
        <v>11</v>
      </c>
      <c r="D74" s="9">
        <v>928</v>
      </c>
    </row>
    <row r="75" spans="3:4" x14ac:dyDescent="0.3">
      <c r="C75" s="6">
        <v>12</v>
      </c>
      <c r="D75" s="9">
        <v>1010.5</v>
      </c>
    </row>
    <row r="76" spans="3:4" x14ac:dyDescent="0.3">
      <c r="C76" s="6">
        <v>13</v>
      </c>
      <c r="D76" s="9">
        <v>404</v>
      </c>
    </row>
    <row r="77" spans="3:4" x14ac:dyDescent="0.3">
      <c r="C77" s="6">
        <v>14</v>
      </c>
      <c r="D77" s="9">
        <v>1074.5</v>
      </c>
    </row>
    <row r="78" spans="3:4" x14ac:dyDescent="0.3">
      <c r="C78" s="6">
        <v>15</v>
      </c>
      <c r="D78" s="9">
        <v>603</v>
      </c>
    </row>
    <row r="79" spans="3:4" x14ac:dyDescent="0.3">
      <c r="C79" s="6">
        <v>16</v>
      </c>
      <c r="D79" s="9">
        <v>-34.25</v>
      </c>
    </row>
    <row r="80" spans="3:4" x14ac:dyDescent="0.3">
      <c r="C80" s="6">
        <v>17</v>
      </c>
      <c r="D80" s="9">
        <v>1010</v>
      </c>
    </row>
    <row r="81" spans="3:20" x14ac:dyDescent="0.3">
      <c r="C81" s="6">
        <v>18</v>
      </c>
      <c r="D81" s="9">
        <v>894.25</v>
      </c>
    </row>
    <row r="82" spans="3:20" x14ac:dyDescent="0.3">
      <c r="C82" s="6">
        <v>19</v>
      </c>
      <c r="D82" s="9">
        <v>1148.5</v>
      </c>
    </row>
    <row r="83" spans="3:20" x14ac:dyDescent="0.3">
      <c r="C83" s="6">
        <v>20</v>
      </c>
      <c r="D83" s="9">
        <v>498.75</v>
      </c>
    </row>
    <row r="84" spans="3:20" x14ac:dyDescent="0.3">
      <c r="C84" s="6">
        <v>23</v>
      </c>
      <c r="D84" s="9">
        <v>888.5</v>
      </c>
    </row>
    <row r="85" spans="3:20" x14ac:dyDescent="0.3">
      <c r="C85" s="6">
        <v>24</v>
      </c>
      <c r="D85" s="9">
        <v>745</v>
      </c>
    </row>
    <row r="86" spans="3:20" x14ac:dyDescent="0.3">
      <c r="C86" s="6">
        <v>25</v>
      </c>
      <c r="D86" s="9">
        <v>976.75</v>
      </c>
    </row>
    <row r="87" spans="3:20" x14ac:dyDescent="0.3">
      <c r="C87" s="6">
        <v>26</v>
      </c>
      <c r="D87" s="9">
        <v>752.75</v>
      </c>
    </row>
    <row r="88" spans="3:20" x14ac:dyDescent="0.3">
      <c r="C88" s="6">
        <v>27</v>
      </c>
      <c r="D88" s="9">
        <v>323.25</v>
      </c>
      <c r="F88" s="66" t="s">
        <v>705</v>
      </c>
      <c r="G88" s="66"/>
      <c r="H88" s="66"/>
      <c r="I88" s="66"/>
      <c r="J88" s="66"/>
      <c r="K88" s="66"/>
      <c r="L88" s="66"/>
      <c r="M88" s="66"/>
      <c r="N88" s="66"/>
      <c r="O88" s="66"/>
      <c r="P88" s="66"/>
      <c r="Q88" s="66"/>
      <c r="R88" s="66"/>
      <c r="S88" s="66"/>
      <c r="T88" s="66"/>
    </row>
    <row r="89" spans="3:20" x14ac:dyDescent="0.3">
      <c r="C89" s="6">
        <v>28</v>
      </c>
      <c r="D89" s="9">
        <v>760.5</v>
      </c>
    </row>
    <row r="90" spans="3:20" x14ac:dyDescent="0.3">
      <c r="C90" s="6">
        <v>29</v>
      </c>
      <c r="D90" s="9">
        <v>567.5</v>
      </c>
    </row>
    <row r="91" spans="3:20" x14ac:dyDescent="0.3">
      <c r="C91" s="6">
        <v>30</v>
      </c>
      <c r="D91" s="9">
        <v>688.25</v>
      </c>
    </row>
    <row r="92" spans="3:20" x14ac:dyDescent="0.3">
      <c r="C92" s="6">
        <v>31</v>
      </c>
      <c r="D92" s="9">
        <v>548.25</v>
      </c>
    </row>
    <row r="93" spans="3:20" x14ac:dyDescent="0.3">
      <c r="C93" s="6">
        <v>32</v>
      </c>
      <c r="D93" s="9">
        <v>200.5</v>
      </c>
    </row>
    <row r="94" spans="3:20" x14ac:dyDescent="0.3">
      <c r="C94" s="6">
        <v>33</v>
      </c>
      <c r="D94" s="9">
        <v>932</v>
      </c>
    </row>
    <row r="95" spans="3:20" x14ac:dyDescent="0.3">
      <c r="C95" s="6">
        <v>34</v>
      </c>
      <c r="D95" s="9">
        <v>747.25</v>
      </c>
    </row>
    <row r="96" spans="3:20" x14ac:dyDescent="0.3">
      <c r="C96" s="6">
        <v>35</v>
      </c>
      <c r="D96" s="9">
        <v>725.75</v>
      </c>
    </row>
    <row r="97" spans="3:4" x14ac:dyDescent="0.3">
      <c r="C97" s="6">
        <v>36</v>
      </c>
      <c r="D97" s="9">
        <v>705.5</v>
      </c>
    </row>
    <row r="98" spans="3:4" x14ac:dyDescent="0.3">
      <c r="C98" s="6">
        <v>37</v>
      </c>
      <c r="D98" s="9">
        <v>1090</v>
      </c>
    </row>
    <row r="99" spans="3:4" x14ac:dyDescent="0.3">
      <c r="C99" s="6">
        <v>38</v>
      </c>
      <c r="D99" s="9">
        <v>392</v>
      </c>
    </row>
    <row r="100" spans="3:4" x14ac:dyDescent="0.3">
      <c r="C100" s="6">
        <v>39</v>
      </c>
      <c r="D100" s="9">
        <v>833.25</v>
      </c>
    </row>
    <row r="101" spans="3:4" x14ac:dyDescent="0.3">
      <c r="C101" s="6">
        <v>40</v>
      </c>
      <c r="D101" s="9">
        <v>787.75</v>
      </c>
    </row>
    <row r="102" spans="3:4" x14ac:dyDescent="0.3">
      <c r="C102" s="6">
        <v>41</v>
      </c>
      <c r="D102" s="9">
        <v>939.75</v>
      </c>
    </row>
    <row r="103" spans="3:4" x14ac:dyDescent="0.3">
      <c r="C103" s="6">
        <v>42</v>
      </c>
      <c r="D103" s="9">
        <v>464</v>
      </c>
    </row>
    <row r="104" spans="3:4" x14ac:dyDescent="0.3">
      <c r="C104" s="6">
        <v>43</v>
      </c>
      <c r="D104" s="9">
        <v>705.25</v>
      </c>
    </row>
    <row r="105" spans="3:4" x14ac:dyDescent="0.3">
      <c r="C105" s="6">
        <v>44</v>
      </c>
      <c r="D105" s="9">
        <v>664</v>
      </c>
    </row>
    <row r="106" spans="3:4" x14ac:dyDescent="0.3">
      <c r="C106" s="6">
        <v>45</v>
      </c>
      <c r="D106" s="9">
        <v>1146</v>
      </c>
    </row>
    <row r="107" spans="3:4" x14ac:dyDescent="0.3">
      <c r="C107" s="6">
        <v>46</v>
      </c>
      <c r="D107" s="9">
        <v>573.75</v>
      </c>
    </row>
    <row r="108" spans="3:4" x14ac:dyDescent="0.3">
      <c r="C108" s="6">
        <v>47</v>
      </c>
      <c r="D108" s="9">
        <v>132</v>
      </c>
    </row>
    <row r="109" spans="3:4" x14ac:dyDescent="0.3">
      <c r="C109" s="6">
        <v>48</v>
      </c>
      <c r="D109" s="9">
        <v>1002</v>
      </c>
    </row>
    <row r="110" spans="3:4" x14ac:dyDescent="0.3">
      <c r="C110" s="6">
        <v>49</v>
      </c>
      <c r="D110" s="9">
        <v>1198.75</v>
      </c>
    </row>
    <row r="111" spans="3:4" x14ac:dyDescent="0.3">
      <c r="C111" s="6">
        <v>50</v>
      </c>
      <c r="D111" s="9">
        <v>1198</v>
      </c>
    </row>
    <row r="112" spans="3:4" x14ac:dyDescent="0.3">
      <c r="C112" s="6">
        <v>51</v>
      </c>
      <c r="D112" s="9">
        <v>1261</v>
      </c>
    </row>
    <row r="113" spans="3:5" x14ac:dyDescent="0.3">
      <c r="C113" s="6">
        <v>52</v>
      </c>
      <c r="D113" s="9">
        <v>978.5</v>
      </c>
    </row>
    <row r="114" spans="3:5" x14ac:dyDescent="0.3">
      <c r="C114" s="6">
        <v>53</v>
      </c>
      <c r="D114" s="9">
        <v>1632.5</v>
      </c>
    </row>
    <row r="119" spans="3:5" ht="18" x14ac:dyDescent="0.35">
      <c r="C119" s="62" t="s">
        <v>707</v>
      </c>
      <c r="D119" s="62"/>
    </row>
    <row r="120" spans="3:5" x14ac:dyDescent="0.3">
      <c r="C120" s="5" t="s">
        <v>636</v>
      </c>
      <c r="D120" t="s">
        <v>709</v>
      </c>
      <c r="E120" t="s">
        <v>710</v>
      </c>
    </row>
    <row r="121" spans="3:5" x14ac:dyDescent="0.3">
      <c r="C121" s="6" t="s">
        <v>43</v>
      </c>
      <c r="D121" s="27">
        <v>1379539</v>
      </c>
      <c r="E121">
        <v>35557</v>
      </c>
    </row>
    <row r="122" spans="3:5" x14ac:dyDescent="0.3">
      <c r="C122" s="6" t="s">
        <v>33</v>
      </c>
      <c r="D122" s="27">
        <v>1164373</v>
      </c>
      <c r="E122">
        <v>48004</v>
      </c>
    </row>
    <row r="123" spans="3:5" x14ac:dyDescent="0.3">
      <c r="C123" s="6" t="s">
        <v>14</v>
      </c>
      <c r="D123" s="27">
        <v>1060357</v>
      </c>
      <c r="E123">
        <v>41177</v>
      </c>
    </row>
    <row r="124" spans="3:5" x14ac:dyDescent="0.3">
      <c r="C124" s="6" t="s">
        <v>27</v>
      </c>
      <c r="D124" s="27">
        <v>1228647</v>
      </c>
      <c r="E124">
        <v>35367</v>
      </c>
    </row>
    <row r="125" spans="3:5" x14ac:dyDescent="0.3">
      <c r="C125" s="6" t="s">
        <v>711</v>
      </c>
      <c r="D125" s="27">
        <v>4832916</v>
      </c>
      <c r="E125">
        <v>160105</v>
      </c>
    </row>
    <row r="146" spans="2:26" ht="18" x14ac:dyDescent="0.35">
      <c r="C146" s="62" t="s">
        <v>708</v>
      </c>
      <c r="D146" s="62"/>
    </row>
    <row r="148" spans="2:26" x14ac:dyDescent="0.3">
      <c r="B148" s="5" t="s">
        <v>710</v>
      </c>
      <c r="C148" s="5" t="s">
        <v>1</v>
      </c>
    </row>
    <row r="149" spans="2:26" x14ac:dyDescent="0.3">
      <c r="B149" s="5" t="s">
        <v>654</v>
      </c>
      <c r="C149" t="s">
        <v>43</v>
      </c>
      <c r="D149" t="s">
        <v>33</v>
      </c>
      <c r="E149" t="s">
        <v>14</v>
      </c>
      <c r="F149" t="s">
        <v>27</v>
      </c>
      <c r="G149" s="59" t="s">
        <v>712</v>
      </c>
      <c r="H149" s="59"/>
      <c r="I149" s="59"/>
    </row>
    <row r="150" spans="2:26" x14ac:dyDescent="0.3">
      <c r="B150" s="6">
        <v>2</v>
      </c>
      <c r="C150">
        <v>620</v>
      </c>
      <c r="D150">
        <v>903</v>
      </c>
      <c r="E150">
        <v>1188</v>
      </c>
      <c r="F150">
        <v>846</v>
      </c>
      <c r="G150" s="59" t="s">
        <v>43</v>
      </c>
    </row>
    <row r="151" spans="2:26" x14ac:dyDescent="0.3">
      <c r="B151" s="6">
        <v>3</v>
      </c>
      <c r="C151">
        <v>298</v>
      </c>
      <c r="D151">
        <v>1722</v>
      </c>
      <c r="E151">
        <v>-144</v>
      </c>
      <c r="F151">
        <v>901</v>
      </c>
      <c r="G151" s="9">
        <f>AVERAGE(C150:C152)</f>
        <v>448.33333333333331</v>
      </c>
    </row>
    <row r="152" spans="2:26" x14ac:dyDescent="0.3">
      <c r="B152" s="6">
        <v>4</v>
      </c>
      <c r="C152">
        <v>427</v>
      </c>
      <c r="D152">
        <v>1572</v>
      </c>
      <c r="E152">
        <v>891</v>
      </c>
      <c r="F152">
        <v>724</v>
      </c>
      <c r="G152" s="58" t="s">
        <v>33</v>
      </c>
    </row>
    <row r="153" spans="2:26" x14ac:dyDescent="0.3">
      <c r="B153" s="6">
        <v>5</v>
      </c>
      <c r="C153">
        <v>898</v>
      </c>
      <c r="D153">
        <v>-166</v>
      </c>
      <c r="E153">
        <v>1426</v>
      </c>
      <c r="F153">
        <v>1225</v>
      </c>
      <c r="G153" s="60">
        <f>AVERAGE(D150:D152)</f>
        <v>1399</v>
      </c>
    </row>
    <row r="154" spans="2:26" x14ac:dyDescent="0.3">
      <c r="B154" s="6">
        <v>6</v>
      </c>
      <c r="C154">
        <v>748</v>
      </c>
      <c r="D154">
        <v>1080</v>
      </c>
      <c r="E154">
        <v>569</v>
      </c>
      <c r="F154">
        <v>-203</v>
      </c>
      <c r="G154" s="59" t="s">
        <v>14</v>
      </c>
    </row>
    <row r="155" spans="2:26" x14ac:dyDescent="0.3">
      <c r="B155" s="6">
        <v>7</v>
      </c>
      <c r="C155">
        <v>912</v>
      </c>
      <c r="D155">
        <v>1723</v>
      </c>
      <c r="E155">
        <v>1202</v>
      </c>
      <c r="F155">
        <v>1444</v>
      </c>
      <c r="G155">
        <f>AVERAGE(E150:E152)</f>
        <v>645</v>
      </c>
    </row>
    <row r="156" spans="2:26" x14ac:dyDescent="0.3">
      <c r="B156" s="6">
        <v>8</v>
      </c>
      <c r="C156">
        <v>1590</v>
      </c>
      <c r="D156">
        <v>965</v>
      </c>
      <c r="E156">
        <v>-37</v>
      </c>
      <c r="F156">
        <v>1175</v>
      </c>
      <c r="G156" s="59" t="s">
        <v>713</v>
      </c>
    </row>
    <row r="157" spans="2:26" x14ac:dyDescent="0.3">
      <c r="B157" s="6">
        <v>9</v>
      </c>
      <c r="C157">
        <v>1707</v>
      </c>
      <c r="D157">
        <v>1375</v>
      </c>
      <c r="E157">
        <v>708</v>
      </c>
      <c r="F157">
        <v>1016</v>
      </c>
      <c r="G157" s="9">
        <f>AVERAGE(F150:F152)</f>
        <v>823.66666666666663</v>
      </c>
    </row>
    <row r="158" spans="2:26" x14ac:dyDescent="0.3">
      <c r="B158" s="6">
        <v>10</v>
      </c>
      <c r="C158">
        <v>-119</v>
      </c>
      <c r="D158">
        <v>1315</v>
      </c>
      <c r="E158">
        <v>899</v>
      </c>
      <c r="F158">
        <v>315</v>
      </c>
    </row>
    <row r="159" spans="2:26" x14ac:dyDescent="0.3">
      <c r="B159" s="6">
        <v>11</v>
      </c>
      <c r="C159">
        <v>908</v>
      </c>
      <c r="D159">
        <v>212</v>
      </c>
      <c r="E159">
        <v>1350</v>
      </c>
      <c r="F159">
        <v>1242</v>
      </c>
      <c r="G159" s="58" t="s">
        <v>714</v>
      </c>
      <c r="H159" s="58"/>
      <c r="I159" s="58"/>
      <c r="J159" s="58"/>
      <c r="K159" s="58"/>
      <c r="L159" s="58"/>
      <c r="M159" s="58"/>
      <c r="N159" s="58"/>
      <c r="O159" s="58"/>
      <c r="P159" s="58"/>
      <c r="Q159" s="58"/>
      <c r="R159" s="58"/>
      <c r="S159" s="58"/>
      <c r="T159" s="58"/>
      <c r="U159" s="58"/>
      <c r="V159" s="58"/>
      <c r="W159" s="58"/>
      <c r="X159" s="58"/>
      <c r="Y159" s="58"/>
      <c r="Z159" s="58"/>
    </row>
    <row r="160" spans="2:26" x14ac:dyDescent="0.3">
      <c r="B160" s="6">
        <v>12</v>
      </c>
      <c r="C160">
        <v>1116</v>
      </c>
      <c r="D160">
        <v>680</v>
      </c>
      <c r="E160">
        <v>861</v>
      </c>
      <c r="F160">
        <v>1385</v>
      </c>
    </row>
    <row r="161" spans="2:6" x14ac:dyDescent="0.3">
      <c r="B161" s="6">
        <v>13</v>
      </c>
      <c r="C161">
        <v>474</v>
      </c>
      <c r="D161">
        <v>461</v>
      </c>
      <c r="E161">
        <v>292</v>
      </c>
      <c r="F161">
        <v>389</v>
      </c>
    </row>
    <row r="162" spans="2:6" x14ac:dyDescent="0.3">
      <c r="B162" s="6">
        <v>14</v>
      </c>
      <c r="C162">
        <v>514</v>
      </c>
      <c r="D162">
        <v>641</v>
      </c>
      <c r="E162">
        <v>1676</v>
      </c>
      <c r="F162">
        <v>1467</v>
      </c>
    </row>
    <row r="163" spans="2:6" x14ac:dyDescent="0.3">
      <c r="B163" s="6">
        <v>15</v>
      </c>
      <c r="C163">
        <v>1029</v>
      </c>
      <c r="D163">
        <v>167</v>
      </c>
      <c r="E163">
        <v>1007</v>
      </c>
      <c r="F163">
        <v>209</v>
      </c>
    </row>
    <row r="164" spans="2:6" x14ac:dyDescent="0.3">
      <c r="B164" s="6">
        <v>16</v>
      </c>
      <c r="C164">
        <v>-175</v>
      </c>
      <c r="D164">
        <v>-160</v>
      </c>
      <c r="E164">
        <v>53</v>
      </c>
      <c r="F164">
        <v>145</v>
      </c>
    </row>
    <row r="165" spans="2:6" x14ac:dyDescent="0.3">
      <c r="B165" s="6">
        <v>17</v>
      </c>
      <c r="C165">
        <v>1045</v>
      </c>
      <c r="D165">
        <v>603</v>
      </c>
      <c r="E165">
        <v>759</v>
      </c>
      <c r="F165">
        <v>1633</v>
      </c>
    </row>
    <row r="166" spans="2:6" x14ac:dyDescent="0.3">
      <c r="B166" s="6">
        <v>18</v>
      </c>
      <c r="C166">
        <v>453</v>
      </c>
      <c r="D166">
        <v>1539</v>
      </c>
      <c r="E166">
        <v>948</v>
      </c>
      <c r="F166">
        <v>637</v>
      </c>
    </row>
    <row r="167" spans="2:6" x14ac:dyDescent="0.3">
      <c r="B167" s="6">
        <v>19</v>
      </c>
      <c r="C167">
        <v>339</v>
      </c>
      <c r="D167">
        <v>1881</v>
      </c>
      <c r="E167">
        <v>1510</v>
      </c>
      <c r="F167">
        <v>864</v>
      </c>
    </row>
    <row r="168" spans="2:6" x14ac:dyDescent="0.3">
      <c r="B168" s="6">
        <v>20</v>
      </c>
      <c r="C168">
        <v>407</v>
      </c>
      <c r="D168">
        <v>1656</v>
      </c>
      <c r="E168">
        <v>269</v>
      </c>
      <c r="F168">
        <v>-337</v>
      </c>
    </row>
    <row r="169" spans="2:6" x14ac:dyDescent="0.3">
      <c r="B169" s="6">
        <v>23</v>
      </c>
      <c r="C169">
        <v>1002</v>
      </c>
      <c r="D169">
        <v>1047</v>
      </c>
      <c r="E169">
        <v>415</v>
      </c>
      <c r="F169">
        <v>1090</v>
      </c>
    </row>
    <row r="170" spans="2:6" x14ac:dyDescent="0.3">
      <c r="B170" s="6">
        <v>24</v>
      </c>
      <c r="C170">
        <v>1283</v>
      </c>
      <c r="D170">
        <v>517</v>
      </c>
      <c r="E170">
        <v>186</v>
      </c>
      <c r="F170">
        <v>994</v>
      </c>
    </row>
    <row r="171" spans="2:6" x14ac:dyDescent="0.3">
      <c r="B171" s="6">
        <v>25</v>
      </c>
      <c r="C171">
        <v>1382</v>
      </c>
      <c r="D171">
        <v>893</v>
      </c>
      <c r="E171">
        <v>1295</v>
      </c>
      <c r="F171">
        <v>337</v>
      </c>
    </row>
    <row r="172" spans="2:6" x14ac:dyDescent="0.3">
      <c r="B172" s="6">
        <v>26</v>
      </c>
      <c r="C172">
        <v>1670</v>
      </c>
      <c r="D172">
        <v>629</v>
      </c>
      <c r="E172">
        <v>835</v>
      </c>
      <c r="F172">
        <v>-123</v>
      </c>
    </row>
    <row r="173" spans="2:6" x14ac:dyDescent="0.3">
      <c r="B173" s="6">
        <v>27</v>
      </c>
      <c r="C173">
        <v>64</v>
      </c>
      <c r="D173">
        <v>-219</v>
      </c>
      <c r="E173">
        <v>1357</v>
      </c>
      <c r="F173">
        <v>91</v>
      </c>
    </row>
    <row r="174" spans="2:6" x14ac:dyDescent="0.3">
      <c r="B174" s="6">
        <v>28</v>
      </c>
      <c r="C174">
        <v>309</v>
      </c>
      <c r="D174">
        <v>1672</v>
      </c>
      <c r="E174">
        <v>547</v>
      </c>
      <c r="F174">
        <v>514</v>
      </c>
    </row>
    <row r="175" spans="2:6" x14ac:dyDescent="0.3">
      <c r="B175" s="6">
        <v>29</v>
      </c>
      <c r="C175">
        <v>-164</v>
      </c>
      <c r="D175">
        <v>1845</v>
      </c>
      <c r="E175">
        <v>429</v>
      </c>
      <c r="F175">
        <v>160</v>
      </c>
    </row>
    <row r="176" spans="2:6" x14ac:dyDescent="0.3">
      <c r="B176" s="6">
        <v>30</v>
      </c>
      <c r="C176">
        <v>961</v>
      </c>
      <c r="D176">
        <v>159</v>
      </c>
      <c r="E176">
        <v>1316</v>
      </c>
      <c r="F176">
        <v>317</v>
      </c>
    </row>
    <row r="177" spans="2:6" x14ac:dyDescent="0.3">
      <c r="B177" s="6">
        <v>31</v>
      </c>
      <c r="C177">
        <v>-318</v>
      </c>
      <c r="D177">
        <v>541</v>
      </c>
      <c r="E177">
        <v>1495</v>
      </c>
      <c r="F177">
        <v>475</v>
      </c>
    </row>
    <row r="178" spans="2:6" x14ac:dyDescent="0.3">
      <c r="B178" s="6">
        <v>32</v>
      </c>
      <c r="C178">
        <v>-197</v>
      </c>
      <c r="D178">
        <v>352</v>
      </c>
      <c r="E178">
        <v>328</v>
      </c>
      <c r="F178">
        <v>319</v>
      </c>
    </row>
    <row r="179" spans="2:6" x14ac:dyDescent="0.3">
      <c r="B179" s="6">
        <v>33</v>
      </c>
      <c r="C179">
        <v>1334</v>
      </c>
      <c r="D179">
        <v>1325</v>
      </c>
      <c r="E179">
        <v>37</v>
      </c>
      <c r="F179">
        <v>1032</v>
      </c>
    </row>
    <row r="180" spans="2:6" x14ac:dyDescent="0.3">
      <c r="B180" s="6">
        <v>34</v>
      </c>
      <c r="C180">
        <v>1058</v>
      </c>
      <c r="D180">
        <v>76</v>
      </c>
      <c r="E180">
        <v>1665</v>
      </c>
      <c r="F180">
        <v>190</v>
      </c>
    </row>
    <row r="181" spans="2:6" x14ac:dyDescent="0.3">
      <c r="B181" s="6">
        <v>35</v>
      </c>
      <c r="C181">
        <v>37</v>
      </c>
      <c r="D181">
        <v>1609</v>
      </c>
      <c r="E181">
        <v>1229</v>
      </c>
      <c r="F181">
        <v>28</v>
      </c>
    </row>
    <row r="182" spans="2:6" x14ac:dyDescent="0.3">
      <c r="B182" s="6">
        <v>36</v>
      </c>
      <c r="C182">
        <v>1045</v>
      </c>
      <c r="D182">
        <v>1247</v>
      </c>
      <c r="E182">
        <v>197</v>
      </c>
      <c r="F182">
        <v>333</v>
      </c>
    </row>
    <row r="183" spans="2:6" x14ac:dyDescent="0.3">
      <c r="B183" s="6">
        <v>37</v>
      </c>
      <c r="C183">
        <v>1428</v>
      </c>
      <c r="D183">
        <v>1572</v>
      </c>
      <c r="E183">
        <v>260</v>
      </c>
      <c r="F183">
        <v>1100</v>
      </c>
    </row>
    <row r="184" spans="2:6" x14ac:dyDescent="0.3">
      <c r="B184" s="6">
        <v>38</v>
      </c>
      <c r="C184">
        <v>98</v>
      </c>
      <c r="D184">
        <v>377</v>
      </c>
      <c r="E184">
        <v>1125</v>
      </c>
      <c r="F184">
        <v>-32</v>
      </c>
    </row>
    <row r="185" spans="2:6" x14ac:dyDescent="0.3">
      <c r="B185" s="6">
        <v>39</v>
      </c>
      <c r="C185">
        <v>-19</v>
      </c>
      <c r="D185">
        <v>666</v>
      </c>
      <c r="E185">
        <v>1680</v>
      </c>
      <c r="F185">
        <v>1006</v>
      </c>
    </row>
    <row r="186" spans="2:6" x14ac:dyDescent="0.3">
      <c r="B186" s="6">
        <v>40</v>
      </c>
      <c r="C186">
        <v>-179</v>
      </c>
      <c r="D186">
        <v>1025</v>
      </c>
      <c r="E186">
        <v>599</v>
      </c>
      <c r="F186">
        <v>1706</v>
      </c>
    </row>
    <row r="187" spans="2:6" x14ac:dyDescent="0.3">
      <c r="B187" s="6">
        <v>41</v>
      </c>
      <c r="C187">
        <v>1662</v>
      </c>
      <c r="D187">
        <v>1872</v>
      </c>
      <c r="E187">
        <v>107</v>
      </c>
      <c r="F187">
        <v>118</v>
      </c>
    </row>
    <row r="188" spans="2:6" x14ac:dyDescent="0.3">
      <c r="B188" s="6">
        <v>42</v>
      </c>
      <c r="C188">
        <v>285</v>
      </c>
      <c r="D188">
        <v>1224</v>
      </c>
      <c r="E188">
        <v>-20</v>
      </c>
      <c r="F188">
        <v>367</v>
      </c>
    </row>
    <row r="189" spans="2:6" x14ac:dyDescent="0.3">
      <c r="B189" s="6">
        <v>43</v>
      </c>
      <c r="C189">
        <v>439</v>
      </c>
      <c r="D189">
        <v>262</v>
      </c>
      <c r="E189">
        <v>636</v>
      </c>
      <c r="F189">
        <v>1484</v>
      </c>
    </row>
    <row r="190" spans="2:6" x14ac:dyDescent="0.3">
      <c r="B190" s="6">
        <v>44</v>
      </c>
      <c r="C190">
        <v>386</v>
      </c>
      <c r="D190">
        <v>576</v>
      </c>
      <c r="E190">
        <v>37</v>
      </c>
      <c r="F190">
        <v>1657</v>
      </c>
    </row>
    <row r="191" spans="2:6" x14ac:dyDescent="0.3">
      <c r="B191" s="6">
        <v>45</v>
      </c>
      <c r="C191">
        <v>540</v>
      </c>
      <c r="D191">
        <v>1397</v>
      </c>
      <c r="E191">
        <v>1603</v>
      </c>
      <c r="F191">
        <v>1044</v>
      </c>
    </row>
    <row r="192" spans="2:6" x14ac:dyDescent="0.3">
      <c r="B192" s="6">
        <v>46</v>
      </c>
      <c r="C192">
        <v>-106</v>
      </c>
      <c r="D192">
        <v>902</v>
      </c>
      <c r="E192">
        <v>1150</v>
      </c>
      <c r="F192">
        <v>349</v>
      </c>
    </row>
    <row r="193" spans="2:6" x14ac:dyDescent="0.3">
      <c r="B193" s="6">
        <v>47</v>
      </c>
      <c r="C193">
        <v>72</v>
      </c>
      <c r="D193">
        <v>-49</v>
      </c>
      <c r="E193">
        <v>445</v>
      </c>
      <c r="F193">
        <v>60</v>
      </c>
    </row>
    <row r="194" spans="2:6" x14ac:dyDescent="0.3">
      <c r="B194" s="6">
        <v>48</v>
      </c>
      <c r="C194">
        <v>1332</v>
      </c>
      <c r="D194">
        <v>1693</v>
      </c>
      <c r="E194">
        <v>98</v>
      </c>
      <c r="F194">
        <v>885</v>
      </c>
    </row>
    <row r="195" spans="2:6" x14ac:dyDescent="0.3">
      <c r="B195" s="6">
        <v>49</v>
      </c>
      <c r="C195">
        <v>1706</v>
      </c>
      <c r="D195">
        <v>1625</v>
      </c>
      <c r="E195">
        <v>1173</v>
      </c>
      <c r="F195">
        <v>291</v>
      </c>
    </row>
    <row r="196" spans="2:6" x14ac:dyDescent="0.3">
      <c r="B196" s="6">
        <v>50</v>
      </c>
      <c r="C196">
        <v>1373</v>
      </c>
      <c r="D196">
        <v>1119</v>
      </c>
      <c r="E196">
        <v>1727</v>
      </c>
      <c r="F196">
        <v>573</v>
      </c>
    </row>
    <row r="197" spans="2:6" x14ac:dyDescent="0.3">
      <c r="B197" s="6">
        <v>51</v>
      </c>
      <c r="C197">
        <v>1377</v>
      </c>
      <c r="D197">
        <v>1432</v>
      </c>
      <c r="E197">
        <v>1359</v>
      </c>
      <c r="F197">
        <v>876</v>
      </c>
    </row>
    <row r="198" spans="2:6" x14ac:dyDescent="0.3">
      <c r="B198" s="6">
        <v>52</v>
      </c>
      <c r="C198">
        <v>730</v>
      </c>
      <c r="D198">
        <v>684</v>
      </c>
      <c r="E198">
        <v>911</v>
      </c>
      <c r="F198">
        <v>1589</v>
      </c>
    </row>
    <row r="199" spans="2:6" x14ac:dyDescent="0.3">
      <c r="B199" s="6">
        <v>53</v>
      </c>
      <c r="C199">
        <v>1776</v>
      </c>
      <c r="D199">
        <v>1765</v>
      </c>
      <c r="E199">
        <v>1529</v>
      </c>
      <c r="F199">
        <v>1460</v>
      </c>
    </row>
  </sheetData>
  <mergeCells count="6">
    <mergeCell ref="C146:D146"/>
    <mergeCell ref="A2:B2"/>
    <mergeCell ref="C62:D62"/>
    <mergeCell ref="H1:K1"/>
    <mergeCell ref="F88:T88"/>
    <mergeCell ref="C119:D119"/>
  </mergeCells>
  <phoneticPr fontId="9" type="noConversion"/>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9F5F-9015-4690-871A-921BDD1BE9DB}">
  <dimension ref="A1:I4"/>
  <sheetViews>
    <sheetView tabSelected="1" workbookViewId="0">
      <selection activeCell="F8" sqref="F8"/>
    </sheetView>
  </sheetViews>
  <sheetFormatPr defaultRowHeight="14.4" x14ac:dyDescent="0.3"/>
  <cols>
    <col min="6" max="6" width="32.44140625" customWidth="1"/>
  </cols>
  <sheetData>
    <row r="1" spans="1:9" ht="25.8" x14ac:dyDescent="0.5">
      <c r="F1" s="81" t="s">
        <v>716</v>
      </c>
    </row>
    <row r="3" spans="1:9" x14ac:dyDescent="0.3">
      <c r="B3" t="s">
        <v>718</v>
      </c>
    </row>
    <row r="4" spans="1:9" x14ac:dyDescent="0.3">
      <c r="A4" s="83" t="s">
        <v>717</v>
      </c>
      <c r="B4" s="82"/>
      <c r="C4" s="82"/>
      <c r="D4" s="82"/>
      <c r="E4" s="82"/>
      <c r="F4" s="82"/>
      <c r="G4" s="82"/>
      <c r="H4" s="82"/>
      <c r="I4" s="82"/>
    </row>
  </sheetData>
  <mergeCells count="1">
    <mergeCell ref="A4:I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AE59-EE28-433A-A65B-20382F6E3417}">
  <sheetPr>
    <tabColor theme="9" tint="0.39997558519241921"/>
  </sheetPr>
  <dimension ref="A1:BG286"/>
  <sheetViews>
    <sheetView showGridLines="0" topLeftCell="A25" zoomScale="61" zoomScaleNormal="60" workbookViewId="0">
      <selection activeCell="U101" sqref="U101"/>
    </sheetView>
  </sheetViews>
  <sheetFormatPr defaultRowHeight="14.4" x14ac:dyDescent="0.3"/>
  <cols>
    <col min="7" max="7" width="12.21875" customWidth="1"/>
    <col min="23" max="23" width="8.88671875" style="31"/>
    <col min="45" max="45" width="8.88671875" customWidth="1"/>
  </cols>
  <sheetData>
    <row r="1" spans="1:44" s="32" customFormat="1" ht="78.599999999999994" customHeight="1" x14ac:dyDescent="0.3">
      <c r="A1" s="79" t="s">
        <v>658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row>
    <row r="2" spans="1:44" s="31" customFormat="1" ht="34.799999999999997" customHeight="1" x14ac:dyDescent="0.55000000000000004">
      <c r="A2" s="80" t="s">
        <v>659</v>
      </c>
      <c r="B2" s="80"/>
      <c r="C2" s="80"/>
      <c r="D2" s="56"/>
      <c r="E2" s="57"/>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row>
    <row r="3" spans="1:44" s="31" customFormat="1" ht="28.8" x14ac:dyDescent="0.55000000000000004">
      <c r="A3" s="57" t="s">
        <v>660</v>
      </c>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6"/>
      <c r="AO3" s="56"/>
    </row>
    <row r="4" spans="1:44" s="31" customFormat="1" ht="28.8" x14ac:dyDescent="0.55000000000000004">
      <c r="A4" s="56"/>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row>
    <row r="5" spans="1:44" s="31" customFormat="1" ht="31.2" x14ac:dyDescent="0.6">
      <c r="A5" s="35"/>
      <c r="AD5" s="33"/>
      <c r="AE5" s="33"/>
      <c r="AF5" s="33"/>
      <c r="AG5" s="33"/>
      <c r="AH5" s="33"/>
    </row>
    <row r="6" spans="1:44" s="31" customFormat="1" ht="31.2" x14ac:dyDescent="0.6">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row>
    <row r="7" spans="1:44" s="31" customFormat="1" ht="31.2" x14ac:dyDescent="0.6">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row>
    <row r="8" spans="1:44" s="31" customFormat="1" x14ac:dyDescent="0.3"/>
    <row r="9" spans="1:44" s="31" customFormat="1" x14ac:dyDescent="0.3"/>
    <row r="10" spans="1:44" s="31" customFormat="1" x14ac:dyDescent="0.3"/>
    <row r="11" spans="1:44" s="31" customFormat="1" x14ac:dyDescent="0.3"/>
    <row r="12" spans="1:44" s="31" customFormat="1" x14ac:dyDescent="0.3"/>
    <row r="13" spans="1:44" s="31" customFormat="1" x14ac:dyDescent="0.3"/>
    <row r="14" spans="1:44" s="31" customFormat="1" x14ac:dyDescent="0.3"/>
    <row r="15" spans="1:44" s="31" customFormat="1" x14ac:dyDescent="0.3"/>
    <row r="16" spans="1:44" s="31" customFormat="1" x14ac:dyDescent="0.3"/>
    <row r="17" s="31" customFormat="1" x14ac:dyDescent="0.3"/>
    <row r="18" s="31" customFormat="1" x14ac:dyDescent="0.3"/>
    <row r="19" s="31" customFormat="1" x14ac:dyDescent="0.3"/>
    <row r="20" s="31" customFormat="1" x14ac:dyDescent="0.3"/>
    <row r="21" s="31" customFormat="1" x14ac:dyDescent="0.3"/>
    <row r="22" s="31" customFormat="1" x14ac:dyDescent="0.3"/>
    <row r="23" s="31" customFormat="1" x14ac:dyDescent="0.3"/>
    <row r="24" s="31" customFormat="1" x14ac:dyDescent="0.3"/>
    <row r="25" s="31" customFormat="1" x14ac:dyDescent="0.3"/>
    <row r="26" s="31" customFormat="1" x14ac:dyDescent="0.3"/>
    <row r="27" s="31" customFormat="1" x14ac:dyDescent="0.3"/>
    <row r="28" s="31" customFormat="1" x14ac:dyDescent="0.3"/>
    <row r="29" s="31" customFormat="1" x14ac:dyDescent="0.3"/>
    <row r="30" s="31" customFormat="1" x14ac:dyDescent="0.3"/>
    <row r="31" s="31" customFormat="1" x14ac:dyDescent="0.3"/>
    <row r="32" s="31" customFormat="1" x14ac:dyDescent="0.3"/>
    <row r="33" s="31" customFormat="1" x14ac:dyDescent="0.3"/>
    <row r="34" s="31" customFormat="1" x14ac:dyDescent="0.3"/>
    <row r="35" s="31" customFormat="1" x14ac:dyDescent="0.3"/>
    <row r="36" s="31" customFormat="1" x14ac:dyDescent="0.3"/>
    <row r="37" s="31" customFormat="1" x14ac:dyDescent="0.3"/>
    <row r="38" s="31" customFormat="1" x14ac:dyDescent="0.3"/>
    <row r="39" s="31" customFormat="1" x14ac:dyDescent="0.3"/>
    <row r="40" s="31" customFormat="1" x14ac:dyDescent="0.3"/>
    <row r="41" s="31" customFormat="1" x14ac:dyDescent="0.3"/>
    <row r="42" s="31" customFormat="1" x14ac:dyDescent="0.3"/>
    <row r="43" s="31" customFormat="1" x14ac:dyDescent="0.3"/>
    <row r="44" s="31" customFormat="1" x14ac:dyDescent="0.3"/>
    <row r="45" s="31" customFormat="1" x14ac:dyDescent="0.3"/>
    <row r="46" s="31" customFormat="1" x14ac:dyDescent="0.3"/>
    <row r="47" s="31" customFormat="1" x14ac:dyDescent="0.3"/>
    <row r="48" s="31" customFormat="1" x14ac:dyDescent="0.3"/>
    <row r="49" s="31" customFormat="1" x14ac:dyDescent="0.3"/>
    <row r="50" s="31" customFormat="1" x14ac:dyDescent="0.3"/>
    <row r="51" s="31" customFormat="1" x14ac:dyDescent="0.3"/>
    <row r="52" s="31" customFormat="1" x14ac:dyDescent="0.3"/>
    <row r="53" s="31" customFormat="1" x14ac:dyDescent="0.3"/>
    <row r="54" s="31" customFormat="1" x14ac:dyDescent="0.3"/>
    <row r="55" s="31" customFormat="1" x14ac:dyDescent="0.3"/>
    <row r="56" s="31" customFormat="1" x14ac:dyDescent="0.3"/>
    <row r="57" s="31" customFormat="1" x14ac:dyDescent="0.3"/>
    <row r="58" s="31" customFormat="1" x14ac:dyDescent="0.3"/>
    <row r="59" s="31" customFormat="1" x14ac:dyDescent="0.3"/>
    <row r="60" s="31" customFormat="1" x14ac:dyDescent="0.3"/>
    <row r="61" s="31" customFormat="1" x14ac:dyDescent="0.3"/>
    <row r="62" s="31" customFormat="1" x14ac:dyDescent="0.3"/>
    <row r="63" s="31" customFormat="1" x14ac:dyDescent="0.3"/>
    <row r="64" s="31" customFormat="1" x14ac:dyDescent="0.3"/>
    <row r="65" spans="1:59" s="31" customFormat="1" x14ac:dyDescent="0.3"/>
    <row r="66" spans="1:59" s="31" customFormat="1" x14ac:dyDescent="0.3"/>
    <row r="67" spans="1:59" s="31" customFormat="1" x14ac:dyDescent="0.3"/>
    <row r="68" spans="1:59" s="31" customFormat="1" x14ac:dyDescent="0.3"/>
    <row r="69" spans="1:59" s="31" customFormat="1" x14ac:dyDescent="0.3"/>
    <row r="70" spans="1:59" s="31" customFormat="1" x14ac:dyDescent="0.3"/>
    <row r="71" spans="1:59" s="31" customFormat="1" x14ac:dyDescent="0.3"/>
    <row r="72" spans="1:59" s="31" customFormat="1" x14ac:dyDescent="0.3"/>
    <row r="73" spans="1:59" x14ac:dyDescent="0.3">
      <c r="A73" s="31"/>
      <c r="B73" s="31"/>
      <c r="C73" s="31"/>
      <c r="D73" s="31"/>
      <c r="E73" s="31"/>
      <c r="F73" s="31"/>
      <c r="G73" s="31"/>
      <c r="H73" s="31"/>
      <c r="I73" s="31"/>
      <c r="J73" s="31"/>
      <c r="K73" s="31"/>
      <c r="L73" s="31"/>
      <c r="M73" s="31"/>
      <c r="N73" s="31"/>
      <c r="O73" s="31"/>
      <c r="P73" s="31"/>
      <c r="Q73" s="31"/>
      <c r="R73" s="31"/>
      <c r="S73" s="31"/>
      <c r="T73" s="31"/>
      <c r="U73" s="31"/>
      <c r="V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row>
    <row r="74" spans="1:59" x14ac:dyDescent="0.3">
      <c r="A74" s="31"/>
      <c r="B74" s="31"/>
      <c r="C74" s="31"/>
      <c r="D74" s="31"/>
      <c r="E74" s="31"/>
      <c r="F74" s="31"/>
      <c r="G74" s="31"/>
      <c r="H74" s="31"/>
      <c r="I74" s="31"/>
      <c r="J74" s="31"/>
      <c r="K74" s="31"/>
      <c r="L74" s="31"/>
      <c r="M74" s="31"/>
      <c r="N74" s="31"/>
      <c r="O74" s="31"/>
      <c r="P74" s="31"/>
      <c r="Q74" s="31"/>
      <c r="R74" s="31"/>
      <c r="S74" s="31"/>
      <c r="T74" s="31"/>
      <c r="U74" s="31"/>
      <c r="V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row>
    <row r="75" spans="1:59" x14ac:dyDescent="0.3">
      <c r="A75" s="31"/>
      <c r="B75" s="31"/>
      <c r="C75" s="31"/>
      <c r="D75" s="31"/>
      <c r="E75" s="31"/>
      <c r="F75" s="31"/>
      <c r="G75" s="31"/>
      <c r="H75" s="31"/>
      <c r="I75" s="31"/>
      <c r="J75" s="31"/>
      <c r="K75" s="31"/>
      <c r="L75" s="31"/>
      <c r="M75" s="31"/>
      <c r="N75" s="31"/>
      <c r="O75" s="31"/>
      <c r="P75" s="31"/>
      <c r="Q75" s="31"/>
      <c r="R75" s="31"/>
      <c r="S75" s="31"/>
      <c r="T75" s="31"/>
      <c r="U75" s="31"/>
      <c r="V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row>
    <row r="76" spans="1:59" x14ac:dyDescent="0.3">
      <c r="A76" s="31"/>
      <c r="B76" s="31"/>
      <c r="C76" s="31"/>
      <c r="D76" s="31"/>
      <c r="E76" s="31"/>
      <c r="F76" s="31"/>
      <c r="G76" s="31"/>
      <c r="H76" s="31"/>
      <c r="I76" s="31"/>
      <c r="J76" s="31"/>
      <c r="K76" s="31"/>
      <c r="L76" s="31"/>
      <c r="M76" s="31"/>
      <c r="N76" s="31"/>
      <c r="O76" s="31"/>
      <c r="P76" s="31"/>
      <c r="Q76" s="31"/>
      <c r="R76" s="31"/>
      <c r="S76" s="31"/>
      <c r="T76" s="31"/>
      <c r="U76" s="31"/>
      <c r="V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row>
    <row r="77" spans="1:59" x14ac:dyDescent="0.3">
      <c r="A77" s="31"/>
      <c r="B77" s="31"/>
      <c r="C77" s="31"/>
      <c r="D77" s="31"/>
      <c r="E77" s="31"/>
      <c r="F77" s="31"/>
      <c r="G77" s="31"/>
      <c r="H77" s="31"/>
      <c r="I77" s="31"/>
      <c r="J77" s="31"/>
      <c r="K77" s="31"/>
      <c r="L77" s="31"/>
      <c r="M77" s="31"/>
      <c r="N77" s="31"/>
      <c r="O77" s="31"/>
      <c r="P77" s="31"/>
      <c r="Q77" s="31"/>
      <c r="R77" s="31"/>
      <c r="S77" s="31"/>
      <c r="T77" s="31"/>
      <c r="U77" s="31"/>
      <c r="V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row>
    <row r="78" spans="1:59" x14ac:dyDescent="0.3">
      <c r="A78" s="31"/>
      <c r="B78" s="31"/>
      <c r="C78" s="31"/>
      <c r="D78" s="31"/>
      <c r="E78" s="31"/>
      <c r="F78" s="31"/>
      <c r="G78" s="31"/>
      <c r="H78" s="31"/>
      <c r="I78" s="31"/>
      <c r="J78" s="31"/>
      <c r="K78" s="31"/>
      <c r="L78" s="31"/>
      <c r="M78" s="31"/>
      <c r="N78" s="31"/>
      <c r="O78" s="31"/>
      <c r="P78" s="31"/>
      <c r="Q78" s="31"/>
      <c r="R78" s="31"/>
      <c r="S78" s="31"/>
      <c r="T78" s="31"/>
      <c r="U78" s="31"/>
      <c r="V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row>
    <row r="79" spans="1:59" x14ac:dyDescent="0.3">
      <c r="A79" s="31"/>
      <c r="B79" s="31"/>
      <c r="C79" s="31"/>
      <c r="D79" s="31"/>
      <c r="E79" s="31"/>
      <c r="F79" s="31"/>
      <c r="G79" s="31"/>
      <c r="H79" s="31"/>
      <c r="I79" s="31"/>
      <c r="J79" s="31"/>
      <c r="K79" s="31"/>
      <c r="L79" s="31"/>
      <c r="M79" s="31"/>
      <c r="N79" s="31"/>
      <c r="O79" s="31"/>
      <c r="P79" s="31"/>
      <c r="Q79" s="31"/>
      <c r="R79" s="31"/>
      <c r="S79" s="31"/>
      <c r="T79" s="31"/>
      <c r="U79" s="31"/>
      <c r="V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row>
    <row r="80" spans="1:59" x14ac:dyDescent="0.3">
      <c r="A80" s="31"/>
      <c r="B80" s="31"/>
      <c r="C80" s="31"/>
      <c r="D80" s="31"/>
      <c r="E80" s="31"/>
      <c r="F80" s="31"/>
      <c r="G80" s="31"/>
      <c r="H80" s="31"/>
      <c r="I80" s="31"/>
      <c r="J80" s="31"/>
      <c r="K80" s="31"/>
      <c r="L80" s="31"/>
      <c r="M80" s="31"/>
      <c r="N80" s="31"/>
      <c r="O80" s="31"/>
      <c r="P80" s="31"/>
      <c r="Q80" s="31"/>
      <c r="R80" s="31"/>
      <c r="S80" s="31"/>
      <c r="T80" s="31"/>
      <c r="U80" s="31"/>
      <c r="V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row>
    <row r="81" spans="1:59" x14ac:dyDescent="0.3">
      <c r="A81" s="31"/>
      <c r="B81" s="31"/>
      <c r="C81" s="31"/>
      <c r="D81" s="31"/>
      <c r="E81" s="31"/>
      <c r="F81" s="31"/>
      <c r="G81" s="31"/>
      <c r="H81" s="31"/>
      <c r="I81" s="31"/>
      <c r="J81" s="31"/>
      <c r="K81" s="31"/>
      <c r="L81" s="31"/>
      <c r="M81" s="31"/>
      <c r="N81" s="31"/>
      <c r="O81" s="31"/>
      <c r="P81" s="31"/>
      <c r="Q81" s="31"/>
      <c r="R81" s="31"/>
      <c r="S81" s="31"/>
      <c r="T81" s="31"/>
      <c r="U81" s="31"/>
      <c r="V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row>
    <row r="82" spans="1:59" x14ac:dyDescent="0.3">
      <c r="A82" s="31"/>
      <c r="B82" s="31"/>
      <c r="C82" s="31"/>
      <c r="D82" s="31"/>
      <c r="E82" s="31"/>
      <c r="F82" s="31"/>
      <c r="G82" s="31"/>
      <c r="H82" s="31"/>
      <c r="I82" s="31"/>
      <c r="J82" s="31"/>
      <c r="K82" s="31"/>
      <c r="L82" s="31"/>
      <c r="M82" s="31"/>
      <c r="N82" s="31"/>
      <c r="O82" s="31"/>
      <c r="P82" s="31"/>
      <c r="Q82" s="31"/>
      <c r="R82" s="31"/>
      <c r="S82" s="31"/>
      <c r="T82" s="31"/>
      <c r="U82" s="31"/>
      <c r="V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row>
    <row r="83" spans="1:59" x14ac:dyDescent="0.3">
      <c r="A83" s="31"/>
      <c r="B83" s="31"/>
      <c r="C83" s="31"/>
      <c r="D83" s="31"/>
      <c r="E83" s="31"/>
      <c r="F83" s="31"/>
      <c r="G83" s="31"/>
      <c r="H83" s="31"/>
      <c r="I83" s="31"/>
      <c r="J83" s="31"/>
      <c r="K83" s="31"/>
      <c r="L83" s="31"/>
      <c r="M83" s="31"/>
      <c r="N83" s="31"/>
      <c r="O83" s="31"/>
      <c r="P83" s="31"/>
      <c r="Q83" s="31"/>
      <c r="R83" s="31"/>
      <c r="S83" s="31"/>
      <c r="T83" s="31"/>
      <c r="U83" s="31"/>
      <c r="V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row>
    <row r="84" spans="1:59" x14ac:dyDescent="0.3">
      <c r="A84" s="31"/>
      <c r="B84" s="31"/>
      <c r="C84" s="31"/>
      <c r="D84" s="31"/>
      <c r="E84" s="31"/>
      <c r="F84" s="31"/>
      <c r="G84" s="31"/>
      <c r="H84" s="31"/>
      <c r="I84" s="31"/>
      <c r="J84" s="31"/>
      <c r="K84" s="31"/>
      <c r="L84" s="31"/>
      <c r="M84" s="31"/>
      <c r="N84" s="31"/>
      <c r="O84" s="31"/>
      <c r="P84" s="31"/>
      <c r="Q84" s="31"/>
      <c r="R84" s="31"/>
      <c r="S84" s="31"/>
      <c r="T84" s="31"/>
      <c r="U84" s="31"/>
      <c r="V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row>
    <row r="85" spans="1:59" x14ac:dyDescent="0.3">
      <c r="A85" s="31"/>
      <c r="B85" s="31"/>
      <c r="C85" s="31"/>
      <c r="D85" s="31"/>
      <c r="E85" s="31"/>
      <c r="F85" s="31"/>
      <c r="G85" s="31"/>
      <c r="H85" s="31"/>
      <c r="I85" s="31"/>
      <c r="J85" s="31"/>
      <c r="K85" s="31"/>
      <c r="L85" s="31"/>
      <c r="M85" s="31"/>
      <c r="N85" s="31"/>
      <c r="O85" s="31"/>
      <c r="P85" s="31"/>
      <c r="Q85" s="31"/>
      <c r="R85" s="31"/>
      <c r="S85" s="31"/>
      <c r="T85" s="31"/>
      <c r="U85" s="31"/>
      <c r="V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row>
    <row r="86" spans="1:59" x14ac:dyDescent="0.3">
      <c r="A86" s="31"/>
      <c r="B86" s="31"/>
      <c r="C86" s="31"/>
      <c r="D86" s="31"/>
      <c r="E86" s="31"/>
      <c r="F86" s="31"/>
      <c r="G86" s="31"/>
      <c r="H86" s="31"/>
      <c r="I86" s="31"/>
      <c r="J86" s="31"/>
      <c r="K86" s="31"/>
      <c r="L86" s="31"/>
      <c r="M86" s="31"/>
      <c r="N86" s="31"/>
      <c r="O86" s="31"/>
      <c r="P86" s="31"/>
      <c r="Q86" s="31"/>
      <c r="R86" s="31"/>
      <c r="S86" s="31"/>
      <c r="T86" s="31"/>
      <c r="U86" s="31"/>
      <c r="V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row>
    <row r="87" spans="1:59" x14ac:dyDescent="0.3">
      <c r="A87" s="31"/>
      <c r="B87" s="31"/>
      <c r="C87" s="31"/>
      <c r="D87" s="31"/>
      <c r="E87" s="31"/>
      <c r="F87" s="31"/>
      <c r="G87" s="31"/>
      <c r="H87" s="31"/>
      <c r="I87" s="31"/>
      <c r="J87" s="31"/>
      <c r="K87" s="31"/>
      <c r="L87" s="31"/>
      <c r="M87" s="31"/>
      <c r="N87" s="31"/>
      <c r="O87" s="31"/>
      <c r="P87" s="31"/>
      <c r="Q87" s="31"/>
      <c r="R87" s="31"/>
      <c r="S87" s="31"/>
      <c r="T87" s="31"/>
      <c r="U87" s="31"/>
      <c r="V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row>
    <row r="88" spans="1:59" x14ac:dyDescent="0.3">
      <c r="A88" s="31"/>
      <c r="B88" s="31"/>
      <c r="C88" s="31"/>
      <c r="D88" s="31"/>
      <c r="E88" s="31"/>
      <c r="F88" s="31"/>
      <c r="G88" s="31"/>
      <c r="H88" s="31"/>
      <c r="I88" s="31"/>
      <c r="J88" s="31"/>
      <c r="K88" s="31"/>
      <c r="L88" s="31"/>
      <c r="M88" s="31"/>
      <c r="N88" s="31"/>
      <c r="O88" s="31"/>
      <c r="P88" s="31"/>
      <c r="Q88" s="31"/>
      <c r="R88" s="31"/>
      <c r="S88" s="31"/>
      <c r="T88" s="31"/>
      <c r="U88" s="31"/>
      <c r="V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row>
    <row r="89" spans="1:59" x14ac:dyDescent="0.3">
      <c r="A89" s="31"/>
      <c r="B89" s="31"/>
      <c r="C89" s="31"/>
      <c r="D89" s="31"/>
      <c r="E89" s="31"/>
      <c r="F89" s="31"/>
      <c r="G89" s="31"/>
      <c r="H89" s="31"/>
      <c r="I89" s="31"/>
      <c r="J89" s="31"/>
      <c r="K89" s="31"/>
      <c r="L89" s="31"/>
      <c r="M89" s="31"/>
      <c r="N89" s="31"/>
      <c r="O89" s="31"/>
      <c r="P89" s="31"/>
      <c r="Q89" s="31"/>
      <c r="R89" s="31"/>
      <c r="S89" s="31"/>
      <c r="T89" s="31"/>
      <c r="U89" s="31"/>
      <c r="V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row>
    <row r="90" spans="1:59" x14ac:dyDescent="0.3">
      <c r="A90" s="31"/>
      <c r="B90" s="31"/>
      <c r="C90" s="31"/>
      <c r="D90" s="31"/>
      <c r="E90" s="31"/>
      <c r="F90" s="31"/>
      <c r="G90" s="31"/>
      <c r="H90" s="31"/>
      <c r="I90" s="31"/>
      <c r="J90" s="31"/>
      <c r="K90" s="31"/>
      <c r="L90" s="31"/>
      <c r="M90" s="31"/>
      <c r="N90" s="31"/>
      <c r="O90" s="31"/>
      <c r="P90" s="31"/>
      <c r="Q90" s="31"/>
      <c r="R90" s="31"/>
      <c r="S90" s="31"/>
      <c r="T90" s="31"/>
      <c r="U90" s="31"/>
      <c r="V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row>
    <row r="91" spans="1:59" x14ac:dyDescent="0.3">
      <c r="A91" s="31"/>
      <c r="B91" s="31"/>
      <c r="C91" s="31"/>
      <c r="D91" s="31"/>
      <c r="E91" s="31"/>
      <c r="F91" s="31"/>
      <c r="G91" s="31"/>
      <c r="H91" s="31"/>
      <c r="I91" s="31"/>
      <c r="J91" s="31"/>
      <c r="K91" s="31"/>
      <c r="L91" s="31"/>
      <c r="M91" s="31"/>
      <c r="N91" s="31"/>
      <c r="O91" s="31"/>
      <c r="P91" s="31"/>
      <c r="Q91" s="31"/>
      <c r="R91" s="31"/>
      <c r="S91" s="31"/>
      <c r="T91" s="31"/>
      <c r="U91" s="31"/>
      <c r="V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row>
    <row r="92" spans="1:59" x14ac:dyDescent="0.3">
      <c r="A92" s="31"/>
      <c r="B92" s="31"/>
      <c r="C92" s="31"/>
      <c r="D92" s="31"/>
      <c r="E92" s="31"/>
      <c r="F92" s="31"/>
      <c r="G92" s="31"/>
      <c r="H92" s="31"/>
      <c r="I92" s="31"/>
      <c r="J92" s="31"/>
      <c r="K92" s="31"/>
      <c r="L92" s="31"/>
      <c r="M92" s="31"/>
      <c r="N92" s="31"/>
      <c r="O92" s="31"/>
      <c r="P92" s="31"/>
      <c r="Q92" s="31"/>
      <c r="R92" s="31"/>
      <c r="S92" s="31"/>
      <c r="T92" s="31"/>
      <c r="U92" s="31"/>
      <c r="V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row>
    <row r="93" spans="1:59" x14ac:dyDescent="0.3">
      <c r="A93" s="31"/>
      <c r="B93" s="31"/>
      <c r="C93" s="31"/>
      <c r="D93" s="31"/>
      <c r="E93" s="31"/>
      <c r="F93" s="31"/>
      <c r="G93" s="31"/>
      <c r="H93" s="31"/>
      <c r="I93" s="31"/>
      <c r="J93" s="31"/>
      <c r="K93" s="31"/>
      <c r="L93" s="31"/>
      <c r="M93" s="31"/>
      <c r="N93" s="31"/>
      <c r="O93" s="31"/>
      <c r="P93" s="31"/>
      <c r="Q93" s="31"/>
      <c r="R93" s="31"/>
      <c r="S93" s="31"/>
      <c r="T93" s="31"/>
      <c r="U93" s="31"/>
      <c r="V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row>
    <row r="94" spans="1:59" x14ac:dyDescent="0.3">
      <c r="A94" s="31"/>
      <c r="B94" s="31"/>
      <c r="C94" s="31"/>
      <c r="D94" s="31"/>
      <c r="E94" s="31"/>
      <c r="F94" s="31"/>
      <c r="G94" s="31"/>
      <c r="H94" s="31"/>
      <c r="I94" s="31"/>
      <c r="J94" s="31"/>
      <c r="K94" s="31"/>
      <c r="L94" s="31"/>
      <c r="M94" s="31"/>
      <c r="N94" s="31"/>
      <c r="O94" s="31"/>
      <c r="P94" s="31"/>
      <c r="Q94" s="31"/>
      <c r="R94" s="31"/>
      <c r="S94" s="31"/>
      <c r="T94" s="31"/>
      <c r="U94" s="31"/>
      <c r="V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row>
    <row r="95" spans="1:59" x14ac:dyDescent="0.3">
      <c r="A95" s="31"/>
      <c r="B95" s="31"/>
      <c r="C95" s="31"/>
      <c r="D95" s="31"/>
      <c r="E95" s="31"/>
      <c r="F95" s="31"/>
      <c r="G95" s="31"/>
      <c r="H95" s="31"/>
      <c r="I95" s="31"/>
      <c r="J95" s="31"/>
      <c r="K95" s="31"/>
      <c r="L95" s="31"/>
      <c r="M95" s="31"/>
      <c r="N95" s="31"/>
      <c r="O95" s="31"/>
      <c r="P95" s="31"/>
      <c r="Q95" s="31"/>
      <c r="R95" s="31"/>
      <c r="S95" s="31"/>
      <c r="T95" s="31"/>
      <c r="U95" s="31"/>
      <c r="V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row>
    <row r="96" spans="1:59" x14ac:dyDescent="0.3">
      <c r="A96" s="31"/>
      <c r="B96" s="31"/>
      <c r="C96" s="31"/>
      <c r="D96" s="31"/>
      <c r="E96" s="31"/>
      <c r="F96" s="31"/>
      <c r="G96" s="31"/>
      <c r="H96" s="31"/>
      <c r="I96" s="31"/>
      <c r="J96" s="31"/>
      <c r="K96" s="31"/>
      <c r="L96" s="31"/>
      <c r="M96" s="31"/>
      <c r="N96" s="31"/>
      <c r="O96" s="31"/>
      <c r="P96" s="31"/>
      <c r="Q96" s="31"/>
      <c r="R96" s="31"/>
      <c r="S96" s="31"/>
      <c r="T96" s="31"/>
      <c r="U96" s="31"/>
      <c r="V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row>
    <row r="97" spans="1:59" x14ac:dyDescent="0.3">
      <c r="A97" s="31"/>
      <c r="B97" s="31"/>
      <c r="C97" s="31"/>
      <c r="D97" s="31"/>
      <c r="E97" s="31"/>
      <c r="F97" s="31"/>
      <c r="G97" s="31"/>
      <c r="H97" s="31"/>
      <c r="I97" s="31"/>
      <c r="J97" s="31"/>
      <c r="K97" s="31"/>
      <c r="L97" s="31"/>
      <c r="M97" s="31"/>
      <c r="N97" s="31"/>
      <c r="O97" s="31"/>
      <c r="P97" s="31"/>
      <c r="Q97" s="31"/>
      <c r="R97" s="31"/>
      <c r="S97" s="31"/>
      <c r="T97" s="31"/>
      <c r="U97" s="31"/>
      <c r="V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row>
    <row r="98" spans="1:59" x14ac:dyDescent="0.3">
      <c r="A98" s="31"/>
      <c r="B98" s="31"/>
      <c r="C98" s="31"/>
      <c r="D98" s="31"/>
      <c r="E98" s="31"/>
      <c r="F98" s="31"/>
      <c r="G98" s="31"/>
      <c r="H98" s="31"/>
      <c r="I98" s="31"/>
      <c r="J98" s="31"/>
      <c r="K98" s="31"/>
      <c r="L98" s="31"/>
      <c r="M98" s="31"/>
      <c r="N98" s="31"/>
      <c r="O98" s="31"/>
      <c r="P98" s="31"/>
      <c r="Q98" s="31"/>
      <c r="R98" s="31"/>
      <c r="S98" s="31"/>
      <c r="T98" s="31"/>
      <c r="U98" s="31"/>
      <c r="V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row>
    <row r="99" spans="1:59" x14ac:dyDescent="0.3">
      <c r="A99" s="31"/>
      <c r="B99" s="31"/>
      <c r="C99" s="31"/>
      <c r="D99" s="31"/>
      <c r="E99" s="31"/>
      <c r="F99" s="31"/>
      <c r="G99" s="31"/>
      <c r="H99" s="31"/>
      <c r="I99" s="31"/>
      <c r="J99" s="31"/>
      <c r="K99" s="31"/>
      <c r="L99" s="31"/>
      <c r="M99" s="31"/>
      <c r="N99" s="31"/>
      <c r="O99" s="31"/>
      <c r="P99" s="31"/>
      <c r="Q99" s="31"/>
      <c r="R99" s="31"/>
      <c r="S99" s="31"/>
      <c r="T99" s="31"/>
      <c r="U99" s="31"/>
      <c r="V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row>
    <row r="100" spans="1:59" x14ac:dyDescent="0.3">
      <c r="A100" s="31"/>
      <c r="B100" s="31"/>
      <c r="C100" s="31"/>
      <c r="D100" s="31"/>
      <c r="E100" s="31"/>
      <c r="F100" s="31"/>
      <c r="G100" s="31"/>
      <c r="H100" s="31"/>
      <c r="I100" s="31"/>
      <c r="J100" s="31"/>
      <c r="K100" s="31"/>
      <c r="L100" s="31"/>
      <c r="M100" s="31"/>
      <c r="N100" s="31"/>
      <c r="O100" s="31"/>
      <c r="P100" s="31"/>
      <c r="Q100" s="31"/>
      <c r="R100" s="31"/>
      <c r="S100" s="31"/>
      <c r="T100" s="31"/>
      <c r="U100" s="31"/>
      <c r="V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row>
    <row r="101" spans="1:59" x14ac:dyDescent="0.3">
      <c r="A101" s="31"/>
      <c r="B101" s="31"/>
      <c r="C101" s="31"/>
      <c r="D101" s="31"/>
      <c r="E101" s="31"/>
      <c r="F101" s="31"/>
      <c r="G101" s="31"/>
      <c r="H101" s="31"/>
      <c r="I101" s="31"/>
      <c r="J101" s="31"/>
      <c r="K101" s="31"/>
      <c r="L101" s="31"/>
      <c r="M101" s="31"/>
      <c r="N101" s="31"/>
      <c r="O101" s="31"/>
      <c r="P101" s="31"/>
      <c r="Q101" s="31"/>
      <c r="R101" s="31"/>
      <c r="S101" s="31"/>
      <c r="T101" s="31"/>
      <c r="U101" s="31"/>
      <c r="V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row>
    <row r="102" spans="1:59" x14ac:dyDescent="0.3">
      <c r="A102" s="31"/>
      <c r="B102" s="31"/>
      <c r="C102" s="31"/>
      <c r="D102" s="31"/>
      <c r="E102" s="31"/>
      <c r="F102" s="31"/>
      <c r="G102" s="31"/>
      <c r="H102" s="31"/>
      <c r="I102" s="31"/>
      <c r="J102" s="31"/>
      <c r="K102" s="31"/>
      <c r="L102" s="31"/>
      <c r="M102" s="31"/>
      <c r="N102" s="31"/>
      <c r="O102" s="31"/>
      <c r="P102" s="31"/>
      <c r="Q102" s="31"/>
      <c r="R102" s="31"/>
      <c r="S102" s="31"/>
      <c r="T102" s="31"/>
      <c r="U102" s="31"/>
      <c r="V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row>
    <row r="103" spans="1:59" x14ac:dyDescent="0.3">
      <c r="A103" s="31"/>
      <c r="B103" s="31"/>
      <c r="C103" s="31"/>
      <c r="D103" s="31"/>
      <c r="E103" s="31"/>
      <c r="F103" s="31"/>
      <c r="G103" s="31"/>
      <c r="H103" s="31"/>
      <c r="I103" s="31"/>
      <c r="J103" s="31"/>
      <c r="K103" s="31"/>
      <c r="L103" s="31"/>
      <c r="M103" s="31"/>
      <c r="N103" s="31"/>
      <c r="O103" s="31"/>
      <c r="P103" s="31"/>
      <c r="Q103" s="31"/>
      <c r="R103" s="31"/>
      <c r="S103" s="31"/>
      <c r="T103" s="31"/>
      <c r="U103" s="31"/>
      <c r="V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row>
    <row r="104" spans="1:59" x14ac:dyDescent="0.3">
      <c r="A104" s="31"/>
      <c r="B104" s="31"/>
      <c r="C104" s="31"/>
      <c r="D104" s="31"/>
      <c r="E104" s="31"/>
      <c r="F104" s="31"/>
      <c r="G104" s="31"/>
      <c r="H104" s="31"/>
      <c r="I104" s="31"/>
      <c r="J104" s="31"/>
      <c r="K104" s="31"/>
      <c r="L104" s="31"/>
      <c r="M104" s="31"/>
      <c r="N104" s="31"/>
      <c r="O104" s="31"/>
      <c r="P104" s="31"/>
      <c r="Q104" s="31"/>
      <c r="R104" s="31"/>
      <c r="S104" s="31"/>
      <c r="T104" s="31"/>
      <c r="U104" s="31"/>
      <c r="V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row>
    <row r="105" spans="1:59" x14ac:dyDescent="0.3">
      <c r="A105" s="31"/>
      <c r="B105" s="31"/>
      <c r="C105" s="31"/>
      <c r="D105" s="31"/>
      <c r="E105" s="31"/>
      <c r="F105" s="31"/>
      <c r="G105" s="31"/>
      <c r="H105" s="31"/>
      <c r="I105" s="31"/>
      <c r="J105" s="31"/>
      <c r="K105" s="31"/>
      <c r="L105" s="31"/>
      <c r="M105" s="31"/>
      <c r="N105" s="31"/>
      <c r="O105" s="31"/>
      <c r="P105" s="31"/>
      <c r="Q105" s="31"/>
      <c r="R105" s="31"/>
      <c r="S105" s="31"/>
      <c r="T105" s="31"/>
      <c r="U105" s="31"/>
      <c r="V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row>
    <row r="106" spans="1:59" x14ac:dyDescent="0.3">
      <c r="A106" s="31"/>
      <c r="B106" s="31"/>
      <c r="C106" s="31"/>
      <c r="D106" s="31"/>
      <c r="E106" s="31"/>
      <c r="F106" s="31"/>
      <c r="G106" s="31"/>
      <c r="H106" s="31"/>
      <c r="I106" s="31"/>
      <c r="J106" s="31"/>
      <c r="K106" s="31"/>
      <c r="L106" s="31"/>
      <c r="M106" s="31"/>
      <c r="N106" s="31"/>
      <c r="O106" s="31"/>
      <c r="P106" s="31"/>
      <c r="Q106" s="31"/>
      <c r="R106" s="31"/>
      <c r="S106" s="31"/>
      <c r="T106" s="31"/>
      <c r="U106" s="31"/>
      <c r="V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row>
    <row r="107" spans="1:59" x14ac:dyDescent="0.3">
      <c r="A107" s="31"/>
      <c r="B107" s="31"/>
      <c r="C107" s="31"/>
      <c r="D107" s="31"/>
      <c r="E107" s="31"/>
      <c r="F107" s="31"/>
      <c r="G107" s="31"/>
      <c r="H107" s="31"/>
      <c r="I107" s="31"/>
      <c r="J107" s="31"/>
      <c r="K107" s="31"/>
      <c r="L107" s="31"/>
      <c r="M107" s="31"/>
      <c r="N107" s="31"/>
      <c r="O107" s="31"/>
      <c r="P107" s="31"/>
      <c r="Q107" s="31"/>
      <c r="R107" s="31"/>
      <c r="S107" s="31"/>
      <c r="T107" s="31"/>
      <c r="U107" s="31"/>
      <c r="V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row>
    <row r="108" spans="1:59" x14ac:dyDescent="0.3">
      <c r="A108" s="31"/>
      <c r="B108" s="31"/>
      <c r="C108" s="31"/>
      <c r="D108" s="31"/>
      <c r="E108" s="31"/>
      <c r="F108" s="31"/>
      <c r="G108" s="31"/>
      <c r="H108" s="31"/>
      <c r="I108" s="31"/>
      <c r="J108" s="31"/>
      <c r="K108" s="31"/>
      <c r="L108" s="31"/>
      <c r="M108" s="31"/>
      <c r="N108" s="31"/>
      <c r="O108" s="31"/>
      <c r="P108" s="31"/>
      <c r="Q108" s="31"/>
      <c r="R108" s="31"/>
      <c r="S108" s="31"/>
      <c r="T108" s="31"/>
      <c r="U108" s="31"/>
      <c r="V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row>
    <row r="109" spans="1:59" x14ac:dyDescent="0.3">
      <c r="A109" s="31"/>
      <c r="B109" s="31"/>
      <c r="C109" s="31"/>
      <c r="D109" s="31"/>
      <c r="E109" s="31"/>
      <c r="F109" s="31"/>
      <c r="G109" s="31"/>
      <c r="H109" s="31"/>
      <c r="I109" s="31"/>
      <c r="J109" s="31"/>
      <c r="K109" s="31"/>
      <c r="L109" s="31"/>
      <c r="M109" s="31"/>
      <c r="N109" s="31"/>
      <c r="O109" s="31"/>
      <c r="P109" s="31"/>
      <c r="Q109" s="31"/>
      <c r="R109" s="31"/>
      <c r="S109" s="31"/>
      <c r="T109" s="31"/>
      <c r="U109" s="31"/>
      <c r="V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row>
    <row r="110" spans="1:59" x14ac:dyDescent="0.3">
      <c r="A110" s="31"/>
      <c r="B110" s="31"/>
      <c r="C110" s="31"/>
      <c r="D110" s="31"/>
      <c r="E110" s="31"/>
      <c r="F110" s="31"/>
      <c r="G110" s="31"/>
      <c r="H110" s="31"/>
      <c r="I110" s="31"/>
      <c r="J110" s="31"/>
      <c r="K110" s="31"/>
      <c r="L110" s="31"/>
      <c r="M110" s="31"/>
      <c r="N110" s="31"/>
      <c r="O110" s="31"/>
      <c r="P110" s="31"/>
      <c r="Q110" s="31"/>
      <c r="R110" s="31"/>
      <c r="S110" s="31"/>
      <c r="T110" s="31"/>
      <c r="U110" s="31"/>
      <c r="V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row>
    <row r="111" spans="1:59" x14ac:dyDescent="0.3">
      <c r="A111" s="31"/>
      <c r="B111" s="31"/>
      <c r="C111" s="31"/>
      <c r="D111" s="31"/>
      <c r="E111" s="31"/>
      <c r="F111" s="31"/>
      <c r="G111" s="31"/>
      <c r="H111" s="31"/>
      <c r="I111" s="31"/>
      <c r="J111" s="31"/>
      <c r="K111" s="31"/>
      <c r="L111" s="31"/>
      <c r="M111" s="31"/>
      <c r="N111" s="31"/>
      <c r="O111" s="31"/>
      <c r="P111" s="31"/>
      <c r="Q111" s="31"/>
      <c r="R111" s="31"/>
      <c r="S111" s="31"/>
      <c r="T111" s="31"/>
      <c r="U111" s="31"/>
      <c r="V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row>
    <row r="112" spans="1:59" x14ac:dyDescent="0.3">
      <c r="A112" s="31"/>
      <c r="B112" s="31"/>
      <c r="C112" s="31"/>
      <c r="D112" s="31"/>
      <c r="E112" s="31"/>
      <c r="F112" s="31"/>
      <c r="G112" s="31"/>
      <c r="H112" s="31"/>
      <c r="I112" s="31"/>
      <c r="J112" s="31"/>
      <c r="K112" s="31"/>
      <c r="L112" s="31"/>
      <c r="M112" s="31"/>
      <c r="N112" s="31"/>
      <c r="O112" s="31"/>
      <c r="P112" s="31"/>
      <c r="Q112" s="31"/>
      <c r="R112" s="31"/>
      <c r="S112" s="31"/>
      <c r="T112" s="31"/>
      <c r="U112" s="31"/>
      <c r="V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row>
    <row r="113" spans="1:59" x14ac:dyDescent="0.3">
      <c r="A113" s="31"/>
      <c r="B113" s="31"/>
      <c r="C113" s="31"/>
      <c r="D113" s="31"/>
      <c r="E113" s="31"/>
      <c r="F113" s="31"/>
      <c r="G113" s="31"/>
      <c r="H113" s="31"/>
      <c r="I113" s="31"/>
      <c r="J113" s="31"/>
      <c r="K113" s="31"/>
      <c r="L113" s="31"/>
      <c r="M113" s="31"/>
      <c r="N113" s="31"/>
      <c r="O113" s="31"/>
      <c r="P113" s="31"/>
      <c r="Q113" s="31"/>
      <c r="R113" s="31"/>
      <c r="S113" s="31"/>
      <c r="T113" s="31"/>
      <c r="U113" s="31"/>
      <c r="V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row>
    <row r="114" spans="1:59" x14ac:dyDescent="0.3">
      <c r="A114" s="31"/>
      <c r="B114" s="31"/>
      <c r="C114" s="31"/>
      <c r="D114" s="31"/>
      <c r="E114" s="31"/>
      <c r="F114" s="31"/>
      <c r="G114" s="31"/>
      <c r="H114" s="31"/>
      <c r="I114" s="31"/>
      <c r="J114" s="31"/>
      <c r="K114" s="31"/>
      <c r="L114" s="31"/>
      <c r="M114" s="31"/>
      <c r="N114" s="31"/>
      <c r="O114" s="31"/>
      <c r="P114" s="31"/>
      <c r="Q114" s="31"/>
      <c r="R114" s="31"/>
      <c r="S114" s="31"/>
      <c r="T114" s="31"/>
      <c r="U114" s="31"/>
      <c r="V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row>
    <row r="115" spans="1:59" x14ac:dyDescent="0.3">
      <c r="A115" s="31"/>
      <c r="B115" s="31"/>
      <c r="C115" s="31"/>
      <c r="D115" s="31"/>
      <c r="E115" s="31"/>
      <c r="F115" s="31"/>
      <c r="G115" s="31"/>
      <c r="H115" s="31"/>
      <c r="I115" s="31"/>
      <c r="J115" s="31"/>
      <c r="K115" s="31"/>
      <c r="L115" s="31"/>
      <c r="M115" s="31"/>
      <c r="N115" s="31"/>
      <c r="O115" s="31"/>
      <c r="P115" s="31"/>
      <c r="Q115" s="31"/>
      <c r="R115" s="31"/>
      <c r="S115" s="31"/>
      <c r="T115" s="31"/>
      <c r="U115" s="31"/>
      <c r="V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row>
    <row r="116" spans="1:59" x14ac:dyDescent="0.3">
      <c r="A116" s="31"/>
      <c r="B116" s="31"/>
      <c r="C116" s="31"/>
      <c r="D116" s="31"/>
      <c r="E116" s="31"/>
      <c r="F116" s="31"/>
      <c r="G116" s="31"/>
      <c r="H116" s="31"/>
      <c r="I116" s="31"/>
      <c r="J116" s="31"/>
      <c r="K116" s="31"/>
      <c r="L116" s="31"/>
      <c r="M116" s="31"/>
      <c r="N116" s="31"/>
      <c r="O116" s="31"/>
      <c r="P116" s="31"/>
      <c r="Q116" s="31"/>
      <c r="R116" s="31"/>
      <c r="S116" s="31"/>
      <c r="T116" s="31"/>
      <c r="U116" s="31"/>
      <c r="V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row>
    <row r="117" spans="1:59" x14ac:dyDescent="0.3">
      <c r="A117" s="31"/>
      <c r="B117" s="31"/>
      <c r="C117" s="31"/>
      <c r="D117" s="31"/>
      <c r="E117" s="31"/>
      <c r="F117" s="31"/>
      <c r="G117" s="31"/>
      <c r="H117" s="31"/>
      <c r="I117" s="31"/>
      <c r="J117" s="31"/>
      <c r="K117" s="31"/>
      <c r="L117" s="31"/>
      <c r="M117" s="31"/>
      <c r="N117" s="31"/>
      <c r="O117" s="31"/>
      <c r="P117" s="31"/>
      <c r="Q117" s="31"/>
      <c r="R117" s="31"/>
      <c r="S117" s="31"/>
      <c r="T117" s="31"/>
      <c r="U117" s="31"/>
      <c r="V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row>
    <row r="118" spans="1:59" x14ac:dyDescent="0.3">
      <c r="A118" s="31"/>
      <c r="B118" s="31"/>
      <c r="C118" s="31"/>
      <c r="D118" s="31"/>
      <c r="E118" s="31"/>
      <c r="F118" s="31"/>
      <c r="G118" s="31"/>
      <c r="H118" s="31"/>
      <c r="I118" s="31"/>
      <c r="J118" s="31"/>
      <c r="K118" s="31"/>
      <c r="L118" s="31"/>
      <c r="M118" s="31"/>
      <c r="N118" s="31"/>
      <c r="O118" s="31"/>
      <c r="P118" s="31"/>
      <c r="Q118" s="31"/>
      <c r="R118" s="31"/>
      <c r="S118" s="31"/>
      <c r="T118" s="31"/>
      <c r="U118" s="31"/>
      <c r="V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row>
    <row r="119" spans="1:59" x14ac:dyDescent="0.3">
      <c r="A119" s="31"/>
      <c r="B119" s="31"/>
      <c r="C119" s="31"/>
      <c r="D119" s="31"/>
      <c r="E119" s="31"/>
      <c r="F119" s="31"/>
      <c r="G119" s="31"/>
      <c r="H119" s="31"/>
      <c r="I119" s="31"/>
      <c r="J119" s="31"/>
      <c r="K119" s="31"/>
      <c r="L119" s="31"/>
      <c r="M119" s="31"/>
      <c r="N119" s="31"/>
      <c r="O119" s="31"/>
      <c r="P119" s="31"/>
      <c r="Q119" s="31"/>
      <c r="R119" s="31"/>
      <c r="S119" s="31"/>
      <c r="T119" s="31"/>
      <c r="U119" s="31"/>
      <c r="V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row>
    <row r="120" spans="1:59" x14ac:dyDescent="0.3">
      <c r="A120" s="31"/>
      <c r="B120" s="31"/>
      <c r="C120" s="31"/>
      <c r="D120" s="31"/>
      <c r="E120" s="31"/>
      <c r="F120" s="31"/>
      <c r="G120" s="31"/>
      <c r="H120" s="31"/>
      <c r="I120" s="31"/>
      <c r="J120" s="31"/>
      <c r="K120" s="31"/>
      <c r="L120" s="31"/>
      <c r="M120" s="31"/>
      <c r="N120" s="31"/>
      <c r="O120" s="31"/>
      <c r="P120" s="31"/>
      <c r="Q120" s="31"/>
      <c r="R120" s="31"/>
      <c r="S120" s="31"/>
      <c r="T120" s="31"/>
      <c r="U120" s="31"/>
      <c r="V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row>
    <row r="121" spans="1:59" x14ac:dyDescent="0.3">
      <c r="A121" s="31"/>
      <c r="B121" s="31"/>
      <c r="C121" s="31"/>
      <c r="D121" s="31"/>
      <c r="E121" s="31"/>
      <c r="F121" s="31"/>
      <c r="G121" s="31"/>
      <c r="H121" s="31"/>
      <c r="I121" s="31"/>
      <c r="J121" s="31"/>
      <c r="K121" s="31"/>
      <c r="L121" s="31"/>
      <c r="M121" s="31"/>
      <c r="N121" s="31"/>
      <c r="O121" s="31"/>
      <c r="P121" s="31"/>
      <c r="Q121" s="31"/>
      <c r="R121" s="31"/>
      <c r="S121" s="31"/>
      <c r="T121" s="31"/>
      <c r="U121" s="31"/>
      <c r="V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row>
    <row r="122" spans="1:59" x14ac:dyDescent="0.3">
      <c r="A122" s="31"/>
      <c r="B122" s="31"/>
      <c r="C122" s="31"/>
      <c r="D122" s="31"/>
      <c r="E122" s="31"/>
      <c r="F122" s="31"/>
      <c r="G122" s="31"/>
      <c r="H122" s="31"/>
      <c r="I122" s="31"/>
      <c r="J122" s="31"/>
      <c r="K122" s="31"/>
      <c r="L122" s="31"/>
      <c r="M122" s="31"/>
      <c r="N122" s="31"/>
      <c r="O122" s="31"/>
      <c r="P122" s="31"/>
      <c r="Q122" s="31"/>
      <c r="R122" s="31"/>
      <c r="S122" s="31"/>
      <c r="T122" s="31"/>
      <c r="U122" s="31"/>
      <c r="V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row>
    <row r="123" spans="1:59" x14ac:dyDescent="0.3">
      <c r="A123" s="31"/>
      <c r="B123" s="31"/>
      <c r="C123" s="31"/>
      <c r="D123" s="31"/>
      <c r="E123" s="31"/>
      <c r="F123" s="31"/>
      <c r="G123" s="31"/>
      <c r="H123" s="31"/>
      <c r="I123" s="31"/>
      <c r="J123" s="31"/>
      <c r="K123" s="31"/>
      <c r="L123" s="31"/>
      <c r="M123" s="31"/>
      <c r="N123" s="31"/>
      <c r="O123" s="31"/>
      <c r="P123" s="31"/>
      <c r="Q123" s="31"/>
      <c r="R123" s="31"/>
      <c r="S123" s="31"/>
      <c r="T123" s="31"/>
      <c r="U123" s="31"/>
      <c r="V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row>
    <row r="124" spans="1:59" x14ac:dyDescent="0.3">
      <c r="A124" s="31"/>
      <c r="B124" s="31"/>
      <c r="C124" s="31"/>
      <c r="D124" s="31"/>
      <c r="E124" s="31"/>
      <c r="F124" s="31"/>
      <c r="G124" s="31"/>
      <c r="H124" s="31"/>
      <c r="I124" s="31"/>
      <c r="J124" s="31"/>
      <c r="K124" s="31"/>
      <c r="L124" s="31"/>
      <c r="M124" s="31"/>
      <c r="N124" s="31"/>
      <c r="O124" s="31"/>
      <c r="P124" s="31"/>
      <c r="Q124" s="31"/>
      <c r="R124" s="31"/>
      <c r="S124" s="31"/>
      <c r="T124" s="31"/>
      <c r="U124" s="31"/>
      <c r="V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row>
    <row r="125" spans="1:59" x14ac:dyDescent="0.3">
      <c r="A125" s="31"/>
      <c r="B125" s="31"/>
      <c r="C125" s="31"/>
      <c r="D125" s="31"/>
      <c r="E125" s="31"/>
      <c r="F125" s="31"/>
      <c r="G125" s="31"/>
      <c r="H125" s="31"/>
      <c r="I125" s="31"/>
      <c r="J125" s="31"/>
      <c r="K125" s="31"/>
      <c r="L125" s="31"/>
      <c r="M125" s="31"/>
      <c r="N125" s="31"/>
      <c r="O125" s="31"/>
      <c r="P125" s="31"/>
      <c r="Q125" s="31"/>
      <c r="R125" s="31"/>
      <c r="S125" s="31"/>
      <c r="T125" s="31"/>
      <c r="U125" s="31"/>
      <c r="V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row>
    <row r="126" spans="1:59" x14ac:dyDescent="0.3">
      <c r="A126" s="31"/>
      <c r="B126" s="31"/>
      <c r="C126" s="31"/>
      <c r="D126" s="31"/>
      <c r="E126" s="31"/>
      <c r="F126" s="31"/>
      <c r="G126" s="31"/>
      <c r="H126" s="31"/>
      <c r="I126" s="31"/>
      <c r="J126" s="31"/>
      <c r="K126" s="31"/>
      <c r="L126" s="31"/>
      <c r="M126" s="31"/>
      <c r="N126" s="31"/>
      <c r="O126" s="31"/>
      <c r="P126" s="31"/>
      <c r="Q126" s="31"/>
      <c r="R126" s="31"/>
      <c r="S126" s="31"/>
      <c r="T126" s="31"/>
      <c r="U126" s="31"/>
      <c r="V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row>
    <row r="127" spans="1:59" x14ac:dyDescent="0.3">
      <c r="A127" s="31"/>
      <c r="B127" s="31"/>
      <c r="C127" s="31"/>
      <c r="D127" s="31"/>
      <c r="E127" s="31"/>
      <c r="F127" s="31"/>
      <c r="G127" s="31"/>
      <c r="H127" s="31"/>
      <c r="I127" s="31"/>
      <c r="J127" s="31"/>
      <c r="K127" s="31"/>
      <c r="L127" s="31"/>
      <c r="M127" s="31"/>
      <c r="N127" s="31"/>
      <c r="O127" s="31"/>
      <c r="P127" s="31"/>
      <c r="Q127" s="31"/>
      <c r="R127" s="31"/>
      <c r="S127" s="31"/>
      <c r="T127" s="31"/>
      <c r="U127" s="31"/>
      <c r="V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row>
    <row r="128" spans="1:59" x14ac:dyDescent="0.3">
      <c r="A128" s="31"/>
      <c r="B128" s="31"/>
      <c r="C128" s="31"/>
      <c r="D128" s="31"/>
      <c r="E128" s="31"/>
      <c r="F128" s="31"/>
      <c r="G128" s="31"/>
      <c r="H128" s="31"/>
      <c r="I128" s="31"/>
      <c r="J128" s="31"/>
      <c r="K128" s="31"/>
      <c r="L128" s="31"/>
      <c r="M128" s="31"/>
      <c r="N128" s="31"/>
      <c r="O128" s="31"/>
      <c r="P128" s="31"/>
      <c r="Q128" s="31"/>
      <c r="R128" s="31"/>
      <c r="S128" s="31"/>
      <c r="T128" s="31"/>
      <c r="U128" s="31"/>
      <c r="V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row>
    <row r="129" spans="1:59" x14ac:dyDescent="0.3">
      <c r="A129" s="31"/>
      <c r="B129" s="31"/>
      <c r="C129" s="31"/>
      <c r="D129" s="31"/>
      <c r="E129" s="31"/>
      <c r="F129" s="31"/>
      <c r="G129" s="31"/>
      <c r="H129" s="31"/>
      <c r="I129" s="31"/>
      <c r="J129" s="31"/>
      <c r="K129" s="31"/>
      <c r="L129" s="31"/>
      <c r="M129" s="31"/>
      <c r="N129" s="31"/>
      <c r="O129" s="31"/>
      <c r="P129" s="31"/>
      <c r="Q129" s="31"/>
      <c r="R129" s="31"/>
      <c r="S129" s="31"/>
      <c r="T129" s="31"/>
      <c r="U129" s="31"/>
      <c r="V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row>
    <row r="130" spans="1:59" x14ac:dyDescent="0.3">
      <c r="A130" s="31"/>
      <c r="B130" s="31"/>
      <c r="C130" s="31"/>
      <c r="D130" s="31"/>
      <c r="E130" s="31"/>
      <c r="F130" s="31"/>
      <c r="G130" s="31"/>
      <c r="H130" s="31"/>
      <c r="I130" s="31"/>
      <c r="J130" s="31"/>
      <c r="K130" s="31"/>
      <c r="L130" s="31"/>
      <c r="M130" s="31"/>
      <c r="N130" s="31"/>
      <c r="O130" s="31"/>
      <c r="P130" s="31"/>
      <c r="Q130" s="31"/>
      <c r="R130" s="31"/>
      <c r="S130" s="31"/>
      <c r="T130" s="31"/>
      <c r="U130" s="31"/>
      <c r="V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row>
    <row r="131" spans="1:59" x14ac:dyDescent="0.3">
      <c r="A131" s="31"/>
      <c r="B131" s="31"/>
      <c r="C131" s="31"/>
      <c r="D131" s="31"/>
      <c r="E131" s="31"/>
      <c r="F131" s="31"/>
      <c r="G131" s="31"/>
      <c r="H131" s="31"/>
      <c r="I131" s="31"/>
      <c r="J131" s="31"/>
      <c r="K131" s="31"/>
      <c r="L131" s="31"/>
      <c r="M131" s="31"/>
      <c r="N131" s="31"/>
      <c r="O131" s="31"/>
      <c r="P131" s="31"/>
      <c r="Q131" s="31"/>
      <c r="R131" s="31"/>
      <c r="S131" s="31"/>
      <c r="T131" s="31"/>
      <c r="U131" s="31"/>
      <c r="V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row>
    <row r="132" spans="1:59" x14ac:dyDescent="0.3">
      <c r="A132" s="31"/>
      <c r="B132" s="31"/>
      <c r="C132" s="31"/>
      <c r="D132" s="31"/>
      <c r="E132" s="31"/>
      <c r="F132" s="31"/>
      <c r="G132" s="31"/>
      <c r="H132" s="31"/>
      <c r="I132" s="31"/>
      <c r="J132" s="31"/>
      <c r="K132" s="31"/>
      <c r="L132" s="31"/>
      <c r="M132" s="31"/>
      <c r="N132" s="31"/>
      <c r="O132" s="31"/>
      <c r="P132" s="31"/>
      <c r="Q132" s="31"/>
      <c r="R132" s="31"/>
      <c r="S132" s="31"/>
      <c r="T132" s="31"/>
      <c r="U132" s="31"/>
      <c r="V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row>
    <row r="133" spans="1:59" x14ac:dyDescent="0.3">
      <c r="A133" s="31"/>
      <c r="B133" s="31"/>
      <c r="C133" s="31"/>
      <c r="D133" s="31"/>
      <c r="E133" s="31"/>
      <c r="F133" s="31"/>
      <c r="G133" s="31"/>
      <c r="H133" s="31"/>
      <c r="I133" s="31"/>
      <c r="J133" s="31"/>
      <c r="K133" s="31"/>
      <c r="L133" s="31"/>
      <c r="M133" s="31"/>
      <c r="N133" s="31"/>
      <c r="O133" s="31"/>
      <c r="P133" s="31"/>
      <c r="Q133" s="31"/>
      <c r="R133" s="31"/>
      <c r="S133" s="31"/>
      <c r="T133" s="31"/>
      <c r="U133" s="31"/>
      <c r="V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row>
    <row r="134" spans="1:59" x14ac:dyDescent="0.3">
      <c r="A134" s="31"/>
      <c r="B134" s="31"/>
      <c r="C134" s="31"/>
      <c r="D134" s="31"/>
      <c r="E134" s="31"/>
      <c r="F134" s="31"/>
      <c r="G134" s="31"/>
      <c r="H134" s="31"/>
      <c r="I134" s="31"/>
      <c r="J134" s="31"/>
      <c r="K134" s="31"/>
      <c r="L134" s="31"/>
      <c r="M134" s="31"/>
      <c r="N134" s="31"/>
      <c r="O134" s="31"/>
      <c r="P134" s="31"/>
      <c r="Q134" s="31"/>
      <c r="R134" s="31"/>
      <c r="S134" s="31"/>
      <c r="T134" s="31"/>
      <c r="U134" s="31"/>
      <c r="V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row>
    <row r="135" spans="1:59" x14ac:dyDescent="0.3">
      <c r="A135" s="31"/>
      <c r="B135" s="31"/>
      <c r="C135" s="31"/>
      <c r="D135" s="31"/>
      <c r="E135" s="31"/>
      <c r="F135" s="31"/>
      <c r="G135" s="31"/>
      <c r="H135" s="31"/>
      <c r="I135" s="31"/>
      <c r="J135" s="31"/>
      <c r="K135" s="31"/>
      <c r="L135" s="31"/>
      <c r="M135" s="31"/>
      <c r="N135" s="31"/>
      <c r="O135" s="31"/>
      <c r="P135" s="31"/>
      <c r="Q135" s="31"/>
      <c r="R135" s="31"/>
      <c r="S135" s="31"/>
      <c r="T135" s="31"/>
      <c r="U135" s="31"/>
      <c r="V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row>
    <row r="136" spans="1:59" x14ac:dyDescent="0.3">
      <c r="A136" s="31"/>
      <c r="B136" s="31"/>
      <c r="C136" s="31"/>
      <c r="D136" s="31"/>
      <c r="E136" s="31"/>
      <c r="F136" s="31"/>
      <c r="G136" s="31"/>
      <c r="H136" s="31"/>
      <c r="I136" s="31"/>
      <c r="J136" s="31"/>
      <c r="K136" s="31"/>
      <c r="L136" s="31"/>
      <c r="M136" s="31"/>
      <c r="N136" s="31"/>
      <c r="O136" s="31"/>
      <c r="P136" s="31"/>
      <c r="Q136" s="31"/>
      <c r="R136" s="31"/>
      <c r="S136" s="31"/>
      <c r="T136" s="31"/>
      <c r="U136" s="31"/>
      <c r="V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row>
    <row r="137" spans="1:59" x14ac:dyDescent="0.3">
      <c r="A137" s="31"/>
      <c r="B137" s="31"/>
      <c r="C137" s="31"/>
      <c r="D137" s="31"/>
      <c r="E137" s="31"/>
      <c r="F137" s="31"/>
      <c r="G137" s="31"/>
      <c r="H137" s="31"/>
      <c r="I137" s="31"/>
      <c r="J137" s="31"/>
      <c r="K137" s="31"/>
      <c r="L137" s="31"/>
      <c r="M137" s="31"/>
      <c r="N137" s="31"/>
      <c r="O137" s="31"/>
      <c r="P137" s="31"/>
      <c r="Q137" s="31"/>
      <c r="R137" s="31"/>
      <c r="S137" s="31"/>
      <c r="T137" s="31"/>
      <c r="U137" s="31"/>
      <c r="V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row>
    <row r="138" spans="1:59" x14ac:dyDescent="0.3">
      <c r="A138" s="31"/>
      <c r="B138" s="31"/>
      <c r="C138" s="31"/>
      <c r="D138" s="31"/>
      <c r="E138" s="31"/>
      <c r="F138" s="31"/>
      <c r="G138" s="31"/>
      <c r="H138" s="31"/>
      <c r="I138" s="31"/>
      <c r="J138" s="31"/>
      <c r="K138" s="31"/>
      <c r="L138" s="31"/>
      <c r="M138" s="31"/>
      <c r="N138" s="31"/>
      <c r="O138" s="31"/>
      <c r="P138" s="31"/>
      <c r="Q138" s="31"/>
      <c r="R138" s="31"/>
      <c r="S138" s="31"/>
      <c r="T138" s="31"/>
      <c r="U138" s="31"/>
      <c r="V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row>
    <row r="139" spans="1:59" x14ac:dyDescent="0.3">
      <c r="A139" s="31"/>
      <c r="B139" s="31"/>
      <c r="C139" s="31"/>
      <c r="D139" s="31"/>
      <c r="E139" s="31"/>
      <c r="F139" s="31"/>
      <c r="G139" s="31"/>
      <c r="H139" s="31"/>
      <c r="I139" s="31"/>
      <c r="J139" s="31"/>
      <c r="K139" s="31"/>
      <c r="L139" s="31"/>
      <c r="M139" s="31"/>
      <c r="N139" s="31"/>
      <c r="O139" s="31"/>
      <c r="P139" s="31"/>
      <c r="Q139" s="31"/>
      <c r="R139" s="31"/>
      <c r="S139" s="31"/>
      <c r="T139" s="31"/>
      <c r="U139" s="31"/>
      <c r="V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row>
    <row r="140" spans="1:59" x14ac:dyDescent="0.3">
      <c r="A140" s="31"/>
      <c r="B140" s="31"/>
      <c r="C140" s="31"/>
      <c r="D140" s="31"/>
      <c r="E140" s="31"/>
      <c r="F140" s="31"/>
      <c r="G140" s="31"/>
      <c r="H140" s="31"/>
      <c r="I140" s="31"/>
      <c r="J140" s="31"/>
      <c r="K140" s="31"/>
      <c r="L140" s="31"/>
      <c r="M140" s="31"/>
      <c r="N140" s="31"/>
      <c r="O140" s="31"/>
      <c r="P140" s="31"/>
      <c r="Q140" s="31"/>
      <c r="R140" s="31"/>
      <c r="S140" s="31"/>
      <c r="T140" s="31"/>
      <c r="U140" s="31"/>
      <c r="V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row>
    <row r="141" spans="1:59" x14ac:dyDescent="0.3">
      <c r="A141" s="31"/>
      <c r="B141" s="31"/>
      <c r="C141" s="31"/>
      <c r="D141" s="31"/>
      <c r="E141" s="31"/>
      <c r="F141" s="31"/>
      <c r="G141" s="31"/>
      <c r="H141" s="31"/>
      <c r="I141" s="31"/>
      <c r="J141" s="31"/>
      <c r="K141" s="31"/>
      <c r="L141" s="31"/>
      <c r="M141" s="31"/>
      <c r="N141" s="31"/>
      <c r="O141" s="31"/>
      <c r="P141" s="31"/>
      <c r="Q141" s="31"/>
      <c r="R141" s="31"/>
      <c r="S141" s="31"/>
      <c r="T141" s="31"/>
      <c r="U141" s="31"/>
      <c r="V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row>
    <row r="142" spans="1:59" x14ac:dyDescent="0.3">
      <c r="A142" s="31"/>
      <c r="B142" s="31"/>
      <c r="C142" s="31"/>
      <c r="D142" s="31"/>
      <c r="E142" s="31"/>
      <c r="F142" s="31"/>
      <c r="G142" s="31"/>
      <c r="H142" s="31"/>
      <c r="I142" s="31"/>
      <c r="J142" s="31"/>
      <c r="K142" s="31"/>
      <c r="L142" s="31"/>
      <c r="M142" s="31"/>
      <c r="N142" s="31"/>
      <c r="O142" s="31"/>
      <c r="P142" s="31"/>
      <c r="Q142" s="31"/>
      <c r="R142" s="31"/>
      <c r="S142" s="31"/>
      <c r="T142" s="31"/>
      <c r="U142" s="31"/>
      <c r="V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row>
    <row r="143" spans="1:59" x14ac:dyDescent="0.3">
      <c r="A143" s="31"/>
      <c r="B143" s="31"/>
      <c r="C143" s="31"/>
      <c r="D143" s="31"/>
      <c r="E143" s="31"/>
      <c r="F143" s="31"/>
      <c r="G143" s="31"/>
      <c r="H143" s="31"/>
      <c r="I143" s="31"/>
      <c r="J143" s="31"/>
      <c r="K143" s="31"/>
      <c r="L143" s="31"/>
      <c r="M143" s="31"/>
      <c r="N143" s="31"/>
      <c r="O143" s="31"/>
      <c r="P143" s="31"/>
      <c r="Q143" s="31"/>
      <c r="R143" s="31"/>
      <c r="S143" s="31"/>
      <c r="T143" s="31"/>
      <c r="U143" s="31"/>
      <c r="V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row>
    <row r="144" spans="1:59" x14ac:dyDescent="0.3">
      <c r="A144" s="31"/>
      <c r="B144" s="31"/>
      <c r="C144" s="31"/>
      <c r="D144" s="31"/>
      <c r="E144" s="31"/>
      <c r="F144" s="31"/>
      <c r="G144" s="31"/>
      <c r="H144" s="31"/>
      <c r="I144" s="31"/>
      <c r="J144" s="31"/>
      <c r="K144" s="31"/>
      <c r="L144" s="31"/>
      <c r="M144" s="31"/>
      <c r="N144" s="31"/>
      <c r="O144" s="31"/>
      <c r="P144" s="31"/>
      <c r="Q144" s="31"/>
      <c r="R144" s="31"/>
      <c r="S144" s="31"/>
      <c r="T144" s="31"/>
      <c r="U144" s="31"/>
      <c r="V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row>
    <row r="145" spans="1:59" x14ac:dyDescent="0.3">
      <c r="A145" s="31"/>
      <c r="B145" s="31"/>
      <c r="C145" s="31"/>
      <c r="D145" s="31"/>
      <c r="E145" s="31"/>
      <c r="F145" s="31"/>
      <c r="G145" s="31"/>
      <c r="H145" s="31"/>
      <c r="I145" s="31"/>
      <c r="J145" s="31"/>
      <c r="K145" s="31"/>
      <c r="L145" s="31"/>
      <c r="M145" s="31"/>
      <c r="N145" s="31"/>
      <c r="O145" s="31"/>
      <c r="P145" s="31"/>
      <c r="Q145" s="31"/>
      <c r="R145" s="31"/>
      <c r="S145" s="31"/>
      <c r="T145" s="31"/>
      <c r="U145" s="31"/>
      <c r="V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row>
    <row r="146" spans="1:59" x14ac:dyDescent="0.3">
      <c r="A146" s="31"/>
      <c r="B146" s="31"/>
      <c r="C146" s="31"/>
      <c r="D146" s="31"/>
      <c r="E146" s="31"/>
      <c r="F146" s="31"/>
      <c r="G146" s="31"/>
      <c r="H146" s="31"/>
      <c r="I146" s="31"/>
      <c r="J146" s="31"/>
      <c r="K146" s="31"/>
      <c r="L146" s="31"/>
      <c r="M146" s="31"/>
      <c r="N146" s="31"/>
      <c r="O146" s="31"/>
      <c r="P146" s="31"/>
      <c r="Q146" s="31"/>
      <c r="R146" s="31"/>
      <c r="S146" s="31"/>
      <c r="T146" s="31"/>
      <c r="U146" s="31"/>
      <c r="V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row>
    <row r="147" spans="1:59" x14ac:dyDescent="0.3">
      <c r="A147" s="31"/>
      <c r="B147" s="31"/>
      <c r="C147" s="31"/>
      <c r="D147" s="31"/>
      <c r="E147" s="31"/>
      <c r="F147" s="31"/>
      <c r="G147" s="31"/>
      <c r="H147" s="31"/>
      <c r="I147" s="31"/>
      <c r="J147" s="31"/>
      <c r="K147" s="31"/>
      <c r="L147" s="31"/>
      <c r="M147" s="31"/>
      <c r="N147" s="31"/>
      <c r="O147" s="31"/>
      <c r="P147" s="31"/>
      <c r="Q147" s="31"/>
      <c r="R147" s="31"/>
      <c r="S147" s="31"/>
      <c r="T147" s="31"/>
      <c r="U147" s="31"/>
      <c r="V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row>
    <row r="148" spans="1:59" x14ac:dyDescent="0.3">
      <c r="A148" s="31"/>
      <c r="B148" s="31"/>
      <c r="C148" s="31"/>
      <c r="D148" s="31"/>
      <c r="E148" s="31"/>
      <c r="F148" s="31"/>
      <c r="G148" s="31"/>
      <c r="H148" s="31"/>
      <c r="I148" s="31"/>
      <c r="J148" s="31"/>
      <c r="K148" s="31"/>
      <c r="L148" s="31"/>
      <c r="M148" s="31"/>
      <c r="N148" s="31"/>
      <c r="O148" s="31"/>
      <c r="P148" s="31"/>
      <c r="Q148" s="31"/>
      <c r="R148" s="31"/>
      <c r="S148" s="31"/>
      <c r="T148" s="31"/>
      <c r="U148" s="31"/>
      <c r="V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row>
    <row r="149" spans="1:59" x14ac:dyDescent="0.3">
      <c r="A149" s="31"/>
      <c r="B149" s="31"/>
      <c r="C149" s="31"/>
      <c r="D149" s="31"/>
      <c r="E149" s="31"/>
      <c r="F149" s="31"/>
      <c r="G149" s="31"/>
      <c r="H149" s="31"/>
      <c r="I149" s="31"/>
      <c r="J149" s="31"/>
      <c r="K149" s="31"/>
      <c r="L149" s="31"/>
      <c r="M149" s="31"/>
      <c r="N149" s="31"/>
      <c r="O149" s="31"/>
      <c r="P149" s="31"/>
      <c r="Q149" s="31"/>
      <c r="R149" s="31"/>
      <c r="S149" s="31"/>
      <c r="T149" s="31"/>
      <c r="U149" s="31"/>
      <c r="V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row>
    <row r="150" spans="1:59" x14ac:dyDescent="0.3">
      <c r="A150" s="31"/>
      <c r="B150" s="31"/>
      <c r="C150" s="31"/>
      <c r="D150" s="31"/>
      <c r="E150" s="31"/>
      <c r="F150" s="31"/>
      <c r="G150" s="31"/>
      <c r="H150" s="31"/>
      <c r="I150" s="31"/>
      <c r="J150" s="31"/>
      <c r="K150" s="31"/>
      <c r="L150" s="31"/>
      <c r="M150" s="31"/>
      <c r="N150" s="31"/>
      <c r="O150" s="31"/>
      <c r="P150" s="31"/>
      <c r="Q150" s="31"/>
      <c r="R150" s="31"/>
      <c r="S150" s="31"/>
      <c r="T150" s="31"/>
      <c r="U150" s="31"/>
      <c r="V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row>
    <row r="151" spans="1:59" x14ac:dyDescent="0.3">
      <c r="A151" s="31"/>
      <c r="B151" s="31"/>
      <c r="C151" s="31"/>
      <c r="D151" s="31"/>
      <c r="E151" s="31"/>
      <c r="F151" s="31"/>
      <c r="G151" s="31"/>
      <c r="H151" s="31"/>
      <c r="I151" s="31"/>
      <c r="J151" s="31"/>
      <c r="K151" s="31"/>
      <c r="L151" s="31"/>
      <c r="M151" s="31"/>
      <c r="N151" s="31"/>
      <c r="O151" s="31"/>
      <c r="P151" s="31"/>
      <c r="Q151" s="31"/>
      <c r="R151" s="31"/>
      <c r="S151" s="31"/>
      <c r="T151" s="31"/>
      <c r="U151" s="31"/>
      <c r="V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row>
    <row r="152" spans="1:59" x14ac:dyDescent="0.3">
      <c r="A152" s="31"/>
      <c r="B152" s="31"/>
      <c r="C152" s="31"/>
      <c r="D152" s="31"/>
      <c r="E152" s="31"/>
      <c r="F152" s="31"/>
      <c r="G152" s="31"/>
      <c r="H152" s="31"/>
      <c r="I152" s="31"/>
      <c r="J152" s="31"/>
      <c r="K152" s="31"/>
      <c r="L152" s="31"/>
      <c r="M152" s="31"/>
      <c r="N152" s="31"/>
      <c r="O152" s="31"/>
      <c r="P152" s="31"/>
      <c r="Q152" s="31"/>
      <c r="R152" s="31"/>
      <c r="S152" s="31"/>
      <c r="T152" s="31"/>
      <c r="U152" s="31"/>
      <c r="V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row>
    <row r="153" spans="1:59" x14ac:dyDescent="0.3">
      <c r="A153" s="31"/>
      <c r="B153" s="31"/>
      <c r="C153" s="31"/>
      <c r="D153" s="31"/>
      <c r="E153" s="31"/>
      <c r="F153" s="31"/>
      <c r="G153" s="31"/>
      <c r="H153" s="31"/>
      <c r="I153" s="31"/>
      <c r="J153" s="31"/>
      <c r="K153" s="31"/>
      <c r="L153" s="31"/>
      <c r="M153" s="31"/>
      <c r="N153" s="31"/>
      <c r="O153" s="31"/>
      <c r="P153" s="31"/>
      <c r="Q153" s="31"/>
      <c r="R153" s="31"/>
      <c r="S153" s="31"/>
      <c r="T153" s="31"/>
      <c r="U153" s="31"/>
      <c r="V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row>
    <row r="154" spans="1:59" x14ac:dyDescent="0.3">
      <c r="A154" s="31"/>
      <c r="B154" s="31"/>
      <c r="C154" s="31"/>
      <c r="D154" s="31"/>
      <c r="E154" s="31"/>
      <c r="F154" s="31"/>
      <c r="G154" s="31"/>
      <c r="H154" s="31"/>
      <c r="I154" s="31"/>
      <c r="J154" s="31"/>
      <c r="K154" s="31"/>
      <c r="L154" s="31"/>
      <c r="M154" s="31"/>
      <c r="N154" s="31"/>
      <c r="O154" s="31"/>
      <c r="P154" s="31"/>
      <c r="Q154" s="31"/>
      <c r="R154" s="31"/>
      <c r="S154" s="31"/>
      <c r="T154" s="31"/>
      <c r="U154" s="31"/>
      <c r="V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row>
    <row r="155" spans="1:59" x14ac:dyDescent="0.3">
      <c r="A155" s="31"/>
      <c r="B155" s="31"/>
      <c r="C155" s="31"/>
      <c r="D155" s="31"/>
      <c r="E155" s="31"/>
      <c r="F155" s="31"/>
      <c r="G155" s="31"/>
      <c r="H155" s="31"/>
      <c r="I155" s="31"/>
      <c r="J155" s="31"/>
      <c r="K155" s="31"/>
      <c r="L155" s="31"/>
      <c r="M155" s="31"/>
      <c r="N155" s="31"/>
      <c r="O155" s="31"/>
      <c r="P155" s="31"/>
      <c r="Q155" s="31"/>
      <c r="R155" s="31"/>
      <c r="S155" s="31"/>
      <c r="T155" s="31"/>
      <c r="U155" s="31"/>
      <c r="V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row>
    <row r="156" spans="1:59" x14ac:dyDescent="0.3">
      <c r="A156" s="31"/>
      <c r="B156" s="31"/>
      <c r="C156" s="31"/>
      <c r="D156" s="31"/>
      <c r="E156" s="31"/>
      <c r="F156" s="31"/>
      <c r="G156" s="31"/>
      <c r="H156" s="31"/>
      <c r="I156" s="31"/>
      <c r="J156" s="31"/>
      <c r="K156" s="31"/>
      <c r="L156" s="31"/>
      <c r="M156" s="31"/>
      <c r="N156" s="31"/>
      <c r="O156" s="31"/>
      <c r="P156" s="31"/>
      <c r="Q156" s="31"/>
      <c r="R156" s="31"/>
      <c r="S156" s="31"/>
      <c r="T156" s="31"/>
      <c r="U156" s="31"/>
      <c r="V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row>
    <row r="157" spans="1:59" x14ac:dyDescent="0.3">
      <c r="A157" s="31"/>
      <c r="B157" s="31"/>
      <c r="C157" s="31"/>
      <c r="D157" s="31"/>
      <c r="E157" s="31"/>
      <c r="F157" s="31"/>
      <c r="G157" s="31"/>
      <c r="H157" s="31"/>
      <c r="I157" s="31"/>
      <c r="J157" s="31"/>
      <c r="K157" s="31"/>
      <c r="L157" s="31"/>
      <c r="M157" s="31"/>
      <c r="N157" s="31"/>
      <c r="O157" s="31"/>
      <c r="P157" s="31"/>
      <c r="Q157" s="31"/>
      <c r="R157" s="31"/>
      <c r="S157" s="31"/>
      <c r="T157" s="31"/>
      <c r="U157" s="31"/>
      <c r="V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row>
    <row r="158" spans="1:59" x14ac:dyDescent="0.3">
      <c r="A158" s="31"/>
      <c r="B158" s="31"/>
      <c r="C158" s="31"/>
      <c r="D158" s="31"/>
      <c r="E158" s="31"/>
      <c r="F158" s="31"/>
      <c r="G158" s="31"/>
      <c r="H158" s="31"/>
      <c r="I158" s="31"/>
      <c r="J158" s="31"/>
      <c r="K158" s="31"/>
      <c r="L158" s="31"/>
      <c r="M158" s="31"/>
      <c r="N158" s="31"/>
      <c r="O158" s="31"/>
      <c r="P158" s="31"/>
      <c r="Q158" s="31"/>
      <c r="R158" s="31"/>
      <c r="S158" s="31"/>
      <c r="T158" s="31"/>
      <c r="U158" s="31"/>
      <c r="V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row>
    <row r="159" spans="1:59" x14ac:dyDescent="0.3">
      <c r="A159" s="31"/>
      <c r="B159" s="31"/>
      <c r="C159" s="31"/>
      <c r="D159" s="31"/>
      <c r="E159" s="31"/>
      <c r="F159" s="31"/>
      <c r="G159" s="31"/>
      <c r="H159" s="31"/>
      <c r="I159" s="31"/>
      <c r="J159" s="31"/>
      <c r="K159" s="31"/>
      <c r="L159" s="31"/>
      <c r="M159" s="31"/>
      <c r="N159" s="31"/>
      <c r="O159" s="31"/>
      <c r="P159" s="31"/>
      <c r="Q159" s="31"/>
      <c r="R159" s="31"/>
      <c r="S159" s="31"/>
      <c r="T159" s="31"/>
      <c r="U159" s="31"/>
      <c r="V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row>
    <row r="160" spans="1:59" x14ac:dyDescent="0.3">
      <c r="A160" s="31"/>
      <c r="B160" s="31"/>
      <c r="C160" s="31"/>
      <c r="D160" s="31"/>
      <c r="E160" s="31"/>
      <c r="F160" s="31"/>
      <c r="G160" s="31"/>
      <c r="H160" s="31"/>
      <c r="I160" s="31"/>
      <c r="J160" s="31"/>
      <c r="K160" s="31"/>
      <c r="L160" s="31"/>
      <c r="M160" s="31"/>
      <c r="N160" s="31"/>
      <c r="O160" s="31"/>
      <c r="P160" s="31"/>
      <c r="Q160" s="31"/>
      <c r="R160" s="31"/>
      <c r="S160" s="31"/>
      <c r="T160" s="31"/>
      <c r="U160" s="31"/>
      <c r="V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row>
    <row r="161" spans="1:59" x14ac:dyDescent="0.3">
      <c r="A161" s="31"/>
      <c r="B161" s="31"/>
      <c r="C161" s="31"/>
      <c r="D161" s="31"/>
      <c r="E161" s="31"/>
      <c r="F161" s="31"/>
      <c r="G161" s="31"/>
      <c r="H161" s="31"/>
      <c r="I161" s="31"/>
      <c r="J161" s="31"/>
      <c r="K161" s="31"/>
      <c r="L161" s="31"/>
      <c r="M161" s="31"/>
      <c r="N161" s="31"/>
      <c r="O161" s="31"/>
      <c r="P161" s="31"/>
      <c r="Q161" s="31"/>
      <c r="R161" s="31"/>
      <c r="S161" s="31"/>
      <c r="T161" s="31"/>
      <c r="U161" s="31"/>
      <c r="V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row>
    <row r="162" spans="1:59" x14ac:dyDescent="0.3">
      <c r="A162" s="31"/>
      <c r="B162" s="31"/>
      <c r="C162" s="31"/>
      <c r="D162" s="31"/>
      <c r="E162" s="31"/>
      <c r="F162" s="31"/>
      <c r="G162" s="31"/>
      <c r="H162" s="31"/>
      <c r="I162" s="31"/>
      <c r="J162" s="31"/>
      <c r="K162" s="31"/>
      <c r="L162" s="31"/>
      <c r="M162" s="31"/>
      <c r="N162" s="31"/>
      <c r="O162" s="31"/>
      <c r="P162" s="31"/>
      <c r="Q162" s="31"/>
      <c r="R162" s="31"/>
      <c r="S162" s="31"/>
      <c r="T162" s="31"/>
      <c r="U162" s="31"/>
      <c r="V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row>
    <row r="163" spans="1:59" x14ac:dyDescent="0.3">
      <c r="A163" s="31"/>
      <c r="B163" s="31"/>
      <c r="C163" s="31"/>
      <c r="D163" s="31"/>
      <c r="E163" s="31"/>
      <c r="F163" s="31"/>
      <c r="G163" s="31"/>
      <c r="H163" s="31"/>
      <c r="I163" s="31"/>
      <c r="J163" s="31"/>
      <c r="K163" s="31"/>
      <c r="L163" s="31"/>
      <c r="M163" s="31"/>
      <c r="N163" s="31"/>
      <c r="O163" s="31"/>
      <c r="P163" s="31"/>
      <c r="Q163" s="31"/>
      <c r="R163" s="31"/>
      <c r="S163" s="31"/>
      <c r="T163" s="31"/>
      <c r="U163" s="31"/>
      <c r="V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row>
    <row r="164" spans="1:59" x14ac:dyDescent="0.3">
      <c r="A164" s="31"/>
      <c r="B164" s="31"/>
      <c r="C164" s="31"/>
      <c r="D164" s="31"/>
      <c r="E164" s="31"/>
      <c r="F164" s="31"/>
      <c r="G164" s="31"/>
      <c r="H164" s="31"/>
      <c r="I164" s="31"/>
      <c r="J164" s="31"/>
      <c r="K164" s="31"/>
      <c r="L164" s="31"/>
      <c r="M164" s="31"/>
      <c r="N164" s="31"/>
      <c r="O164" s="31"/>
      <c r="P164" s="31"/>
      <c r="Q164" s="31"/>
      <c r="R164" s="31"/>
      <c r="S164" s="31"/>
      <c r="T164" s="31"/>
      <c r="U164" s="31"/>
      <c r="V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row>
    <row r="165" spans="1:59" x14ac:dyDescent="0.3">
      <c r="A165" s="31"/>
      <c r="B165" s="31"/>
      <c r="C165" s="31"/>
      <c r="D165" s="31"/>
      <c r="E165" s="31"/>
      <c r="F165" s="31"/>
      <c r="G165" s="31"/>
      <c r="H165" s="31"/>
      <c r="I165" s="31"/>
      <c r="J165" s="31"/>
      <c r="K165" s="31"/>
      <c r="L165" s="31"/>
      <c r="M165" s="31"/>
      <c r="N165" s="31"/>
      <c r="O165" s="31"/>
      <c r="P165" s="31"/>
      <c r="Q165" s="31"/>
      <c r="R165" s="31"/>
      <c r="S165" s="31"/>
      <c r="T165" s="31"/>
      <c r="U165" s="31"/>
      <c r="V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row>
    <row r="166" spans="1:59" x14ac:dyDescent="0.3">
      <c r="A166" s="31"/>
      <c r="B166" s="31"/>
      <c r="C166" s="31"/>
      <c r="D166" s="31"/>
      <c r="E166" s="31"/>
      <c r="F166" s="31"/>
      <c r="G166" s="31"/>
      <c r="H166" s="31"/>
      <c r="I166" s="31"/>
      <c r="J166" s="31"/>
      <c r="K166" s="31"/>
      <c r="L166" s="31"/>
      <c r="M166" s="31"/>
      <c r="N166" s="31"/>
      <c r="O166" s="31"/>
      <c r="P166" s="31"/>
      <c r="Q166" s="31"/>
      <c r="R166" s="31"/>
      <c r="S166" s="31"/>
      <c r="T166" s="31"/>
      <c r="U166" s="31"/>
      <c r="V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row>
    <row r="167" spans="1:59" x14ac:dyDescent="0.3">
      <c r="A167" s="31"/>
      <c r="B167" s="31"/>
      <c r="C167" s="31"/>
      <c r="D167" s="31"/>
      <c r="E167" s="31"/>
      <c r="F167" s="31"/>
      <c r="G167" s="31"/>
      <c r="H167" s="31"/>
      <c r="I167" s="31"/>
      <c r="J167" s="31"/>
      <c r="K167" s="31"/>
      <c r="L167" s="31"/>
      <c r="M167" s="31"/>
      <c r="N167" s="31"/>
      <c r="O167" s="31"/>
      <c r="P167" s="31"/>
      <c r="Q167" s="31"/>
      <c r="R167" s="31"/>
      <c r="S167" s="31"/>
      <c r="T167" s="31"/>
      <c r="U167" s="31"/>
      <c r="V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row>
    <row r="168" spans="1:59" x14ac:dyDescent="0.3">
      <c r="A168" s="31"/>
      <c r="B168" s="31"/>
      <c r="C168" s="31"/>
      <c r="D168" s="31"/>
      <c r="E168" s="31"/>
      <c r="F168" s="31"/>
      <c r="G168" s="31"/>
      <c r="H168" s="31"/>
      <c r="I168" s="31"/>
      <c r="J168" s="31"/>
      <c r="K168" s="31"/>
      <c r="L168" s="31"/>
      <c r="M168" s="31"/>
      <c r="N168" s="31"/>
      <c r="O168" s="31"/>
      <c r="P168" s="31"/>
      <c r="Q168" s="31"/>
      <c r="R168" s="31"/>
      <c r="S168" s="31"/>
      <c r="T168" s="31"/>
      <c r="U168" s="31"/>
      <c r="V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row>
    <row r="169" spans="1:59" x14ac:dyDescent="0.3">
      <c r="A169" s="31"/>
      <c r="B169" s="31"/>
      <c r="C169" s="31"/>
      <c r="D169" s="31"/>
      <c r="E169" s="31"/>
      <c r="F169" s="31"/>
      <c r="G169" s="31"/>
      <c r="H169" s="31"/>
      <c r="I169" s="31"/>
      <c r="J169" s="31"/>
      <c r="K169" s="31"/>
      <c r="L169" s="31"/>
      <c r="M169" s="31"/>
      <c r="N169" s="31"/>
      <c r="O169" s="31"/>
      <c r="P169" s="31"/>
      <c r="Q169" s="31"/>
      <c r="R169" s="31"/>
      <c r="S169" s="31"/>
      <c r="T169" s="31"/>
      <c r="U169" s="31"/>
      <c r="V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row>
    <row r="170" spans="1:59" x14ac:dyDescent="0.3">
      <c r="A170" s="31"/>
      <c r="B170" s="31"/>
      <c r="C170" s="31"/>
      <c r="D170" s="31"/>
      <c r="E170" s="31"/>
      <c r="F170" s="31"/>
      <c r="G170" s="31"/>
      <c r="H170" s="31"/>
      <c r="I170" s="31"/>
      <c r="J170" s="31"/>
      <c r="K170" s="31"/>
      <c r="L170" s="31"/>
      <c r="M170" s="31"/>
      <c r="N170" s="31"/>
      <c r="O170" s="31"/>
      <c r="P170" s="31"/>
      <c r="Q170" s="31"/>
      <c r="R170" s="31"/>
      <c r="S170" s="31"/>
      <c r="T170" s="31"/>
      <c r="U170" s="31"/>
      <c r="V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row>
    <row r="171" spans="1:59" x14ac:dyDescent="0.3">
      <c r="A171" s="31"/>
      <c r="B171" s="31"/>
      <c r="C171" s="31"/>
      <c r="D171" s="31"/>
      <c r="E171" s="31"/>
      <c r="F171" s="31"/>
      <c r="G171" s="31"/>
      <c r="H171" s="31"/>
      <c r="I171" s="31"/>
      <c r="J171" s="31"/>
      <c r="K171" s="31"/>
      <c r="L171" s="31"/>
      <c r="M171" s="31"/>
      <c r="N171" s="31"/>
      <c r="O171" s="31"/>
      <c r="P171" s="31"/>
      <c r="Q171" s="31"/>
      <c r="R171" s="31"/>
      <c r="S171" s="31"/>
      <c r="T171" s="31"/>
      <c r="U171" s="31"/>
      <c r="V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row>
    <row r="172" spans="1:59" x14ac:dyDescent="0.3">
      <c r="A172" s="31"/>
      <c r="B172" s="31"/>
      <c r="C172" s="31"/>
      <c r="D172" s="31"/>
      <c r="E172" s="31"/>
      <c r="F172" s="31"/>
      <c r="G172" s="31"/>
      <c r="H172" s="31"/>
      <c r="I172" s="31"/>
      <c r="J172" s="31"/>
      <c r="K172" s="31"/>
      <c r="L172" s="31"/>
      <c r="M172" s="31"/>
      <c r="N172" s="31"/>
      <c r="O172" s="31"/>
      <c r="P172" s="31"/>
      <c r="Q172" s="31"/>
      <c r="R172" s="31"/>
      <c r="S172" s="31"/>
      <c r="T172" s="31"/>
      <c r="U172" s="31"/>
      <c r="V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row>
    <row r="173" spans="1:59" x14ac:dyDescent="0.3">
      <c r="A173" s="31"/>
      <c r="B173" s="31"/>
      <c r="C173" s="31"/>
      <c r="D173" s="31"/>
      <c r="E173" s="31"/>
      <c r="F173" s="31"/>
      <c r="G173" s="31"/>
      <c r="H173" s="31"/>
      <c r="I173" s="31"/>
      <c r="J173" s="31"/>
      <c r="K173" s="31"/>
      <c r="L173" s="31"/>
      <c r="M173" s="31"/>
      <c r="N173" s="31"/>
      <c r="O173" s="31"/>
      <c r="P173" s="31"/>
      <c r="Q173" s="31"/>
      <c r="R173" s="31"/>
      <c r="S173" s="31"/>
      <c r="T173" s="31"/>
      <c r="U173" s="31"/>
      <c r="V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row>
    <row r="174" spans="1:59" x14ac:dyDescent="0.3">
      <c r="A174" s="31"/>
      <c r="B174" s="31"/>
      <c r="C174" s="31"/>
      <c r="D174" s="31"/>
      <c r="E174" s="31"/>
      <c r="F174" s="31"/>
      <c r="G174" s="31"/>
      <c r="H174" s="31"/>
      <c r="I174" s="31"/>
      <c r="J174" s="31"/>
      <c r="K174" s="31"/>
      <c r="L174" s="31"/>
      <c r="M174" s="31"/>
      <c r="N174" s="31"/>
      <c r="O174" s="31"/>
      <c r="P174" s="31"/>
      <c r="Q174" s="31"/>
      <c r="R174" s="31"/>
      <c r="S174" s="31"/>
      <c r="T174" s="31"/>
      <c r="U174" s="31"/>
      <c r="V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row>
    <row r="175" spans="1:59" x14ac:dyDescent="0.3">
      <c r="A175" s="31"/>
      <c r="B175" s="31"/>
      <c r="C175" s="31"/>
      <c r="D175" s="31"/>
      <c r="E175" s="31"/>
      <c r="F175" s="31"/>
      <c r="G175" s="31"/>
      <c r="H175" s="31"/>
      <c r="I175" s="31"/>
      <c r="J175" s="31"/>
      <c r="K175" s="31"/>
      <c r="L175" s="31"/>
      <c r="M175" s="31"/>
      <c r="N175" s="31"/>
      <c r="O175" s="31"/>
      <c r="P175" s="31"/>
      <c r="Q175" s="31"/>
      <c r="R175" s="31"/>
      <c r="S175" s="31"/>
      <c r="T175" s="31"/>
      <c r="U175" s="31"/>
      <c r="V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row>
    <row r="176" spans="1:59" x14ac:dyDescent="0.3">
      <c r="A176" s="31"/>
      <c r="B176" s="31"/>
      <c r="C176" s="31"/>
      <c r="D176" s="31"/>
      <c r="E176" s="31"/>
      <c r="F176" s="31"/>
      <c r="G176" s="31"/>
      <c r="H176" s="31"/>
      <c r="I176" s="31"/>
      <c r="J176" s="31"/>
      <c r="K176" s="31"/>
      <c r="L176" s="31"/>
      <c r="M176" s="31"/>
      <c r="N176" s="31"/>
      <c r="O176" s="31"/>
      <c r="P176" s="31"/>
      <c r="Q176" s="31"/>
      <c r="R176" s="31"/>
      <c r="S176" s="31"/>
      <c r="T176" s="31"/>
      <c r="U176" s="31"/>
      <c r="V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row>
    <row r="177" spans="1:59" x14ac:dyDescent="0.3">
      <c r="A177" s="31"/>
      <c r="B177" s="31"/>
      <c r="C177" s="31"/>
      <c r="D177" s="31"/>
      <c r="E177" s="31"/>
      <c r="F177" s="31"/>
      <c r="G177" s="31"/>
      <c r="H177" s="31"/>
      <c r="I177" s="31"/>
      <c r="J177" s="31"/>
      <c r="K177" s="31"/>
      <c r="L177" s="31"/>
      <c r="M177" s="31"/>
      <c r="N177" s="31"/>
      <c r="O177" s="31"/>
      <c r="P177" s="31"/>
      <c r="Q177" s="31"/>
      <c r="R177" s="31"/>
      <c r="S177" s="31"/>
      <c r="T177" s="31"/>
      <c r="U177" s="31"/>
      <c r="V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row>
    <row r="178" spans="1:59" x14ac:dyDescent="0.3">
      <c r="A178" s="31"/>
      <c r="B178" s="31"/>
      <c r="C178" s="31"/>
      <c r="D178" s="31"/>
      <c r="E178" s="31"/>
      <c r="F178" s="31"/>
      <c r="G178" s="31"/>
      <c r="H178" s="31"/>
      <c r="I178" s="31"/>
      <c r="J178" s="31"/>
      <c r="K178" s="31"/>
      <c r="L178" s="31"/>
      <c r="M178" s="31"/>
      <c r="N178" s="31"/>
      <c r="O178" s="31"/>
      <c r="P178" s="31"/>
      <c r="Q178" s="31"/>
      <c r="R178" s="31"/>
      <c r="S178" s="31"/>
      <c r="T178" s="31"/>
      <c r="U178" s="31"/>
      <c r="V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row>
    <row r="179" spans="1:59" x14ac:dyDescent="0.3">
      <c r="A179" s="31"/>
      <c r="B179" s="31"/>
      <c r="C179" s="31"/>
      <c r="D179" s="31"/>
      <c r="E179" s="31"/>
      <c r="F179" s="31"/>
      <c r="G179" s="31"/>
      <c r="H179" s="31"/>
      <c r="I179" s="31"/>
      <c r="J179" s="31"/>
      <c r="K179" s="31"/>
      <c r="L179" s="31"/>
      <c r="M179" s="31"/>
      <c r="N179" s="31"/>
      <c r="O179" s="31"/>
      <c r="P179" s="31"/>
      <c r="Q179" s="31"/>
      <c r="R179" s="31"/>
      <c r="S179" s="31"/>
      <c r="T179" s="31"/>
      <c r="U179" s="31"/>
      <c r="V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row>
    <row r="180" spans="1:59" x14ac:dyDescent="0.3">
      <c r="A180" s="31"/>
      <c r="B180" s="31"/>
      <c r="C180" s="31"/>
      <c r="D180" s="31"/>
      <c r="E180" s="31"/>
      <c r="F180" s="31"/>
      <c r="G180" s="31"/>
      <c r="H180" s="31"/>
      <c r="I180" s="31"/>
      <c r="J180" s="31"/>
      <c r="K180" s="31"/>
      <c r="L180" s="31"/>
      <c r="M180" s="31"/>
      <c r="N180" s="31"/>
      <c r="O180" s="31"/>
      <c r="P180" s="31"/>
      <c r="Q180" s="31"/>
      <c r="R180" s="31"/>
      <c r="S180" s="31"/>
      <c r="T180" s="31"/>
      <c r="U180" s="31"/>
      <c r="V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row>
    <row r="181" spans="1:59" x14ac:dyDescent="0.3">
      <c r="A181" s="31"/>
      <c r="B181" s="31"/>
      <c r="C181" s="31"/>
      <c r="D181" s="31"/>
      <c r="E181" s="31"/>
      <c r="F181" s="31"/>
      <c r="G181" s="31"/>
      <c r="H181" s="31"/>
      <c r="I181" s="31"/>
      <c r="J181" s="31"/>
      <c r="K181" s="31"/>
      <c r="L181" s="31"/>
      <c r="M181" s="31"/>
      <c r="N181" s="31"/>
      <c r="O181" s="31"/>
      <c r="P181" s="31"/>
      <c r="Q181" s="31"/>
      <c r="R181" s="31"/>
      <c r="S181" s="31"/>
      <c r="T181" s="31"/>
      <c r="U181" s="31"/>
      <c r="V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row>
    <row r="182" spans="1:59" x14ac:dyDescent="0.3">
      <c r="A182" s="31"/>
      <c r="B182" s="31"/>
      <c r="C182" s="31"/>
      <c r="D182" s="31"/>
      <c r="E182" s="31"/>
      <c r="F182" s="31"/>
      <c r="G182" s="31"/>
      <c r="H182" s="31"/>
      <c r="I182" s="31"/>
      <c r="J182" s="31"/>
      <c r="K182" s="31"/>
      <c r="L182" s="31"/>
      <c r="M182" s="31"/>
      <c r="N182" s="31"/>
      <c r="O182" s="31"/>
      <c r="P182" s="31"/>
      <c r="Q182" s="31"/>
      <c r="R182" s="31"/>
      <c r="S182" s="31"/>
      <c r="T182" s="31"/>
      <c r="U182" s="31"/>
      <c r="V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row>
    <row r="183" spans="1:59" x14ac:dyDescent="0.3">
      <c r="A183" s="31"/>
      <c r="B183" s="31"/>
      <c r="C183" s="31"/>
      <c r="D183" s="31"/>
      <c r="E183" s="31"/>
      <c r="F183" s="31"/>
      <c r="G183" s="31"/>
      <c r="H183" s="31"/>
      <c r="I183" s="31"/>
      <c r="J183" s="31"/>
      <c r="K183" s="31"/>
      <c r="L183" s="31"/>
      <c r="M183" s="31"/>
      <c r="N183" s="31"/>
      <c r="O183" s="31"/>
      <c r="P183" s="31"/>
      <c r="Q183" s="31"/>
      <c r="R183" s="31"/>
      <c r="S183" s="31"/>
      <c r="T183" s="31"/>
      <c r="U183" s="31"/>
      <c r="V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row>
    <row r="184" spans="1:59" x14ac:dyDescent="0.3">
      <c r="A184" s="31"/>
      <c r="B184" s="31"/>
      <c r="C184" s="31"/>
      <c r="D184" s="31"/>
      <c r="E184" s="31"/>
      <c r="F184" s="31"/>
      <c r="G184" s="31"/>
      <c r="H184" s="31"/>
      <c r="I184" s="31"/>
      <c r="J184" s="31"/>
      <c r="K184" s="31"/>
      <c r="L184" s="31"/>
      <c r="M184" s="31"/>
      <c r="N184" s="31"/>
      <c r="O184" s="31"/>
      <c r="P184" s="31"/>
      <c r="Q184" s="31"/>
      <c r="R184" s="31"/>
      <c r="S184" s="31"/>
      <c r="T184" s="31"/>
      <c r="U184" s="31"/>
      <c r="V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row>
    <row r="185" spans="1:59" x14ac:dyDescent="0.3">
      <c r="A185" s="31"/>
      <c r="B185" s="31"/>
      <c r="C185" s="31"/>
      <c r="D185" s="31"/>
      <c r="E185" s="31"/>
      <c r="F185" s="31"/>
      <c r="G185" s="31"/>
      <c r="H185" s="31"/>
      <c r="I185" s="31"/>
      <c r="J185" s="31"/>
      <c r="K185" s="31"/>
      <c r="L185" s="31"/>
      <c r="M185" s="31"/>
      <c r="N185" s="31"/>
      <c r="O185" s="31"/>
      <c r="P185" s="31"/>
      <c r="Q185" s="31"/>
      <c r="R185" s="31"/>
      <c r="S185" s="31"/>
      <c r="T185" s="31"/>
      <c r="U185" s="31"/>
      <c r="V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row>
    <row r="186" spans="1:59" x14ac:dyDescent="0.3">
      <c r="A186" s="31"/>
      <c r="B186" s="31"/>
      <c r="C186" s="31"/>
      <c r="D186" s="31"/>
      <c r="E186" s="31"/>
      <c r="F186" s="31"/>
      <c r="G186" s="31"/>
      <c r="H186" s="31"/>
      <c r="I186" s="31"/>
      <c r="J186" s="31"/>
      <c r="K186" s="31"/>
      <c r="L186" s="31"/>
      <c r="M186" s="31"/>
      <c r="N186" s="31"/>
      <c r="O186" s="31"/>
      <c r="P186" s="31"/>
      <c r="Q186" s="31"/>
      <c r="R186" s="31"/>
      <c r="S186" s="31"/>
      <c r="T186" s="31"/>
      <c r="U186" s="31"/>
      <c r="V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row>
    <row r="187" spans="1:59" x14ac:dyDescent="0.3">
      <c r="A187" s="31"/>
      <c r="B187" s="31"/>
      <c r="C187" s="31"/>
      <c r="D187" s="31"/>
      <c r="E187" s="31"/>
      <c r="F187" s="31"/>
      <c r="G187" s="31"/>
      <c r="H187" s="31"/>
      <c r="I187" s="31"/>
      <c r="J187" s="31"/>
      <c r="K187" s="31"/>
      <c r="L187" s="31"/>
      <c r="M187" s="31"/>
      <c r="N187" s="31"/>
      <c r="O187" s="31"/>
      <c r="P187" s="31"/>
      <c r="Q187" s="31"/>
      <c r="R187" s="31"/>
      <c r="S187" s="31"/>
      <c r="T187" s="31"/>
      <c r="U187" s="31"/>
      <c r="V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row>
    <row r="188" spans="1:59" x14ac:dyDescent="0.3">
      <c r="A188" s="31"/>
      <c r="B188" s="31"/>
      <c r="C188" s="31"/>
      <c r="D188" s="31"/>
      <c r="E188" s="31"/>
      <c r="F188" s="31"/>
      <c r="G188" s="31"/>
      <c r="H188" s="31"/>
      <c r="I188" s="31"/>
      <c r="J188" s="31"/>
      <c r="K188" s="31"/>
      <c r="L188" s="31"/>
      <c r="M188" s="31"/>
      <c r="N188" s="31"/>
      <c r="O188" s="31"/>
      <c r="P188" s="31"/>
      <c r="Q188" s="31"/>
      <c r="R188" s="31"/>
      <c r="S188" s="31"/>
      <c r="T188" s="31"/>
      <c r="U188" s="31"/>
      <c r="V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row>
    <row r="189" spans="1:59" x14ac:dyDescent="0.3">
      <c r="A189" s="31"/>
      <c r="B189" s="31"/>
      <c r="C189" s="31"/>
      <c r="D189" s="31"/>
      <c r="E189" s="31"/>
      <c r="F189" s="31"/>
      <c r="G189" s="31"/>
      <c r="H189" s="31"/>
      <c r="I189" s="31"/>
      <c r="J189" s="31"/>
      <c r="K189" s="31"/>
      <c r="L189" s="31"/>
      <c r="M189" s="31"/>
      <c r="N189" s="31"/>
      <c r="O189" s="31"/>
      <c r="P189" s="31"/>
      <c r="Q189" s="31"/>
      <c r="R189" s="31"/>
      <c r="S189" s="31"/>
      <c r="T189" s="31"/>
      <c r="U189" s="31"/>
      <c r="V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row>
    <row r="190" spans="1:59" x14ac:dyDescent="0.3">
      <c r="A190" s="31"/>
      <c r="B190" s="31"/>
      <c r="C190" s="31"/>
      <c r="D190" s="31"/>
      <c r="E190" s="31"/>
      <c r="F190" s="31"/>
      <c r="G190" s="31"/>
      <c r="H190" s="31"/>
      <c r="I190" s="31"/>
      <c r="J190" s="31"/>
      <c r="K190" s="31"/>
      <c r="L190" s="31"/>
      <c r="M190" s="31"/>
      <c r="N190" s="31"/>
      <c r="O190" s="31"/>
      <c r="P190" s="31"/>
      <c r="Q190" s="31"/>
      <c r="R190" s="31"/>
      <c r="S190" s="31"/>
      <c r="T190" s="31"/>
      <c r="U190" s="31"/>
      <c r="V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row>
    <row r="191" spans="1:59" x14ac:dyDescent="0.3">
      <c r="A191" s="31"/>
      <c r="B191" s="31"/>
      <c r="C191" s="31"/>
      <c r="D191" s="31"/>
      <c r="E191" s="31"/>
      <c r="F191" s="31"/>
      <c r="G191" s="31"/>
      <c r="H191" s="31"/>
      <c r="I191" s="31"/>
      <c r="J191" s="31"/>
      <c r="K191" s="31"/>
      <c r="L191" s="31"/>
      <c r="M191" s="31"/>
      <c r="N191" s="31"/>
      <c r="O191" s="31"/>
      <c r="P191" s="31"/>
      <c r="Q191" s="31"/>
      <c r="R191" s="31"/>
      <c r="S191" s="31"/>
      <c r="T191" s="31"/>
      <c r="U191" s="31"/>
      <c r="V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row>
    <row r="192" spans="1:59" x14ac:dyDescent="0.3">
      <c r="A192" s="31"/>
      <c r="B192" s="31"/>
      <c r="C192" s="31"/>
      <c r="D192" s="31"/>
      <c r="E192" s="31"/>
      <c r="F192" s="31"/>
      <c r="G192" s="31"/>
      <c r="H192" s="31"/>
      <c r="I192" s="31"/>
      <c r="J192" s="31"/>
      <c r="K192" s="31"/>
      <c r="L192" s="31"/>
      <c r="M192" s="31"/>
      <c r="N192" s="31"/>
      <c r="O192" s="31"/>
      <c r="P192" s="31"/>
      <c r="Q192" s="31"/>
      <c r="R192" s="31"/>
      <c r="S192" s="31"/>
      <c r="T192" s="31"/>
      <c r="U192" s="31"/>
      <c r="V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row>
    <row r="193" spans="1:24" x14ac:dyDescent="0.3">
      <c r="A193" s="31"/>
      <c r="B193" s="31"/>
      <c r="C193" s="31"/>
      <c r="D193" s="31"/>
      <c r="E193" s="31"/>
      <c r="F193" s="31"/>
      <c r="G193" s="31"/>
      <c r="H193" s="31"/>
      <c r="I193" s="31"/>
      <c r="J193" s="31"/>
      <c r="K193" s="31"/>
      <c r="L193" s="31"/>
      <c r="M193" s="31"/>
      <c r="N193" s="31"/>
      <c r="O193" s="31"/>
      <c r="P193" s="31"/>
      <c r="Q193" s="31"/>
      <c r="R193" s="31"/>
      <c r="S193" s="31"/>
      <c r="T193" s="31"/>
      <c r="U193" s="31"/>
      <c r="V193" s="31"/>
      <c r="X193" s="31"/>
    </row>
    <row r="194" spans="1:24" x14ac:dyDescent="0.3">
      <c r="A194" s="31"/>
      <c r="B194" s="31"/>
      <c r="C194" s="31"/>
      <c r="D194" s="31"/>
      <c r="E194" s="31"/>
      <c r="F194" s="31"/>
      <c r="G194" s="31"/>
      <c r="H194" s="31"/>
      <c r="I194" s="31"/>
      <c r="J194" s="31"/>
      <c r="K194" s="31"/>
      <c r="L194" s="31"/>
      <c r="M194" s="31"/>
      <c r="N194" s="31"/>
      <c r="O194" s="31"/>
      <c r="P194" s="31"/>
      <c r="Q194" s="31"/>
      <c r="R194" s="31"/>
      <c r="S194" s="31"/>
      <c r="T194" s="31"/>
      <c r="U194" s="31"/>
      <c r="V194" s="31"/>
      <c r="X194" s="31"/>
    </row>
    <row r="195" spans="1:24" x14ac:dyDescent="0.3">
      <c r="A195" s="31"/>
      <c r="B195" s="31"/>
      <c r="C195" s="31"/>
      <c r="D195" s="31"/>
      <c r="E195" s="31"/>
      <c r="F195" s="31"/>
      <c r="G195" s="31"/>
      <c r="H195" s="31"/>
      <c r="I195" s="31"/>
      <c r="J195" s="31"/>
      <c r="K195" s="31"/>
      <c r="L195" s="31"/>
      <c r="M195" s="31"/>
      <c r="N195" s="31"/>
      <c r="O195" s="31"/>
      <c r="P195" s="31"/>
      <c r="Q195" s="31"/>
      <c r="R195" s="31"/>
      <c r="S195" s="31"/>
      <c r="T195" s="31"/>
      <c r="U195" s="31"/>
      <c r="V195" s="31"/>
      <c r="X195" s="31"/>
    </row>
    <row r="196" spans="1:24" x14ac:dyDescent="0.3">
      <c r="A196" s="31"/>
      <c r="B196" s="31"/>
      <c r="C196" s="31"/>
      <c r="D196" s="31"/>
      <c r="E196" s="31"/>
      <c r="F196" s="31"/>
      <c r="G196" s="31"/>
      <c r="H196" s="31"/>
      <c r="I196" s="31"/>
      <c r="J196" s="31"/>
      <c r="K196" s="31"/>
      <c r="L196" s="31"/>
      <c r="M196" s="31"/>
      <c r="N196" s="31"/>
      <c r="O196" s="31"/>
      <c r="P196" s="31"/>
      <c r="Q196" s="31"/>
      <c r="R196" s="31"/>
      <c r="S196" s="31"/>
      <c r="T196" s="31"/>
      <c r="U196" s="31"/>
      <c r="V196" s="31"/>
      <c r="X196" s="31"/>
    </row>
    <row r="197" spans="1:24" x14ac:dyDescent="0.3">
      <c r="A197" s="31"/>
      <c r="B197" s="31"/>
      <c r="C197" s="31"/>
      <c r="D197" s="31"/>
      <c r="E197" s="31"/>
      <c r="F197" s="31"/>
      <c r="G197" s="31"/>
      <c r="H197" s="31"/>
      <c r="I197" s="31"/>
      <c r="J197" s="31"/>
      <c r="K197" s="31"/>
      <c r="L197" s="31"/>
      <c r="M197" s="31"/>
      <c r="N197" s="31"/>
      <c r="O197" s="31"/>
      <c r="P197" s="31"/>
      <c r="Q197" s="31"/>
      <c r="R197" s="31"/>
      <c r="S197" s="31"/>
      <c r="T197" s="31"/>
      <c r="U197" s="31"/>
      <c r="V197" s="31"/>
      <c r="X197" s="31"/>
    </row>
    <row r="198" spans="1:24" x14ac:dyDescent="0.3">
      <c r="A198" s="31"/>
      <c r="B198" s="31"/>
      <c r="C198" s="31"/>
      <c r="D198" s="31"/>
      <c r="E198" s="31"/>
      <c r="F198" s="31"/>
      <c r="G198" s="31"/>
      <c r="H198" s="31"/>
      <c r="I198" s="31"/>
      <c r="J198" s="31"/>
      <c r="K198" s="31"/>
      <c r="L198" s="31"/>
      <c r="M198" s="31"/>
      <c r="N198" s="31"/>
      <c r="O198" s="31"/>
      <c r="P198" s="31"/>
      <c r="Q198" s="31"/>
      <c r="R198" s="31"/>
      <c r="S198" s="31"/>
      <c r="T198" s="31"/>
      <c r="U198" s="31"/>
      <c r="V198" s="31"/>
      <c r="X198" s="31"/>
    </row>
    <row r="199" spans="1:24" x14ac:dyDescent="0.3">
      <c r="A199" s="31"/>
      <c r="B199" s="31"/>
      <c r="C199" s="31"/>
      <c r="D199" s="31"/>
      <c r="E199" s="31"/>
      <c r="F199" s="31"/>
      <c r="G199" s="31"/>
      <c r="H199" s="31"/>
      <c r="I199" s="31"/>
      <c r="J199" s="31"/>
      <c r="K199" s="31"/>
      <c r="L199" s="31"/>
      <c r="M199" s="31"/>
      <c r="N199" s="31"/>
      <c r="O199" s="31"/>
      <c r="P199" s="31"/>
      <c r="Q199" s="31"/>
      <c r="R199" s="31"/>
      <c r="S199" s="31"/>
      <c r="T199" s="31"/>
      <c r="U199" s="31"/>
      <c r="V199" s="31"/>
      <c r="X199" s="31"/>
    </row>
    <row r="200" spans="1:24" x14ac:dyDescent="0.3">
      <c r="A200" s="31"/>
      <c r="B200" s="31"/>
      <c r="C200" s="31"/>
      <c r="D200" s="31"/>
      <c r="E200" s="31"/>
      <c r="F200" s="31"/>
      <c r="G200" s="31"/>
      <c r="H200" s="31"/>
      <c r="I200" s="31"/>
      <c r="J200" s="31"/>
      <c r="K200" s="31"/>
      <c r="L200" s="31"/>
      <c r="M200" s="31"/>
      <c r="N200" s="31"/>
      <c r="O200" s="31"/>
      <c r="P200" s="31"/>
      <c r="Q200" s="31"/>
      <c r="R200" s="31"/>
      <c r="S200" s="31"/>
      <c r="T200" s="31"/>
      <c r="U200" s="31"/>
      <c r="V200" s="31"/>
      <c r="X200" s="31"/>
    </row>
    <row r="201" spans="1:24" x14ac:dyDescent="0.3">
      <c r="A201" s="31"/>
      <c r="B201" s="31"/>
      <c r="C201" s="31"/>
      <c r="D201" s="31"/>
      <c r="E201" s="31"/>
      <c r="F201" s="31"/>
      <c r="G201" s="31"/>
      <c r="H201" s="31"/>
      <c r="I201" s="31"/>
      <c r="J201" s="31"/>
      <c r="K201" s="31"/>
      <c r="L201" s="31"/>
      <c r="M201" s="31"/>
      <c r="N201" s="31"/>
      <c r="O201" s="31"/>
      <c r="P201" s="31"/>
      <c r="Q201" s="31"/>
      <c r="R201" s="31"/>
      <c r="S201" s="31"/>
      <c r="T201" s="31"/>
      <c r="U201" s="31"/>
      <c r="V201" s="31"/>
      <c r="X201" s="31"/>
    </row>
    <row r="202" spans="1:24" x14ac:dyDescent="0.3">
      <c r="A202" s="31"/>
      <c r="B202" s="31"/>
      <c r="C202" s="31"/>
      <c r="D202" s="31"/>
      <c r="E202" s="31"/>
      <c r="F202" s="31"/>
      <c r="G202" s="31"/>
      <c r="H202" s="31"/>
      <c r="I202" s="31"/>
      <c r="J202" s="31"/>
      <c r="K202" s="31"/>
      <c r="L202" s="31"/>
      <c r="M202" s="31"/>
      <c r="N202" s="31"/>
      <c r="O202" s="31"/>
      <c r="P202" s="31"/>
      <c r="Q202" s="31"/>
      <c r="R202" s="31"/>
      <c r="S202" s="31"/>
      <c r="T202" s="31"/>
      <c r="U202" s="31"/>
      <c r="V202" s="31"/>
      <c r="X202" s="31"/>
    </row>
    <row r="203" spans="1:24" x14ac:dyDescent="0.3">
      <c r="A203" s="31"/>
      <c r="B203" s="31"/>
      <c r="C203" s="31"/>
      <c r="D203" s="31"/>
      <c r="E203" s="31"/>
      <c r="F203" s="31"/>
      <c r="G203" s="31"/>
      <c r="H203" s="31"/>
      <c r="I203" s="31"/>
      <c r="J203" s="31"/>
      <c r="K203" s="31"/>
      <c r="L203" s="31"/>
      <c r="M203" s="31"/>
      <c r="N203" s="31"/>
      <c r="O203" s="31"/>
      <c r="P203" s="31"/>
      <c r="Q203" s="31"/>
      <c r="R203" s="31"/>
      <c r="S203" s="31"/>
      <c r="T203" s="31"/>
      <c r="U203" s="31"/>
      <c r="V203" s="31"/>
      <c r="X203" s="31"/>
    </row>
    <row r="204" spans="1:24" x14ac:dyDescent="0.3">
      <c r="A204" s="31"/>
      <c r="B204" s="31"/>
      <c r="C204" s="31"/>
      <c r="D204" s="31"/>
      <c r="E204" s="31"/>
      <c r="F204" s="31"/>
      <c r="G204" s="31"/>
      <c r="H204" s="31"/>
      <c r="I204" s="31"/>
      <c r="J204" s="31"/>
      <c r="K204" s="31"/>
      <c r="L204" s="31"/>
      <c r="M204" s="31"/>
      <c r="N204" s="31"/>
      <c r="O204" s="31"/>
      <c r="P204" s="31"/>
      <c r="Q204" s="31"/>
      <c r="R204" s="31"/>
      <c r="S204" s="31"/>
      <c r="T204" s="31"/>
      <c r="U204" s="31"/>
      <c r="V204" s="31"/>
      <c r="X204" s="31"/>
    </row>
    <row r="205" spans="1:24" x14ac:dyDescent="0.3">
      <c r="A205" s="31"/>
      <c r="B205" s="31"/>
      <c r="C205" s="31"/>
      <c r="D205" s="31"/>
      <c r="E205" s="31"/>
      <c r="F205" s="31"/>
      <c r="G205" s="31"/>
      <c r="H205" s="31"/>
      <c r="I205" s="31"/>
      <c r="J205" s="31"/>
      <c r="K205" s="31"/>
      <c r="L205" s="31"/>
      <c r="M205" s="31"/>
      <c r="N205" s="31"/>
      <c r="O205" s="31"/>
      <c r="P205" s="31"/>
      <c r="Q205" s="31"/>
      <c r="R205" s="31"/>
      <c r="S205" s="31"/>
      <c r="T205" s="31"/>
      <c r="U205" s="31"/>
      <c r="V205" s="31"/>
      <c r="X205" s="31"/>
    </row>
    <row r="206" spans="1:24" x14ac:dyDescent="0.3">
      <c r="A206" s="31"/>
      <c r="B206" s="31"/>
      <c r="C206" s="31"/>
      <c r="D206" s="31"/>
      <c r="E206" s="31"/>
      <c r="F206" s="31"/>
      <c r="G206" s="31"/>
      <c r="H206" s="31"/>
      <c r="I206" s="31"/>
      <c r="J206" s="31"/>
      <c r="K206" s="31"/>
      <c r="L206" s="31"/>
      <c r="M206" s="31"/>
      <c r="N206" s="31"/>
      <c r="O206" s="31"/>
      <c r="P206" s="31"/>
      <c r="Q206" s="31"/>
      <c r="R206" s="31"/>
      <c r="S206" s="31"/>
      <c r="T206" s="31"/>
      <c r="U206" s="31"/>
      <c r="V206" s="31"/>
      <c r="X206" s="31"/>
    </row>
    <row r="207" spans="1:24" x14ac:dyDescent="0.3">
      <c r="A207" s="31"/>
      <c r="B207" s="31"/>
      <c r="C207" s="31"/>
      <c r="D207" s="31"/>
      <c r="E207" s="31"/>
      <c r="F207" s="31"/>
      <c r="G207" s="31"/>
      <c r="H207" s="31"/>
      <c r="I207" s="31"/>
      <c r="J207" s="31"/>
      <c r="K207" s="31"/>
      <c r="L207" s="31"/>
      <c r="M207" s="31"/>
      <c r="N207" s="31"/>
      <c r="O207" s="31"/>
      <c r="P207" s="31"/>
      <c r="Q207" s="31"/>
      <c r="R207" s="31"/>
      <c r="S207" s="31"/>
      <c r="T207" s="31"/>
      <c r="U207" s="31"/>
      <c r="V207" s="31"/>
      <c r="X207" s="31"/>
    </row>
    <row r="208" spans="1:24" x14ac:dyDescent="0.3">
      <c r="A208" s="31"/>
      <c r="B208" s="31"/>
      <c r="C208" s="31"/>
      <c r="D208" s="31"/>
      <c r="E208" s="31"/>
      <c r="F208" s="31"/>
      <c r="G208" s="31"/>
      <c r="H208" s="31"/>
      <c r="I208" s="31"/>
      <c r="J208" s="31"/>
      <c r="K208" s="31"/>
      <c r="L208" s="31"/>
      <c r="M208" s="31"/>
      <c r="N208" s="31"/>
      <c r="O208" s="31"/>
      <c r="P208" s="31"/>
      <c r="Q208" s="31"/>
      <c r="R208" s="31"/>
      <c r="S208" s="31"/>
      <c r="T208" s="31"/>
      <c r="U208" s="31"/>
      <c r="V208" s="31"/>
      <c r="X208" s="31"/>
    </row>
    <row r="209" spans="1:24" x14ac:dyDescent="0.3">
      <c r="A209" s="31"/>
      <c r="B209" s="31"/>
      <c r="C209" s="31"/>
      <c r="D209" s="31"/>
      <c r="E209" s="31"/>
      <c r="F209" s="31"/>
      <c r="G209" s="31"/>
      <c r="H209" s="31"/>
      <c r="I209" s="31"/>
      <c r="J209" s="31"/>
      <c r="K209" s="31"/>
      <c r="L209" s="31"/>
      <c r="M209" s="31"/>
      <c r="N209" s="31"/>
      <c r="O209" s="31"/>
      <c r="P209" s="31"/>
      <c r="Q209" s="31"/>
      <c r="R209" s="31"/>
      <c r="S209" s="31"/>
      <c r="T209" s="31"/>
      <c r="U209" s="31"/>
      <c r="V209" s="31"/>
      <c r="X209" s="31"/>
    </row>
    <row r="210" spans="1:24" x14ac:dyDescent="0.3">
      <c r="A210" s="31"/>
      <c r="B210" s="31"/>
      <c r="C210" s="31"/>
      <c r="D210" s="31"/>
      <c r="E210" s="31"/>
      <c r="F210" s="31"/>
      <c r="G210" s="31"/>
      <c r="H210" s="31"/>
      <c r="I210" s="31"/>
      <c r="J210" s="31"/>
      <c r="K210" s="31"/>
      <c r="L210" s="31"/>
      <c r="M210" s="31"/>
      <c r="N210" s="31"/>
      <c r="O210" s="31"/>
      <c r="P210" s="31"/>
      <c r="Q210" s="31"/>
      <c r="R210" s="31"/>
      <c r="S210" s="31"/>
      <c r="T210" s="31"/>
      <c r="U210" s="31"/>
      <c r="V210" s="31"/>
      <c r="X210" s="31"/>
    </row>
    <row r="211" spans="1:24" x14ac:dyDescent="0.3">
      <c r="A211" s="31"/>
      <c r="B211" s="31"/>
      <c r="C211" s="31"/>
      <c r="D211" s="31"/>
      <c r="E211" s="31"/>
      <c r="F211" s="31"/>
      <c r="G211" s="31"/>
      <c r="H211" s="31"/>
      <c r="I211" s="31"/>
      <c r="J211" s="31"/>
      <c r="K211" s="31"/>
      <c r="L211" s="31"/>
      <c r="M211" s="31"/>
      <c r="N211" s="31"/>
      <c r="O211" s="31"/>
      <c r="P211" s="31"/>
      <c r="Q211" s="31"/>
      <c r="R211" s="31"/>
      <c r="S211" s="31"/>
      <c r="T211" s="31"/>
      <c r="U211" s="31"/>
      <c r="V211" s="31"/>
      <c r="X211" s="31"/>
    </row>
    <row r="212" spans="1:24" x14ac:dyDescent="0.3">
      <c r="A212" s="31"/>
      <c r="B212" s="31"/>
      <c r="C212" s="31"/>
      <c r="D212" s="31"/>
      <c r="E212" s="31"/>
      <c r="F212" s="31"/>
      <c r="G212" s="31"/>
      <c r="H212" s="31"/>
      <c r="I212" s="31"/>
      <c r="J212" s="31"/>
      <c r="K212" s="31"/>
      <c r="L212" s="31"/>
      <c r="M212" s="31"/>
      <c r="N212" s="31"/>
      <c r="O212" s="31"/>
      <c r="P212" s="31"/>
      <c r="Q212" s="31"/>
      <c r="R212" s="31"/>
      <c r="S212" s="31"/>
      <c r="T212" s="31"/>
      <c r="U212" s="31"/>
      <c r="V212" s="31"/>
      <c r="X212" s="31"/>
    </row>
    <row r="213" spans="1:24" x14ac:dyDescent="0.3">
      <c r="A213" s="31"/>
      <c r="B213" s="31"/>
      <c r="C213" s="31"/>
      <c r="D213" s="31"/>
      <c r="E213" s="31"/>
      <c r="F213" s="31"/>
      <c r="G213" s="31"/>
      <c r="H213" s="31"/>
      <c r="I213" s="31"/>
      <c r="J213" s="31"/>
      <c r="K213" s="31"/>
      <c r="L213" s="31"/>
      <c r="M213" s="31"/>
      <c r="N213" s="31"/>
      <c r="O213" s="31"/>
      <c r="P213" s="31"/>
      <c r="Q213" s="31"/>
      <c r="R213" s="31"/>
      <c r="S213" s="31"/>
      <c r="T213" s="31"/>
      <c r="U213" s="31"/>
      <c r="V213" s="31"/>
      <c r="X213" s="31"/>
    </row>
    <row r="214" spans="1:24" x14ac:dyDescent="0.3">
      <c r="A214" s="31"/>
      <c r="B214" s="31"/>
      <c r="C214" s="31"/>
      <c r="D214" s="31"/>
      <c r="E214" s="31"/>
      <c r="F214" s="31"/>
      <c r="G214" s="31"/>
      <c r="H214" s="31"/>
      <c r="I214" s="31"/>
      <c r="J214" s="31"/>
      <c r="K214" s="31"/>
      <c r="L214" s="31"/>
      <c r="M214" s="31"/>
      <c r="N214" s="31"/>
      <c r="O214" s="31"/>
      <c r="P214" s="31"/>
      <c r="Q214" s="31"/>
      <c r="R214" s="31"/>
      <c r="S214" s="31"/>
      <c r="T214" s="31"/>
      <c r="U214" s="31"/>
      <c r="V214" s="31"/>
      <c r="X214" s="31"/>
    </row>
    <row r="215" spans="1:24" x14ac:dyDescent="0.3">
      <c r="A215" s="31"/>
      <c r="B215" s="31"/>
      <c r="C215" s="31"/>
      <c r="D215" s="31"/>
      <c r="E215" s="31"/>
      <c r="F215" s="31"/>
      <c r="G215" s="31"/>
      <c r="H215" s="31"/>
      <c r="I215" s="31"/>
      <c r="J215" s="31"/>
      <c r="K215" s="31"/>
      <c r="L215" s="31"/>
      <c r="M215" s="31"/>
      <c r="N215" s="31"/>
      <c r="O215" s="31"/>
      <c r="P215" s="31"/>
      <c r="Q215" s="31"/>
      <c r="R215" s="31"/>
      <c r="S215" s="31"/>
      <c r="T215" s="31"/>
      <c r="U215" s="31"/>
      <c r="V215" s="31"/>
      <c r="X215" s="31"/>
    </row>
    <row r="216" spans="1:24" x14ac:dyDescent="0.3">
      <c r="A216" s="31"/>
      <c r="B216" s="31"/>
      <c r="C216" s="31"/>
      <c r="D216" s="31"/>
      <c r="E216" s="31"/>
      <c r="F216" s="31"/>
      <c r="G216" s="31"/>
      <c r="H216" s="31"/>
      <c r="I216" s="31"/>
      <c r="J216" s="31"/>
      <c r="K216" s="31"/>
      <c r="L216" s="31"/>
      <c r="M216" s="31"/>
      <c r="N216" s="31"/>
      <c r="O216" s="31"/>
      <c r="P216" s="31"/>
      <c r="Q216" s="31"/>
      <c r="R216" s="31"/>
      <c r="S216" s="31"/>
      <c r="T216" s="31"/>
      <c r="U216" s="31"/>
      <c r="V216" s="31"/>
      <c r="X216" s="31"/>
    </row>
    <row r="217" spans="1:24" x14ac:dyDescent="0.3">
      <c r="A217" s="31"/>
      <c r="B217" s="31"/>
      <c r="C217" s="31"/>
      <c r="D217" s="31"/>
      <c r="E217" s="31"/>
      <c r="F217" s="31"/>
      <c r="G217" s="31"/>
      <c r="H217" s="31"/>
      <c r="I217" s="31"/>
      <c r="J217" s="31"/>
      <c r="K217" s="31"/>
      <c r="L217" s="31"/>
      <c r="M217" s="31"/>
      <c r="N217" s="31"/>
      <c r="O217" s="31"/>
      <c r="P217" s="31"/>
      <c r="Q217" s="31"/>
      <c r="R217" s="31"/>
      <c r="S217" s="31"/>
      <c r="T217" s="31"/>
      <c r="U217" s="31"/>
      <c r="V217" s="31"/>
      <c r="X217" s="31"/>
    </row>
    <row r="218" spans="1:24" x14ac:dyDescent="0.3">
      <c r="A218" s="31"/>
      <c r="B218" s="31"/>
      <c r="C218" s="31"/>
      <c r="D218" s="31"/>
      <c r="E218" s="31"/>
      <c r="F218" s="31"/>
      <c r="G218" s="31"/>
      <c r="H218" s="31"/>
      <c r="I218" s="31"/>
      <c r="J218" s="31"/>
      <c r="K218" s="31"/>
      <c r="L218" s="31"/>
      <c r="M218" s="31"/>
      <c r="N218" s="31"/>
      <c r="O218" s="31"/>
      <c r="P218" s="31"/>
      <c r="Q218" s="31"/>
      <c r="R218" s="31"/>
      <c r="S218" s="31"/>
      <c r="T218" s="31"/>
      <c r="U218" s="31"/>
      <c r="V218" s="31"/>
      <c r="X218" s="31"/>
    </row>
    <row r="219" spans="1:24" x14ac:dyDescent="0.3">
      <c r="A219" s="31"/>
      <c r="B219" s="31"/>
      <c r="C219" s="31"/>
      <c r="D219" s="31"/>
      <c r="E219" s="31"/>
      <c r="F219" s="31"/>
      <c r="G219" s="31"/>
      <c r="H219" s="31"/>
      <c r="I219" s="31"/>
      <c r="J219" s="31"/>
      <c r="K219" s="31"/>
      <c r="L219" s="31"/>
      <c r="M219" s="31"/>
      <c r="N219" s="31"/>
      <c r="O219" s="31"/>
      <c r="P219" s="31"/>
      <c r="Q219" s="31"/>
      <c r="R219" s="31"/>
      <c r="S219" s="31"/>
      <c r="T219" s="31"/>
      <c r="U219" s="31"/>
      <c r="V219" s="31"/>
      <c r="X219" s="31"/>
    </row>
    <row r="220" spans="1:24" x14ac:dyDescent="0.3">
      <c r="A220" s="31"/>
      <c r="B220" s="31"/>
      <c r="C220" s="31"/>
      <c r="D220" s="31"/>
      <c r="E220" s="31"/>
      <c r="F220" s="31"/>
      <c r="G220" s="31"/>
      <c r="H220" s="31"/>
      <c r="I220" s="31"/>
      <c r="J220" s="31"/>
      <c r="K220" s="31"/>
      <c r="L220" s="31"/>
      <c r="M220" s="31"/>
      <c r="N220" s="31"/>
      <c r="O220" s="31"/>
      <c r="P220" s="31"/>
      <c r="Q220" s="31"/>
      <c r="R220" s="31"/>
      <c r="S220" s="31"/>
      <c r="T220" s="31"/>
      <c r="U220" s="31"/>
      <c r="V220" s="31"/>
      <c r="X220" s="31"/>
    </row>
    <row r="221" spans="1:24" x14ac:dyDescent="0.3">
      <c r="A221" s="31"/>
      <c r="B221" s="31"/>
      <c r="C221" s="31"/>
      <c r="D221" s="31"/>
      <c r="E221" s="31"/>
      <c r="F221" s="31"/>
      <c r="G221" s="31"/>
      <c r="H221" s="31"/>
      <c r="I221" s="31"/>
      <c r="J221" s="31"/>
      <c r="K221" s="31"/>
      <c r="L221" s="31"/>
      <c r="M221" s="31"/>
      <c r="N221" s="31"/>
      <c r="O221" s="31"/>
      <c r="P221" s="31"/>
      <c r="Q221" s="31"/>
      <c r="R221" s="31"/>
      <c r="S221" s="31"/>
      <c r="T221" s="31"/>
      <c r="U221" s="31"/>
      <c r="V221" s="31"/>
      <c r="X221" s="31"/>
    </row>
    <row r="222" spans="1:24" x14ac:dyDescent="0.3">
      <c r="A222" s="31"/>
      <c r="B222" s="31"/>
      <c r="C222" s="31"/>
      <c r="D222" s="31"/>
      <c r="E222" s="31"/>
      <c r="F222" s="31"/>
      <c r="G222" s="31"/>
      <c r="H222" s="31"/>
      <c r="I222" s="31"/>
      <c r="J222" s="31"/>
      <c r="K222" s="31"/>
      <c r="L222" s="31"/>
      <c r="M222" s="31"/>
      <c r="N222" s="31"/>
      <c r="O222" s="31"/>
      <c r="P222" s="31"/>
      <c r="Q222" s="31"/>
      <c r="R222" s="31"/>
      <c r="S222" s="31"/>
      <c r="T222" s="31"/>
      <c r="U222" s="31"/>
      <c r="V222" s="31"/>
      <c r="X222" s="31"/>
    </row>
    <row r="223" spans="1:24" x14ac:dyDescent="0.3">
      <c r="A223" s="31"/>
      <c r="B223" s="31"/>
      <c r="C223" s="31"/>
      <c r="D223" s="31"/>
      <c r="E223" s="31"/>
      <c r="F223" s="31"/>
      <c r="G223" s="31"/>
      <c r="H223" s="31"/>
      <c r="I223" s="31"/>
      <c r="J223" s="31"/>
      <c r="K223" s="31"/>
      <c r="L223" s="31"/>
      <c r="M223" s="31"/>
      <c r="N223" s="31"/>
      <c r="O223" s="31"/>
      <c r="P223" s="31"/>
      <c r="Q223" s="31"/>
      <c r="R223" s="31"/>
      <c r="S223" s="31"/>
      <c r="T223" s="31"/>
      <c r="U223" s="31"/>
      <c r="V223" s="31"/>
      <c r="X223" s="31"/>
    </row>
    <row r="224" spans="1:24" x14ac:dyDescent="0.3">
      <c r="A224" s="31"/>
      <c r="B224" s="31"/>
      <c r="C224" s="31"/>
      <c r="D224" s="31"/>
      <c r="E224" s="31"/>
      <c r="F224" s="31"/>
      <c r="G224" s="31"/>
      <c r="H224" s="31"/>
      <c r="I224" s="31"/>
      <c r="J224" s="31"/>
      <c r="K224" s="31"/>
      <c r="L224" s="31"/>
      <c r="M224" s="31"/>
      <c r="N224" s="31"/>
      <c r="O224" s="31"/>
      <c r="P224" s="31"/>
      <c r="Q224" s="31"/>
      <c r="R224" s="31"/>
      <c r="S224" s="31"/>
      <c r="T224" s="31"/>
      <c r="U224" s="31"/>
      <c r="V224" s="31"/>
      <c r="X224" s="31"/>
    </row>
    <row r="225" spans="1:24" x14ac:dyDescent="0.3">
      <c r="A225" s="31"/>
      <c r="B225" s="31"/>
      <c r="C225" s="31"/>
      <c r="D225" s="31"/>
      <c r="E225" s="31"/>
      <c r="F225" s="31"/>
      <c r="G225" s="31"/>
      <c r="H225" s="31"/>
      <c r="I225" s="31"/>
      <c r="J225" s="31"/>
      <c r="K225" s="31"/>
      <c r="L225" s="31"/>
      <c r="M225" s="31"/>
      <c r="N225" s="31"/>
      <c r="O225" s="31"/>
      <c r="P225" s="31"/>
      <c r="Q225" s="31"/>
      <c r="R225" s="31"/>
      <c r="S225" s="31"/>
      <c r="T225" s="31"/>
      <c r="U225" s="31"/>
      <c r="V225" s="31"/>
      <c r="X225" s="31"/>
    </row>
    <row r="226" spans="1:24" x14ac:dyDescent="0.3">
      <c r="A226" s="31"/>
      <c r="B226" s="31"/>
      <c r="C226" s="31"/>
      <c r="D226" s="31"/>
      <c r="E226" s="31"/>
      <c r="F226" s="31"/>
      <c r="G226" s="31"/>
      <c r="H226" s="31"/>
      <c r="I226" s="31"/>
      <c r="J226" s="31"/>
      <c r="K226" s="31"/>
      <c r="L226" s="31"/>
      <c r="M226" s="31"/>
      <c r="N226" s="31"/>
      <c r="O226" s="31"/>
      <c r="P226" s="31"/>
      <c r="Q226" s="31"/>
      <c r="R226" s="31"/>
      <c r="S226" s="31"/>
      <c r="T226" s="31"/>
      <c r="U226" s="31"/>
      <c r="V226" s="31"/>
      <c r="X226" s="31"/>
    </row>
    <row r="227" spans="1:24" x14ac:dyDescent="0.3">
      <c r="A227" s="31"/>
      <c r="B227" s="31"/>
      <c r="C227" s="31"/>
      <c r="D227" s="31"/>
      <c r="E227" s="31"/>
      <c r="F227" s="31"/>
      <c r="G227" s="31"/>
      <c r="H227" s="31"/>
      <c r="I227" s="31"/>
      <c r="J227" s="31"/>
      <c r="K227" s="31"/>
      <c r="L227" s="31"/>
      <c r="M227" s="31"/>
      <c r="N227" s="31"/>
      <c r="O227" s="31"/>
      <c r="P227" s="31"/>
      <c r="Q227" s="31"/>
      <c r="R227" s="31"/>
      <c r="S227" s="31"/>
      <c r="T227" s="31"/>
      <c r="U227" s="31"/>
      <c r="V227" s="31"/>
      <c r="X227" s="31"/>
    </row>
    <row r="228" spans="1:24" x14ac:dyDescent="0.3">
      <c r="A228" s="31"/>
      <c r="B228" s="31"/>
      <c r="C228" s="31"/>
      <c r="D228" s="31"/>
      <c r="E228" s="31"/>
      <c r="F228" s="31"/>
      <c r="G228" s="31"/>
      <c r="H228" s="31"/>
      <c r="I228" s="31"/>
      <c r="J228" s="31"/>
      <c r="K228" s="31"/>
      <c r="L228" s="31"/>
      <c r="M228" s="31"/>
      <c r="N228" s="31"/>
      <c r="O228" s="31"/>
      <c r="P228" s="31"/>
      <c r="Q228" s="31"/>
      <c r="R228" s="31"/>
      <c r="S228" s="31"/>
      <c r="T228" s="31"/>
      <c r="U228" s="31"/>
      <c r="V228" s="31"/>
      <c r="X228" s="31"/>
    </row>
    <row r="229" spans="1:24" x14ac:dyDescent="0.3">
      <c r="A229" s="31"/>
      <c r="B229" s="31"/>
      <c r="C229" s="31"/>
      <c r="D229" s="31"/>
      <c r="E229" s="31"/>
      <c r="F229" s="31"/>
      <c r="G229" s="31"/>
      <c r="H229" s="31"/>
      <c r="I229" s="31"/>
      <c r="J229" s="31"/>
      <c r="K229" s="31"/>
      <c r="L229" s="31"/>
      <c r="M229" s="31"/>
      <c r="N229" s="31"/>
      <c r="O229" s="31"/>
      <c r="P229" s="31"/>
      <c r="Q229" s="31"/>
      <c r="R229" s="31"/>
      <c r="S229" s="31"/>
      <c r="T229" s="31"/>
      <c r="U229" s="31"/>
      <c r="V229" s="31"/>
      <c r="X229" s="31"/>
    </row>
    <row r="230" spans="1:24" x14ac:dyDescent="0.3">
      <c r="A230" s="31"/>
      <c r="B230" s="31"/>
      <c r="C230" s="31"/>
      <c r="D230" s="31"/>
      <c r="E230" s="31"/>
      <c r="F230" s="31"/>
      <c r="G230" s="31"/>
      <c r="H230" s="31"/>
      <c r="I230" s="31"/>
      <c r="J230" s="31"/>
      <c r="K230" s="31"/>
      <c r="L230" s="31"/>
      <c r="M230" s="31"/>
      <c r="N230" s="31"/>
      <c r="O230" s="31"/>
      <c r="P230" s="31"/>
      <c r="Q230" s="31"/>
      <c r="R230" s="31"/>
      <c r="S230" s="31"/>
      <c r="T230" s="31"/>
      <c r="U230" s="31"/>
      <c r="V230" s="31"/>
      <c r="X230" s="31"/>
    </row>
    <row r="231" spans="1:24" x14ac:dyDescent="0.3">
      <c r="A231" s="31"/>
      <c r="B231" s="31"/>
      <c r="C231" s="31"/>
      <c r="D231" s="31"/>
      <c r="E231" s="31"/>
      <c r="F231" s="31"/>
      <c r="G231" s="31"/>
      <c r="H231" s="31"/>
      <c r="I231" s="31"/>
      <c r="J231" s="31"/>
      <c r="K231" s="31"/>
      <c r="L231" s="31"/>
      <c r="M231" s="31"/>
      <c r="N231" s="31"/>
      <c r="O231" s="31"/>
      <c r="P231" s="31"/>
      <c r="Q231" s="31"/>
      <c r="R231" s="31"/>
      <c r="S231" s="31"/>
      <c r="T231" s="31"/>
      <c r="U231" s="31"/>
      <c r="V231" s="31"/>
      <c r="X231" s="31"/>
    </row>
    <row r="232" spans="1:24" x14ac:dyDescent="0.3">
      <c r="A232" s="31"/>
      <c r="B232" s="31"/>
      <c r="C232" s="31"/>
      <c r="D232" s="31"/>
      <c r="E232" s="31"/>
      <c r="F232" s="31"/>
      <c r="G232" s="31"/>
      <c r="H232" s="31"/>
      <c r="I232" s="31"/>
      <c r="J232" s="31"/>
      <c r="K232" s="31"/>
      <c r="L232" s="31"/>
      <c r="M232" s="31"/>
      <c r="N232" s="31"/>
      <c r="O232" s="31"/>
      <c r="P232" s="31"/>
      <c r="Q232" s="31"/>
      <c r="R232" s="31"/>
      <c r="S232" s="31"/>
      <c r="T232" s="31"/>
      <c r="U232" s="31"/>
      <c r="V232" s="31"/>
      <c r="X232" s="31"/>
    </row>
    <row r="233" spans="1:24" x14ac:dyDescent="0.3">
      <c r="A233" s="31"/>
      <c r="B233" s="31"/>
      <c r="C233" s="31"/>
      <c r="D233" s="31"/>
      <c r="E233" s="31"/>
      <c r="F233" s="31"/>
      <c r="G233" s="31"/>
      <c r="H233" s="31"/>
      <c r="I233" s="31"/>
      <c r="J233" s="31"/>
      <c r="K233" s="31"/>
      <c r="L233" s="31"/>
      <c r="M233" s="31"/>
      <c r="N233" s="31"/>
      <c r="O233" s="31"/>
      <c r="P233" s="31"/>
      <c r="Q233" s="31"/>
      <c r="R233" s="31"/>
      <c r="S233" s="31"/>
      <c r="T233" s="31"/>
      <c r="U233" s="31"/>
      <c r="V233" s="31"/>
      <c r="X233" s="31"/>
    </row>
    <row r="234" spans="1:24" x14ac:dyDescent="0.3">
      <c r="A234" s="31"/>
      <c r="B234" s="31"/>
      <c r="C234" s="31"/>
      <c r="D234" s="31"/>
      <c r="E234" s="31"/>
      <c r="F234" s="31"/>
      <c r="G234" s="31"/>
      <c r="H234" s="31"/>
      <c r="I234" s="31"/>
      <c r="J234" s="31"/>
      <c r="K234" s="31"/>
      <c r="L234" s="31"/>
      <c r="M234" s="31"/>
      <c r="N234" s="31"/>
      <c r="O234" s="31"/>
      <c r="P234" s="31"/>
      <c r="Q234" s="31"/>
      <c r="R234" s="31"/>
      <c r="S234" s="31"/>
      <c r="T234" s="31"/>
      <c r="U234" s="31"/>
      <c r="V234" s="31"/>
      <c r="X234" s="31"/>
    </row>
    <row r="235" spans="1:24" x14ac:dyDescent="0.3">
      <c r="A235" s="31"/>
      <c r="B235" s="31"/>
      <c r="C235" s="31"/>
      <c r="D235" s="31"/>
      <c r="E235" s="31"/>
      <c r="F235" s="31"/>
      <c r="G235" s="31"/>
      <c r="H235" s="31"/>
      <c r="I235" s="31"/>
      <c r="J235" s="31"/>
      <c r="K235" s="31"/>
      <c r="L235" s="31"/>
      <c r="M235" s="31"/>
      <c r="N235" s="31"/>
      <c r="O235" s="31"/>
      <c r="P235" s="31"/>
      <c r="Q235" s="31"/>
      <c r="R235" s="31"/>
      <c r="S235" s="31"/>
      <c r="T235" s="31"/>
      <c r="U235" s="31"/>
      <c r="V235" s="31"/>
      <c r="X235" s="31"/>
    </row>
    <row r="236" spans="1:24" x14ac:dyDescent="0.3">
      <c r="A236" s="31"/>
      <c r="B236" s="31"/>
      <c r="C236" s="31"/>
      <c r="D236" s="31"/>
      <c r="E236" s="31"/>
      <c r="F236" s="31"/>
      <c r="G236" s="31"/>
      <c r="H236" s="31"/>
      <c r="I236" s="31"/>
      <c r="J236" s="31"/>
      <c r="K236" s="31"/>
      <c r="L236" s="31"/>
      <c r="M236" s="31"/>
      <c r="N236" s="31"/>
      <c r="O236" s="31"/>
      <c r="P236" s="31"/>
      <c r="Q236" s="31"/>
      <c r="R236" s="31"/>
      <c r="S236" s="31"/>
      <c r="T236" s="31"/>
      <c r="U236" s="31"/>
      <c r="V236" s="31"/>
      <c r="X236" s="31"/>
    </row>
    <row r="237" spans="1:24" x14ac:dyDescent="0.3">
      <c r="A237" s="31"/>
      <c r="B237" s="31"/>
      <c r="C237" s="31"/>
      <c r="D237" s="31"/>
      <c r="E237" s="31"/>
      <c r="F237" s="31"/>
      <c r="G237" s="31"/>
      <c r="H237" s="31"/>
      <c r="I237" s="31"/>
      <c r="J237" s="31"/>
      <c r="K237" s="31"/>
      <c r="L237" s="31"/>
      <c r="M237" s="31"/>
      <c r="N237" s="31"/>
      <c r="O237" s="31"/>
      <c r="P237" s="31"/>
      <c r="Q237" s="31"/>
      <c r="R237" s="31"/>
      <c r="S237" s="31"/>
      <c r="T237" s="31"/>
      <c r="U237" s="31"/>
      <c r="V237" s="31"/>
      <c r="X237" s="31"/>
    </row>
    <row r="238" spans="1:24" x14ac:dyDescent="0.3">
      <c r="A238" s="31"/>
      <c r="B238" s="31"/>
      <c r="C238" s="31"/>
      <c r="D238" s="31"/>
      <c r="E238" s="31"/>
      <c r="F238" s="31"/>
      <c r="G238" s="31"/>
      <c r="H238" s="31"/>
      <c r="I238" s="31"/>
      <c r="J238" s="31"/>
      <c r="K238" s="31"/>
      <c r="L238" s="31"/>
      <c r="M238" s="31"/>
      <c r="N238" s="31"/>
      <c r="O238" s="31"/>
      <c r="P238" s="31"/>
      <c r="Q238" s="31"/>
      <c r="R238" s="31"/>
      <c r="S238" s="31"/>
      <c r="T238" s="31"/>
      <c r="U238" s="31"/>
      <c r="V238" s="31"/>
      <c r="X238" s="31"/>
    </row>
    <row r="239" spans="1:24" x14ac:dyDescent="0.3">
      <c r="A239" s="31"/>
      <c r="B239" s="31"/>
      <c r="C239" s="31"/>
      <c r="D239" s="31"/>
      <c r="E239" s="31"/>
      <c r="F239" s="31"/>
      <c r="G239" s="31"/>
      <c r="H239" s="31"/>
      <c r="I239" s="31"/>
      <c r="J239" s="31"/>
      <c r="K239" s="31"/>
      <c r="L239" s="31"/>
      <c r="M239" s="31"/>
      <c r="N239" s="31"/>
      <c r="O239" s="31"/>
      <c r="P239" s="31"/>
      <c r="Q239" s="31"/>
      <c r="R239" s="31"/>
      <c r="S239" s="31"/>
      <c r="T239" s="31"/>
      <c r="U239" s="31"/>
      <c r="V239" s="31"/>
      <c r="X239" s="31"/>
    </row>
    <row r="240" spans="1:24" x14ac:dyDescent="0.3">
      <c r="A240" s="31"/>
      <c r="B240" s="31"/>
      <c r="C240" s="31"/>
      <c r="D240" s="31"/>
      <c r="E240" s="31"/>
      <c r="F240" s="31"/>
      <c r="G240" s="31"/>
      <c r="H240" s="31"/>
      <c r="I240" s="31"/>
      <c r="J240" s="31"/>
      <c r="K240" s="31"/>
      <c r="L240" s="31"/>
      <c r="M240" s="31"/>
      <c r="N240" s="31"/>
      <c r="O240" s="31"/>
      <c r="P240" s="31"/>
      <c r="Q240" s="31"/>
      <c r="R240" s="31"/>
      <c r="S240" s="31"/>
      <c r="T240" s="31"/>
      <c r="U240" s="31"/>
      <c r="V240" s="31"/>
      <c r="X240" s="31"/>
    </row>
    <row r="241" spans="1:24" x14ac:dyDescent="0.3">
      <c r="A241" s="31"/>
      <c r="B241" s="31"/>
      <c r="C241" s="31"/>
      <c r="D241" s="31"/>
      <c r="E241" s="31"/>
      <c r="F241" s="31"/>
      <c r="G241" s="31"/>
      <c r="H241" s="31"/>
      <c r="I241" s="31"/>
      <c r="J241" s="31"/>
      <c r="K241" s="31"/>
      <c r="L241" s="31"/>
      <c r="M241" s="31"/>
      <c r="N241" s="31"/>
      <c r="O241" s="31"/>
      <c r="P241" s="31"/>
      <c r="Q241" s="31"/>
      <c r="R241" s="31"/>
      <c r="S241" s="31"/>
      <c r="T241" s="31"/>
      <c r="U241" s="31"/>
      <c r="V241" s="31"/>
      <c r="X241" s="31"/>
    </row>
    <row r="242" spans="1:24" x14ac:dyDescent="0.3">
      <c r="A242" s="31"/>
      <c r="B242" s="31"/>
      <c r="C242" s="31"/>
      <c r="D242" s="31"/>
      <c r="E242" s="31"/>
      <c r="F242" s="31"/>
      <c r="G242" s="31"/>
      <c r="H242" s="31"/>
      <c r="I242" s="31"/>
      <c r="J242" s="31"/>
      <c r="K242" s="31"/>
      <c r="L242" s="31"/>
      <c r="M242" s="31"/>
      <c r="N242" s="31"/>
      <c r="O242" s="31"/>
      <c r="P242" s="31"/>
      <c r="Q242" s="31"/>
      <c r="R242" s="31"/>
      <c r="S242" s="31"/>
      <c r="T242" s="31"/>
      <c r="U242" s="31"/>
      <c r="V242" s="31"/>
      <c r="X242" s="31"/>
    </row>
    <row r="243" spans="1:24" x14ac:dyDescent="0.3">
      <c r="A243" s="31"/>
      <c r="B243" s="31"/>
      <c r="C243" s="31"/>
      <c r="D243" s="31"/>
      <c r="E243" s="31"/>
      <c r="F243" s="31"/>
      <c r="G243" s="31"/>
      <c r="H243" s="31"/>
      <c r="I243" s="31"/>
      <c r="J243" s="31"/>
      <c r="K243" s="31"/>
      <c r="L243" s="31"/>
      <c r="M243" s="31"/>
      <c r="N243" s="31"/>
      <c r="O243" s="31"/>
      <c r="P243" s="31"/>
      <c r="Q243" s="31"/>
      <c r="R243" s="31"/>
      <c r="S243" s="31"/>
      <c r="T243" s="31"/>
      <c r="U243" s="31"/>
      <c r="V243" s="31"/>
      <c r="X243" s="31"/>
    </row>
    <row r="244" spans="1:24" x14ac:dyDescent="0.3">
      <c r="A244" s="31"/>
      <c r="B244" s="31"/>
      <c r="C244" s="31"/>
      <c r="D244" s="31"/>
      <c r="E244" s="31"/>
      <c r="F244" s="31"/>
      <c r="G244" s="31"/>
      <c r="H244" s="31"/>
      <c r="I244" s="31"/>
      <c r="J244" s="31"/>
      <c r="K244" s="31"/>
      <c r="L244" s="31"/>
      <c r="M244" s="31"/>
      <c r="N244" s="31"/>
      <c r="O244" s="31"/>
      <c r="P244" s="31"/>
      <c r="Q244" s="31"/>
      <c r="R244" s="31"/>
      <c r="S244" s="31"/>
      <c r="T244" s="31"/>
      <c r="U244" s="31"/>
      <c r="V244" s="31"/>
      <c r="X244" s="31"/>
    </row>
    <row r="245" spans="1:24" x14ac:dyDescent="0.3">
      <c r="A245" s="31"/>
      <c r="B245" s="31"/>
      <c r="C245" s="31"/>
      <c r="D245" s="31"/>
      <c r="E245" s="31"/>
      <c r="F245" s="31"/>
      <c r="G245" s="31"/>
      <c r="H245" s="31"/>
      <c r="I245" s="31"/>
      <c r="J245" s="31"/>
      <c r="K245" s="31"/>
      <c r="L245" s="31"/>
      <c r="M245" s="31"/>
      <c r="N245" s="31"/>
      <c r="O245" s="31"/>
      <c r="P245" s="31"/>
      <c r="Q245" s="31"/>
      <c r="R245" s="31"/>
      <c r="S245" s="31"/>
      <c r="T245" s="31"/>
      <c r="U245" s="31"/>
      <c r="V245" s="31"/>
      <c r="X245" s="31"/>
    </row>
    <row r="246" spans="1:24" x14ac:dyDescent="0.3">
      <c r="A246" s="31"/>
      <c r="B246" s="31"/>
      <c r="C246" s="31"/>
      <c r="D246" s="31"/>
      <c r="E246" s="31"/>
      <c r="F246" s="31"/>
      <c r="G246" s="31"/>
      <c r="H246" s="31"/>
      <c r="I246" s="31"/>
      <c r="J246" s="31"/>
      <c r="K246" s="31"/>
      <c r="L246" s="31"/>
      <c r="M246" s="31"/>
      <c r="N246" s="31"/>
      <c r="O246" s="31"/>
      <c r="P246" s="31"/>
      <c r="Q246" s="31"/>
      <c r="R246" s="31"/>
      <c r="S246" s="31"/>
      <c r="T246" s="31"/>
      <c r="U246" s="31"/>
      <c r="V246" s="31"/>
      <c r="X246" s="31"/>
    </row>
    <row r="247" spans="1:24" x14ac:dyDescent="0.3">
      <c r="A247" s="31"/>
      <c r="B247" s="31"/>
      <c r="C247" s="31"/>
      <c r="D247" s="31"/>
      <c r="E247" s="31"/>
      <c r="F247" s="31"/>
      <c r="G247" s="31"/>
      <c r="H247" s="31"/>
      <c r="I247" s="31"/>
      <c r="J247" s="31"/>
      <c r="K247" s="31"/>
      <c r="L247" s="31"/>
      <c r="M247" s="31"/>
      <c r="N247" s="31"/>
      <c r="O247" s="31"/>
      <c r="P247" s="31"/>
      <c r="Q247" s="31"/>
      <c r="R247" s="31"/>
      <c r="S247" s="31"/>
      <c r="T247" s="31"/>
      <c r="U247" s="31"/>
      <c r="V247" s="31"/>
      <c r="X247" s="31"/>
    </row>
    <row r="248" spans="1:24" x14ac:dyDescent="0.3">
      <c r="A248" s="31"/>
      <c r="B248" s="31"/>
      <c r="C248" s="31"/>
      <c r="D248" s="31"/>
      <c r="E248" s="31"/>
      <c r="F248" s="31"/>
      <c r="G248" s="31"/>
      <c r="H248" s="31"/>
      <c r="I248" s="31"/>
      <c r="J248" s="31"/>
      <c r="K248" s="31"/>
      <c r="L248" s="31"/>
      <c r="M248" s="31"/>
      <c r="N248" s="31"/>
      <c r="O248" s="31"/>
      <c r="P248" s="31"/>
      <c r="Q248" s="31"/>
      <c r="R248" s="31"/>
      <c r="S248" s="31"/>
      <c r="T248" s="31"/>
      <c r="U248" s="31"/>
      <c r="V248" s="31"/>
      <c r="X248" s="31"/>
    </row>
    <row r="249" spans="1:24" x14ac:dyDescent="0.3">
      <c r="A249" s="31"/>
      <c r="B249" s="31"/>
      <c r="C249" s="31"/>
      <c r="D249" s="31"/>
      <c r="E249" s="31"/>
      <c r="F249" s="31"/>
      <c r="G249" s="31"/>
      <c r="H249" s="31"/>
      <c r="I249" s="31"/>
      <c r="J249" s="31"/>
      <c r="K249" s="31"/>
      <c r="L249" s="31"/>
      <c r="M249" s="31"/>
      <c r="N249" s="31"/>
      <c r="O249" s="31"/>
      <c r="P249" s="31"/>
      <c r="Q249" s="31"/>
      <c r="R249" s="31"/>
      <c r="S249" s="31"/>
      <c r="T249" s="31"/>
      <c r="U249" s="31"/>
      <c r="V249" s="31"/>
      <c r="X249" s="31"/>
    </row>
    <row r="250" spans="1:24" x14ac:dyDescent="0.3">
      <c r="A250" s="31"/>
      <c r="B250" s="31"/>
      <c r="C250" s="31"/>
      <c r="D250" s="31"/>
      <c r="E250" s="31"/>
      <c r="F250" s="31"/>
      <c r="G250" s="31"/>
      <c r="H250" s="31"/>
      <c r="I250" s="31"/>
      <c r="J250" s="31"/>
      <c r="K250" s="31"/>
      <c r="L250" s="31"/>
      <c r="M250" s="31"/>
      <c r="N250" s="31"/>
      <c r="O250" s="31"/>
      <c r="P250" s="31"/>
      <c r="Q250" s="31"/>
      <c r="R250" s="31"/>
      <c r="S250" s="31"/>
      <c r="T250" s="31"/>
      <c r="U250" s="31"/>
      <c r="V250" s="31"/>
      <c r="X250" s="31"/>
    </row>
    <row r="251" spans="1:24" x14ac:dyDescent="0.3">
      <c r="A251" s="31"/>
      <c r="B251" s="31"/>
      <c r="C251" s="31"/>
      <c r="D251" s="31"/>
      <c r="E251" s="31"/>
      <c r="F251" s="31"/>
      <c r="G251" s="31"/>
      <c r="H251" s="31"/>
      <c r="I251" s="31"/>
      <c r="J251" s="31"/>
      <c r="K251" s="31"/>
      <c r="L251" s="31"/>
      <c r="M251" s="31"/>
      <c r="N251" s="31"/>
      <c r="O251" s="31"/>
      <c r="P251" s="31"/>
      <c r="Q251" s="31"/>
      <c r="R251" s="31"/>
      <c r="S251" s="31"/>
      <c r="T251" s="31"/>
      <c r="U251" s="31"/>
      <c r="V251" s="31"/>
      <c r="X251" s="31"/>
    </row>
    <row r="252" spans="1:24" x14ac:dyDescent="0.3">
      <c r="A252" s="31"/>
      <c r="B252" s="31"/>
      <c r="C252" s="31"/>
      <c r="D252" s="31"/>
      <c r="E252" s="31"/>
      <c r="F252" s="31"/>
      <c r="G252" s="31"/>
      <c r="H252" s="31"/>
      <c r="I252" s="31"/>
      <c r="J252" s="31"/>
      <c r="K252" s="31"/>
      <c r="L252" s="31"/>
      <c r="M252" s="31"/>
      <c r="N252" s="31"/>
      <c r="O252" s="31"/>
      <c r="P252" s="31"/>
      <c r="Q252" s="31"/>
      <c r="R252" s="31"/>
      <c r="S252" s="31"/>
      <c r="T252" s="31"/>
      <c r="U252" s="31"/>
      <c r="V252" s="31"/>
      <c r="X252" s="31"/>
    </row>
    <row r="253" spans="1:24" x14ac:dyDescent="0.3">
      <c r="A253" s="31"/>
      <c r="B253" s="31"/>
      <c r="C253" s="31"/>
      <c r="D253" s="31"/>
      <c r="E253" s="31"/>
      <c r="F253" s="31"/>
      <c r="G253" s="31"/>
      <c r="H253" s="31"/>
      <c r="I253" s="31"/>
      <c r="J253" s="31"/>
      <c r="K253" s="31"/>
      <c r="L253" s="31"/>
      <c r="M253" s="31"/>
      <c r="N253" s="31"/>
      <c r="O253" s="31"/>
      <c r="P253" s="31"/>
      <c r="Q253" s="31"/>
      <c r="R253" s="31"/>
      <c r="S253" s="31"/>
      <c r="T253" s="31"/>
      <c r="U253" s="31"/>
      <c r="V253" s="31"/>
      <c r="X253" s="31"/>
    </row>
    <row r="254" spans="1:24" x14ac:dyDescent="0.3">
      <c r="A254" s="31"/>
      <c r="B254" s="31"/>
      <c r="C254" s="31"/>
      <c r="D254" s="31"/>
      <c r="E254" s="31"/>
      <c r="F254" s="31"/>
      <c r="G254" s="31"/>
      <c r="H254" s="31"/>
      <c r="I254" s="31"/>
      <c r="J254" s="31"/>
      <c r="K254" s="31"/>
      <c r="L254" s="31"/>
      <c r="M254" s="31"/>
      <c r="N254" s="31"/>
      <c r="O254" s="31"/>
      <c r="P254" s="31"/>
      <c r="Q254" s="31"/>
      <c r="R254" s="31"/>
      <c r="S254" s="31"/>
      <c r="T254" s="31"/>
      <c r="U254" s="31"/>
      <c r="V254" s="31"/>
      <c r="X254" s="31"/>
    </row>
    <row r="255" spans="1:24" x14ac:dyDescent="0.3">
      <c r="A255" s="31"/>
      <c r="B255" s="31"/>
      <c r="C255" s="31"/>
      <c r="D255" s="31"/>
      <c r="E255" s="31"/>
      <c r="F255" s="31"/>
      <c r="G255" s="31"/>
      <c r="H255" s="31"/>
      <c r="I255" s="31"/>
      <c r="J255" s="31"/>
      <c r="K255" s="31"/>
      <c r="L255" s="31"/>
      <c r="M255" s="31"/>
      <c r="N255" s="31"/>
      <c r="O255" s="31"/>
      <c r="P255" s="31"/>
      <c r="Q255" s="31"/>
      <c r="R255" s="31"/>
      <c r="S255" s="31"/>
      <c r="T255" s="31"/>
      <c r="U255" s="31"/>
      <c r="V255" s="31"/>
      <c r="X255" s="31"/>
    </row>
    <row r="256" spans="1:24" x14ac:dyDescent="0.3">
      <c r="A256" s="31"/>
      <c r="B256" s="31"/>
      <c r="C256" s="31"/>
      <c r="D256" s="31"/>
      <c r="E256" s="31"/>
      <c r="F256" s="31"/>
      <c r="G256" s="31"/>
      <c r="H256" s="31"/>
      <c r="I256" s="31"/>
      <c r="J256" s="31"/>
      <c r="K256" s="31"/>
      <c r="L256" s="31"/>
      <c r="M256" s="31"/>
      <c r="N256" s="31"/>
      <c r="O256" s="31"/>
      <c r="P256" s="31"/>
      <c r="Q256" s="31"/>
      <c r="R256" s="31"/>
      <c r="S256" s="31"/>
      <c r="T256" s="31"/>
      <c r="U256" s="31"/>
      <c r="V256" s="31"/>
      <c r="X256" s="31"/>
    </row>
    <row r="257" spans="1:24" x14ac:dyDescent="0.3">
      <c r="A257" s="31"/>
      <c r="B257" s="31"/>
      <c r="C257" s="31"/>
      <c r="D257" s="31"/>
      <c r="E257" s="31"/>
      <c r="F257" s="31"/>
      <c r="G257" s="31"/>
      <c r="H257" s="31"/>
      <c r="I257" s="31"/>
      <c r="J257" s="31"/>
      <c r="K257" s="31"/>
      <c r="L257" s="31"/>
      <c r="M257" s="31"/>
      <c r="N257" s="31"/>
      <c r="O257" s="31"/>
      <c r="P257" s="31"/>
      <c r="Q257" s="31"/>
      <c r="R257" s="31"/>
      <c r="S257" s="31"/>
      <c r="T257" s="31"/>
      <c r="U257" s="31"/>
      <c r="V257" s="31"/>
      <c r="X257" s="31"/>
    </row>
    <row r="258" spans="1:24" x14ac:dyDescent="0.3">
      <c r="A258" s="31"/>
      <c r="B258" s="31"/>
      <c r="C258" s="31"/>
      <c r="D258" s="31"/>
      <c r="E258" s="31"/>
      <c r="F258" s="31"/>
      <c r="G258" s="31"/>
      <c r="H258" s="31"/>
      <c r="I258" s="31"/>
      <c r="J258" s="31"/>
      <c r="K258" s="31"/>
      <c r="L258" s="31"/>
      <c r="M258" s="31"/>
      <c r="N258" s="31"/>
      <c r="O258" s="31"/>
      <c r="P258" s="31"/>
      <c r="Q258" s="31"/>
      <c r="R258" s="31"/>
      <c r="S258" s="31"/>
      <c r="T258" s="31"/>
      <c r="U258" s="31"/>
      <c r="V258" s="31"/>
      <c r="X258" s="31"/>
    </row>
    <row r="259" spans="1:24" x14ac:dyDescent="0.3">
      <c r="A259" s="31"/>
      <c r="B259" s="31"/>
      <c r="C259" s="31"/>
      <c r="D259" s="31"/>
      <c r="E259" s="31"/>
      <c r="F259" s="31"/>
      <c r="G259" s="31"/>
      <c r="H259" s="31"/>
      <c r="I259" s="31"/>
      <c r="J259" s="31"/>
      <c r="K259" s="31"/>
      <c r="L259" s="31"/>
      <c r="M259" s="31"/>
      <c r="N259" s="31"/>
      <c r="O259" s="31"/>
      <c r="P259" s="31"/>
      <c r="Q259" s="31"/>
      <c r="R259" s="31"/>
      <c r="S259" s="31"/>
      <c r="T259" s="31"/>
      <c r="U259" s="31"/>
      <c r="V259" s="31"/>
      <c r="X259" s="31"/>
    </row>
    <row r="260" spans="1:24" x14ac:dyDescent="0.3">
      <c r="A260" s="31"/>
      <c r="B260" s="31"/>
      <c r="C260" s="31"/>
      <c r="D260" s="31"/>
      <c r="E260" s="31"/>
      <c r="F260" s="31"/>
      <c r="G260" s="31"/>
      <c r="H260" s="31"/>
      <c r="I260" s="31"/>
      <c r="J260" s="31"/>
      <c r="K260" s="31"/>
      <c r="L260" s="31"/>
      <c r="M260" s="31"/>
      <c r="N260" s="31"/>
      <c r="O260" s="31"/>
      <c r="P260" s="31"/>
      <c r="Q260" s="31"/>
      <c r="R260" s="31"/>
      <c r="S260" s="31"/>
      <c r="T260" s="31"/>
      <c r="U260" s="31"/>
      <c r="V260" s="31"/>
      <c r="X260" s="31"/>
    </row>
    <row r="261" spans="1:24" x14ac:dyDescent="0.3">
      <c r="A261" s="31"/>
      <c r="B261" s="31"/>
      <c r="C261" s="31"/>
      <c r="D261" s="31"/>
      <c r="E261" s="31"/>
      <c r="F261" s="31"/>
      <c r="G261" s="31"/>
      <c r="H261" s="31"/>
      <c r="I261" s="31"/>
      <c r="J261" s="31"/>
      <c r="K261" s="31"/>
      <c r="L261" s="31"/>
      <c r="M261" s="31"/>
      <c r="N261" s="31"/>
      <c r="O261" s="31"/>
      <c r="P261" s="31"/>
      <c r="Q261" s="31"/>
      <c r="R261" s="31"/>
      <c r="S261" s="31"/>
      <c r="T261" s="31"/>
      <c r="U261" s="31"/>
      <c r="V261" s="31"/>
    </row>
    <row r="262" spans="1:24" x14ac:dyDescent="0.3">
      <c r="A262" s="31"/>
      <c r="B262" s="31"/>
      <c r="C262" s="31"/>
      <c r="D262" s="31"/>
      <c r="E262" s="31"/>
      <c r="F262" s="31"/>
      <c r="G262" s="31"/>
      <c r="H262" s="31"/>
      <c r="I262" s="31"/>
      <c r="J262" s="31"/>
      <c r="K262" s="31"/>
      <c r="L262" s="31"/>
      <c r="M262" s="31"/>
      <c r="N262" s="31"/>
      <c r="O262" s="31"/>
      <c r="P262" s="31"/>
      <c r="Q262" s="31"/>
      <c r="R262" s="31"/>
      <c r="S262" s="31"/>
      <c r="T262" s="31"/>
      <c r="U262" s="31"/>
      <c r="V262" s="31"/>
    </row>
    <row r="263" spans="1:24" x14ac:dyDescent="0.3">
      <c r="A263" s="31"/>
      <c r="B263" s="31"/>
      <c r="C263" s="31"/>
      <c r="D263" s="31"/>
      <c r="E263" s="31"/>
      <c r="F263" s="31"/>
      <c r="G263" s="31"/>
      <c r="H263" s="31"/>
      <c r="I263" s="31"/>
      <c r="J263" s="31"/>
      <c r="K263" s="31"/>
      <c r="L263" s="31"/>
      <c r="M263" s="31"/>
      <c r="N263" s="31"/>
      <c r="O263" s="31"/>
      <c r="P263" s="31"/>
      <c r="Q263" s="31"/>
      <c r="R263" s="31"/>
      <c r="S263" s="31"/>
      <c r="T263" s="31"/>
      <c r="U263" s="31"/>
      <c r="V263" s="31"/>
    </row>
    <row r="264" spans="1:24" x14ac:dyDescent="0.3">
      <c r="A264" s="31"/>
      <c r="B264" s="31"/>
      <c r="C264" s="31"/>
      <c r="D264" s="31"/>
      <c r="E264" s="31"/>
      <c r="F264" s="31"/>
      <c r="G264" s="31"/>
      <c r="H264" s="31"/>
      <c r="I264" s="31"/>
      <c r="J264" s="31"/>
      <c r="K264" s="31"/>
      <c r="L264" s="31"/>
      <c r="M264" s="31"/>
      <c r="N264" s="31"/>
      <c r="O264" s="31"/>
      <c r="P264" s="31"/>
      <c r="Q264" s="31"/>
      <c r="R264" s="31"/>
      <c r="S264" s="31"/>
      <c r="T264" s="31"/>
      <c r="U264" s="31"/>
      <c r="V264" s="31"/>
    </row>
    <row r="265" spans="1:24" x14ac:dyDescent="0.3">
      <c r="A265" s="31"/>
      <c r="B265" s="31"/>
      <c r="C265" s="31"/>
      <c r="D265" s="31"/>
      <c r="E265" s="31"/>
      <c r="F265" s="31"/>
      <c r="G265" s="31"/>
      <c r="H265" s="31"/>
      <c r="I265" s="31"/>
      <c r="J265" s="31"/>
      <c r="K265" s="31"/>
      <c r="L265" s="31"/>
      <c r="M265" s="31"/>
      <c r="N265" s="31"/>
      <c r="O265" s="31"/>
      <c r="P265" s="31"/>
      <c r="Q265" s="31"/>
      <c r="R265" s="31"/>
      <c r="S265" s="31"/>
      <c r="T265" s="31"/>
      <c r="U265" s="31"/>
      <c r="V265" s="31"/>
    </row>
    <row r="266" spans="1:24" x14ac:dyDescent="0.3">
      <c r="A266" s="31"/>
      <c r="B266" s="31"/>
      <c r="C266" s="31"/>
      <c r="D266" s="31"/>
      <c r="E266" s="31"/>
      <c r="F266" s="31"/>
      <c r="G266" s="31"/>
      <c r="H266" s="31"/>
      <c r="I266" s="31"/>
      <c r="J266" s="31"/>
      <c r="K266" s="31"/>
      <c r="L266" s="31"/>
      <c r="M266" s="31"/>
      <c r="N266" s="31"/>
      <c r="O266" s="31"/>
      <c r="P266" s="31"/>
      <c r="Q266" s="31"/>
      <c r="R266" s="31"/>
      <c r="S266" s="31"/>
      <c r="T266" s="31"/>
      <c r="U266" s="31"/>
      <c r="V266" s="31"/>
    </row>
    <row r="267" spans="1:24" x14ac:dyDescent="0.3">
      <c r="A267" s="31"/>
      <c r="B267" s="31"/>
      <c r="C267" s="31"/>
      <c r="D267" s="31"/>
      <c r="E267" s="31"/>
      <c r="F267" s="31"/>
      <c r="G267" s="31"/>
      <c r="H267" s="31"/>
      <c r="I267" s="31"/>
      <c r="J267" s="31"/>
      <c r="K267" s="31"/>
      <c r="L267" s="31"/>
      <c r="M267" s="31"/>
      <c r="N267" s="31"/>
      <c r="O267" s="31"/>
      <c r="P267" s="31"/>
      <c r="Q267" s="31"/>
      <c r="R267" s="31"/>
      <c r="S267" s="31"/>
      <c r="T267" s="31"/>
      <c r="U267" s="31"/>
      <c r="V267" s="31"/>
    </row>
    <row r="268" spans="1:24" x14ac:dyDescent="0.3">
      <c r="A268" s="31"/>
      <c r="B268" s="31"/>
      <c r="C268" s="31"/>
      <c r="D268" s="31"/>
      <c r="E268" s="31"/>
      <c r="F268" s="31"/>
      <c r="G268" s="31"/>
      <c r="H268" s="31"/>
      <c r="I268" s="31"/>
      <c r="J268" s="31"/>
      <c r="K268" s="31"/>
      <c r="L268" s="31"/>
      <c r="M268" s="31"/>
      <c r="N268" s="31"/>
      <c r="O268" s="31"/>
      <c r="P268" s="31"/>
      <c r="Q268" s="31"/>
      <c r="R268" s="31"/>
      <c r="S268" s="31"/>
      <c r="T268" s="31"/>
      <c r="U268" s="31"/>
      <c r="V268" s="31"/>
    </row>
    <row r="269" spans="1:24" x14ac:dyDescent="0.3">
      <c r="A269" s="31"/>
      <c r="B269" s="31"/>
      <c r="C269" s="31"/>
      <c r="D269" s="31"/>
      <c r="E269" s="31"/>
      <c r="F269" s="31"/>
      <c r="G269" s="31"/>
      <c r="H269" s="31"/>
      <c r="I269" s="31"/>
      <c r="J269" s="31"/>
      <c r="K269" s="31"/>
      <c r="L269" s="31"/>
      <c r="M269" s="31"/>
      <c r="N269" s="31"/>
      <c r="O269" s="31"/>
      <c r="P269" s="31"/>
      <c r="Q269" s="31"/>
      <c r="R269" s="31"/>
      <c r="S269" s="31"/>
      <c r="T269" s="31"/>
      <c r="U269" s="31"/>
      <c r="V269" s="31"/>
    </row>
    <row r="270" spans="1:24" x14ac:dyDescent="0.3">
      <c r="A270" s="31"/>
      <c r="B270" s="31"/>
      <c r="C270" s="31"/>
      <c r="D270" s="31"/>
      <c r="E270" s="31"/>
      <c r="F270" s="31"/>
      <c r="G270" s="31"/>
      <c r="H270" s="31"/>
      <c r="I270" s="31"/>
      <c r="J270" s="31"/>
      <c r="K270" s="31"/>
      <c r="L270" s="31"/>
      <c r="M270" s="31"/>
      <c r="N270" s="31"/>
      <c r="O270" s="31"/>
      <c r="P270" s="31"/>
      <c r="Q270" s="31"/>
      <c r="R270" s="31"/>
      <c r="S270" s="31"/>
      <c r="T270" s="31"/>
      <c r="U270" s="31"/>
      <c r="V270" s="31"/>
    </row>
    <row r="271" spans="1:24" x14ac:dyDescent="0.3">
      <c r="A271" s="31"/>
      <c r="B271" s="31"/>
      <c r="C271" s="31"/>
      <c r="D271" s="31"/>
      <c r="E271" s="31"/>
      <c r="F271" s="31"/>
      <c r="G271" s="31"/>
      <c r="H271" s="31"/>
      <c r="I271" s="31"/>
      <c r="J271" s="31"/>
      <c r="K271" s="31"/>
      <c r="L271" s="31"/>
      <c r="M271" s="31"/>
      <c r="N271" s="31"/>
      <c r="O271" s="31"/>
      <c r="P271" s="31"/>
      <c r="Q271" s="31"/>
      <c r="R271" s="31"/>
      <c r="S271" s="31"/>
      <c r="T271" s="31"/>
      <c r="U271" s="31"/>
      <c r="V271" s="31"/>
    </row>
    <row r="272" spans="1:24" x14ac:dyDescent="0.3">
      <c r="A272" s="31"/>
      <c r="B272" s="31"/>
      <c r="C272" s="31"/>
      <c r="D272" s="31"/>
      <c r="E272" s="31"/>
      <c r="F272" s="31"/>
      <c r="G272" s="31"/>
      <c r="H272" s="31"/>
      <c r="I272" s="31"/>
      <c r="J272" s="31"/>
      <c r="K272" s="31"/>
      <c r="L272" s="31"/>
      <c r="M272" s="31"/>
      <c r="N272" s="31"/>
      <c r="O272" s="31"/>
      <c r="P272" s="31"/>
      <c r="Q272" s="31"/>
      <c r="R272" s="31"/>
      <c r="S272" s="31"/>
      <c r="T272" s="31"/>
      <c r="U272" s="31"/>
      <c r="V272" s="31"/>
    </row>
    <row r="273" spans="1:22" x14ac:dyDescent="0.3">
      <c r="A273" s="31"/>
      <c r="B273" s="31"/>
      <c r="C273" s="31"/>
      <c r="D273" s="31"/>
      <c r="E273" s="31"/>
      <c r="F273" s="31"/>
      <c r="G273" s="31"/>
      <c r="H273" s="31"/>
      <c r="I273" s="31"/>
      <c r="J273" s="31"/>
      <c r="K273" s="31"/>
      <c r="L273" s="31"/>
      <c r="M273" s="31"/>
      <c r="N273" s="31"/>
      <c r="O273" s="31"/>
      <c r="P273" s="31"/>
      <c r="Q273" s="31"/>
      <c r="R273" s="31"/>
      <c r="S273" s="31"/>
      <c r="T273" s="31"/>
      <c r="U273" s="31"/>
      <c r="V273" s="31"/>
    </row>
    <row r="274" spans="1:22" x14ac:dyDescent="0.3">
      <c r="A274" s="31"/>
      <c r="B274" s="31"/>
      <c r="C274" s="31"/>
      <c r="D274" s="31"/>
      <c r="E274" s="31"/>
      <c r="F274" s="31"/>
      <c r="G274" s="31"/>
      <c r="H274" s="31"/>
      <c r="I274" s="31"/>
      <c r="J274" s="31"/>
      <c r="K274" s="31"/>
      <c r="L274" s="31"/>
      <c r="M274" s="31"/>
      <c r="N274" s="31"/>
      <c r="O274" s="31"/>
      <c r="P274" s="31"/>
      <c r="Q274" s="31"/>
      <c r="R274" s="31"/>
      <c r="S274" s="31"/>
      <c r="T274" s="31"/>
      <c r="U274" s="31"/>
      <c r="V274" s="31"/>
    </row>
    <row r="275" spans="1:22" x14ac:dyDescent="0.3">
      <c r="A275" s="31"/>
      <c r="B275" s="31"/>
      <c r="C275" s="31"/>
      <c r="D275" s="31"/>
      <c r="E275" s="31"/>
      <c r="F275" s="31"/>
      <c r="G275" s="31"/>
      <c r="H275" s="31"/>
      <c r="I275" s="31"/>
      <c r="J275" s="31"/>
      <c r="K275" s="31"/>
      <c r="L275" s="31"/>
      <c r="M275" s="31"/>
      <c r="N275" s="31"/>
      <c r="O275" s="31"/>
      <c r="P275" s="31"/>
      <c r="Q275" s="31"/>
      <c r="R275" s="31"/>
      <c r="S275" s="31"/>
      <c r="T275" s="31"/>
      <c r="U275" s="31"/>
      <c r="V275" s="31"/>
    </row>
    <row r="276" spans="1:22" x14ac:dyDescent="0.3">
      <c r="A276" s="31"/>
      <c r="B276" s="31"/>
      <c r="C276" s="31"/>
      <c r="D276" s="31"/>
      <c r="E276" s="31"/>
      <c r="F276" s="31"/>
      <c r="G276" s="31"/>
      <c r="H276" s="31"/>
      <c r="I276" s="31"/>
      <c r="J276" s="31"/>
      <c r="K276" s="31"/>
      <c r="L276" s="31"/>
      <c r="M276" s="31"/>
      <c r="N276" s="31"/>
      <c r="O276" s="31"/>
      <c r="P276" s="31"/>
      <c r="Q276" s="31"/>
      <c r="R276" s="31"/>
      <c r="S276" s="31"/>
      <c r="T276" s="31"/>
      <c r="U276" s="31"/>
      <c r="V276" s="31"/>
    </row>
    <row r="277" spans="1:22" x14ac:dyDescent="0.3">
      <c r="A277" s="31"/>
      <c r="B277" s="31"/>
      <c r="C277" s="31"/>
      <c r="D277" s="31"/>
      <c r="E277" s="31"/>
      <c r="F277" s="31"/>
      <c r="G277" s="31"/>
      <c r="H277" s="31"/>
      <c r="I277" s="31"/>
      <c r="J277" s="31"/>
      <c r="K277" s="31"/>
      <c r="L277" s="31"/>
      <c r="M277" s="31"/>
      <c r="N277" s="31"/>
      <c r="O277" s="31"/>
      <c r="P277" s="31"/>
      <c r="Q277" s="31"/>
      <c r="R277" s="31"/>
      <c r="S277" s="31"/>
      <c r="T277" s="31"/>
      <c r="U277" s="31"/>
      <c r="V277" s="31"/>
    </row>
    <row r="278" spans="1:22" x14ac:dyDescent="0.3">
      <c r="A278" s="31"/>
      <c r="B278" s="31"/>
      <c r="C278" s="31"/>
      <c r="D278" s="31"/>
      <c r="E278" s="31"/>
      <c r="F278" s="31"/>
      <c r="G278" s="31"/>
      <c r="H278" s="31"/>
      <c r="I278" s="31"/>
      <c r="J278" s="31"/>
      <c r="K278" s="31"/>
      <c r="L278" s="31"/>
      <c r="M278" s="31"/>
      <c r="N278" s="31"/>
      <c r="O278" s="31"/>
      <c r="P278" s="31"/>
      <c r="Q278" s="31"/>
      <c r="R278" s="31"/>
      <c r="S278" s="31"/>
      <c r="T278" s="31"/>
      <c r="U278" s="31"/>
      <c r="V278" s="31"/>
    </row>
    <row r="279" spans="1:22" x14ac:dyDescent="0.3">
      <c r="A279" s="31"/>
      <c r="B279" s="31"/>
      <c r="C279" s="31"/>
      <c r="D279" s="31"/>
      <c r="E279" s="31"/>
      <c r="F279" s="31"/>
      <c r="G279" s="31"/>
      <c r="H279" s="31"/>
      <c r="I279" s="31"/>
      <c r="J279" s="31"/>
      <c r="K279" s="31"/>
      <c r="L279" s="31"/>
      <c r="M279" s="31"/>
      <c r="N279" s="31"/>
      <c r="O279" s="31"/>
      <c r="P279" s="31"/>
      <c r="Q279" s="31"/>
      <c r="R279" s="31"/>
      <c r="S279" s="31"/>
      <c r="T279" s="31"/>
      <c r="U279" s="31"/>
      <c r="V279" s="31"/>
    </row>
    <row r="280" spans="1:22" x14ac:dyDescent="0.3">
      <c r="A280" s="31"/>
      <c r="B280" s="31"/>
      <c r="C280" s="31"/>
      <c r="D280" s="31"/>
      <c r="E280" s="31"/>
      <c r="F280" s="31"/>
      <c r="G280" s="31"/>
      <c r="H280" s="31"/>
      <c r="I280" s="31"/>
      <c r="J280" s="31"/>
      <c r="K280" s="31"/>
      <c r="L280" s="31"/>
      <c r="M280" s="31"/>
      <c r="N280" s="31"/>
      <c r="O280" s="31"/>
      <c r="P280" s="31"/>
      <c r="Q280" s="31"/>
      <c r="R280" s="31"/>
      <c r="S280" s="31"/>
      <c r="T280" s="31"/>
      <c r="U280" s="31"/>
      <c r="V280" s="31"/>
    </row>
    <row r="281" spans="1:22" x14ac:dyDescent="0.3">
      <c r="A281" s="31"/>
      <c r="B281" s="31"/>
      <c r="C281" s="31"/>
      <c r="D281" s="31"/>
      <c r="E281" s="31"/>
      <c r="F281" s="31"/>
      <c r="G281" s="31"/>
      <c r="H281" s="31"/>
      <c r="I281" s="31"/>
      <c r="J281" s="31"/>
      <c r="K281" s="31"/>
      <c r="L281" s="31"/>
      <c r="M281" s="31"/>
      <c r="N281" s="31"/>
      <c r="O281" s="31"/>
      <c r="P281" s="31"/>
      <c r="Q281" s="31"/>
      <c r="R281" s="31"/>
      <c r="S281" s="31"/>
      <c r="T281" s="31"/>
      <c r="U281" s="31"/>
      <c r="V281" s="31"/>
    </row>
    <row r="282" spans="1:22" x14ac:dyDescent="0.3">
      <c r="A282" s="31"/>
      <c r="B282" s="31"/>
      <c r="C282" s="31"/>
      <c r="D282" s="31"/>
      <c r="E282" s="31"/>
      <c r="F282" s="31"/>
      <c r="G282" s="31"/>
      <c r="H282" s="31"/>
      <c r="I282" s="31"/>
      <c r="J282" s="31"/>
      <c r="K282" s="31"/>
      <c r="L282" s="31"/>
      <c r="M282" s="31"/>
      <c r="N282" s="31"/>
      <c r="O282" s="31"/>
      <c r="P282" s="31"/>
      <c r="Q282" s="31"/>
      <c r="R282" s="31"/>
      <c r="S282" s="31"/>
      <c r="T282" s="31"/>
      <c r="U282" s="31"/>
      <c r="V282" s="31"/>
    </row>
    <row r="283" spans="1:22" x14ac:dyDescent="0.3">
      <c r="A283" s="31"/>
      <c r="B283" s="31"/>
      <c r="C283" s="31"/>
      <c r="D283" s="31"/>
      <c r="E283" s="31"/>
      <c r="F283" s="31"/>
      <c r="G283" s="31"/>
      <c r="H283" s="31"/>
      <c r="I283" s="31"/>
      <c r="J283" s="31"/>
      <c r="K283" s="31"/>
      <c r="L283" s="31"/>
      <c r="M283" s="31"/>
      <c r="N283" s="31"/>
      <c r="O283" s="31"/>
      <c r="P283" s="31"/>
      <c r="Q283" s="31"/>
      <c r="R283" s="31"/>
      <c r="S283" s="31"/>
      <c r="T283" s="31"/>
      <c r="U283" s="31"/>
      <c r="V283" s="31"/>
    </row>
    <row r="284" spans="1:22" x14ac:dyDescent="0.3">
      <c r="A284" s="31"/>
      <c r="B284" s="31"/>
      <c r="C284" s="31"/>
      <c r="D284" s="31"/>
      <c r="E284" s="31"/>
      <c r="F284" s="31"/>
      <c r="G284" s="31"/>
      <c r="H284" s="31"/>
      <c r="I284" s="31"/>
      <c r="J284" s="31"/>
      <c r="K284" s="31"/>
      <c r="L284" s="31"/>
      <c r="M284" s="31"/>
      <c r="N284" s="31"/>
      <c r="O284" s="31"/>
      <c r="P284" s="31"/>
      <c r="Q284" s="31"/>
      <c r="R284" s="31"/>
      <c r="S284" s="31"/>
      <c r="T284" s="31"/>
      <c r="U284" s="31"/>
      <c r="V284" s="31"/>
    </row>
    <row r="285" spans="1:22" x14ac:dyDescent="0.3">
      <c r="A285" s="31"/>
      <c r="B285" s="31"/>
      <c r="C285" s="31"/>
      <c r="D285" s="31"/>
      <c r="E285" s="31"/>
      <c r="F285" s="31"/>
      <c r="G285" s="31"/>
      <c r="H285" s="31"/>
      <c r="I285" s="31"/>
      <c r="J285" s="31"/>
      <c r="K285" s="31"/>
      <c r="L285" s="31"/>
      <c r="M285" s="31"/>
      <c r="N285" s="31"/>
      <c r="O285" s="31"/>
      <c r="P285" s="31"/>
      <c r="Q285" s="31"/>
      <c r="R285" s="31"/>
      <c r="S285" s="31"/>
      <c r="T285" s="31"/>
      <c r="U285" s="31"/>
      <c r="V285" s="31"/>
    </row>
    <row r="286" spans="1:22" x14ac:dyDescent="0.3">
      <c r="A286" s="31"/>
      <c r="B286" s="31"/>
      <c r="C286" s="31"/>
      <c r="D286" s="31"/>
      <c r="E286" s="31"/>
      <c r="F286" s="31"/>
      <c r="G286" s="31"/>
      <c r="H286" s="31"/>
      <c r="I286" s="31"/>
      <c r="J286" s="31"/>
      <c r="K286" s="31"/>
      <c r="L286" s="31"/>
      <c r="M286" s="31"/>
      <c r="N286" s="31"/>
      <c r="O286" s="31"/>
      <c r="P286" s="31"/>
      <c r="Q286" s="31"/>
      <c r="R286" s="31"/>
      <c r="S286" s="31"/>
      <c r="T286" s="31"/>
      <c r="U286" s="31"/>
      <c r="V286" s="31"/>
    </row>
  </sheetData>
  <mergeCells count="2">
    <mergeCell ref="A1:AR1"/>
    <mergeCell ref="A2: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opLeftCell="C1" workbookViewId="0">
      <selection activeCell="P2" sqref="P2"/>
    </sheetView>
  </sheetViews>
  <sheetFormatPr defaultColWidth="14.44140625" defaultRowHeight="15" customHeight="1" x14ac:dyDescent="0.3"/>
  <cols>
    <col min="1" max="1" width="8.77734375" customWidth="1"/>
    <col min="2" max="2" width="10.21875" customWidth="1"/>
    <col min="3" max="3" width="12.5546875" customWidth="1"/>
    <col min="4" max="4" width="14.21875" customWidth="1"/>
    <col min="5" max="5" width="41.33203125" customWidth="1"/>
    <col min="6" max="7" width="8.6640625" customWidth="1"/>
    <col min="8" max="8" width="12" customWidth="1"/>
    <col min="9" max="9" width="12.88671875" customWidth="1"/>
    <col min="10" max="11" width="8.6640625" customWidth="1"/>
    <col min="12" max="12" width="38.33203125" customWidth="1"/>
    <col min="13" max="13" width="20.44140625" customWidth="1"/>
    <col min="14" max="14" width="22.88671875" bestFit="1" customWidth="1"/>
    <col min="15" max="15" width="22.109375" bestFit="1" customWidth="1"/>
    <col min="16" max="16" width="15.109375" bestFit="1" customWidth="1"/>
    <col min="17" max="26" width="8.6640625" customWidth="1"/>
  </cols>
  <sheetData>
    <row r="1" spans="1:16" ht="14.4" x14ac:dyDescent="0.3">
      <c r="A1" s="3" t="s">
        <v>0</v>
      </c>
      <c r="B1" s="3" t="s">
        <v>1</v>
      </c>
      <c r="C1" s="3" t="s">
        <v>2</v>
      </c>
      <c r="D1" s="3" t="s">
        <v>3</v>
      </c>
      <c r="E1" s="3" t="s">
        <v>4</v>
      </c>
      <c r="F1" s="3" t="s">
        <v>5</v>
      </c>
      <c r="G1" s="3" t="s">
        <v>6</v>
      </c>
      <c r="H1" s="3" t="s">
        <v>7</v>
      </c>
      <c r="I1" s="3" t="s">
        <v>8</v>
      </c>
      <c r="J1" s="3" t="s">
        <v>9</v>
      </c>
      <c r="K1" s="3" t="s">
        <v>10</v>
      </c>
      <c r="L1" s="3" t="s">
        <v>11</v>
      </c>
      <c r="M1" s="3" t="s">
        <v>12</v>
      </c>
      <c r="N1" s="3" t="s">
        <v>633</v>
      </c>
      <c r="O1" s="3" t="s">
        <v>634</v>
      </c>
      <c r="P1" s="3" t="s">
        <v>706</v>
      </c>
    </row>
    <row r="2" spans="1:16" ht="14.4" x14ac:dyDescent="0.3">
      <c r="A2" s="2" t="s">
        <v>13</v>
      </c>
      <c r="B2" s="2" t="s">
        <v>14</v>
      </c>
      <c r="C2" s="2" t="s">
        <v>15</v>
      </c>
      <c r="D2" s="2" t="s">
        <v>16</v>
      </c>
      <c r="E2" s="2" t="s">
        <v>17</v>
      </c>
      <c r="F2" s="2">
        <v>1461</v>
      </c>
      <c r="G2" s="2">
        <v>184</v>
      </c>
      <c r="H2" s="2">
        <v>344</v>
      </c>
      <c r="I2" s="2">
        <v>21915</v>
      </c>
      <c r="J2" s="2">
        <v>21675</v>
      </c>
      <c r="K2" s="2">
        <v>15</v>
      </c>
      <c r="L2" s="2" t="s">
        <v>18</v>
      </c>
      <c r="M2" s="2" t="s">
        <v>19</v>
      </c>
      <c r="N2" s="4">
        <f>_xlfn.XLOOKUP(Table1[[#This Row],[Campaign_Name]],'Campaign Metadata'!A:A,'Campaign Metadata'!B:B,"Notfound",0)</f>
        <v>45458</v>
      </c>
      <c r="O2" s="4">
        <f>_xlfn.XLOOKUP(Table1[[#This Row],[Campaign_Name]],'Campaign Metadata'!A:A,'Campaign Metadata'!C:C,"Not found",0)</f>
        <v>45488</v>
      </c>
      <c r="P2" t="str">
        <f>IF(AND(Table1[[#This Row],[Date]]&gt;=Table1[[#This Row],[Campaign Start Date]],Table1[[#This Row],[Date]]&lt;=Table1[[#This Row],[Campaign End Date]]),"During Campaign","Before Campaign")</f>
        <v>Before Campaign</v>
      </c>
    </row>
    <row r="3" spans="1:16" ht="14.4" x14ac:dyDescent="0.3">
      <c r="A3" s="2" t="s">
        <v>20</v>
      </c>
      <c r="B3" s="2" t="s">
        <v>14</v>
      </c>
      <c r="C3" s="2" t="s">
        <v>21</v>
      </c>
      <c r="D3" s="2" t="s">
        <v>22</v>
      </c>
      <c r="E3" s="2" t="s">
        <v>23</v>
      </c>
      <c r="F3" s="2">
        <v>4054</v>
      </c>
      <c r="G3" s="2">
        <v>389</v>
      </c>
      <c r="H3" s="2">
        <v>493</v>
      </c>
      <c r="I3" s="2">
        <v>64864</v>
      </c>
      <c r="J3" s="2">
        <v>64383</v>
      </c>
      <c r="K3" s="2">
        <v>117</v>
      </c>
      <c r="L3" s="2" t="s">
        <v>24</v>
      </c>
      <c r="M3" s="2" t="s">
        <v>25</v>
      </c>
      <c r="N3" s="4">
        <f>_xlfn.XLOOKUP(Table1[[#This Row],[Campaign_Name]],'Campaign Metadata'!A:A,'Campaign Metadata'!B:B,"Notfound",0)</f>
        <v>45566</v>
      </c>
      <c r="O3" s="4">
        <f>_xlfn.XLOOKUP(Table1[[#This Row],[Campaign_Name]],'Campaign Metadata'!A:A,'Campaign Metadata'!C:C,"Not found",0)</f>
        <v>45596</v>
      </c>
      <c r="P3" t="str">
        <f>IF(AND(Table1[[#This Row],[Date]]&gt;=Table1[[#This Row],[Campaign Start Date]],Table1[[#This Row],[Date]]&lt;=Table1[[#This Row],[Campaign End Date]]),"During Campaign","Before Campaign")</f>
        <v>Before Campaign</v>
      </c>
    </row>
    <row r="4" spans="1:16" ht="14.4" x14ac:dyDescent="0.3">
      <c r="A4" s="2" t="s">
        <v>26</v>
      </c>
      <c r="B4" s="2" t="s">
        <v>27</v>
      </c>
      <c r="C4" s="2" t="s">
        <v>28</v>
      </c>
      <c r="D4" s="2" t="s">
        <v>16</v>
      </c>
      <c r="E4" s="2" t="s">
        <v>29</v>
      </c>
      <c r="F4" s="2">
        <v>2795</v>
      </c>
      <c r="G4" s="2">
        <v>105</v>
      </c>
      <c r="H4" s="2">
        <v>49</v>
      </c>
      <c r="I4" s="2">
        <v>53105</v>
      </c>
      <c r="J4" s="2">
        <v>52307</v>
      </c>
      <c r="K4" s="2">
        <v>204</v>
      </c>
      <c r="L4" s="2" t="s">
        <v>30</v>
      </c>
      <c r="M4" s="2" t="s">
        <v>31</v>
      </c>
      <c r="N4" s="4">
        <f>_xlfn.XLOOKUP(Table1[[#This Row],[Campaign_Name]],'Campaign Metadata'!A:A,'Campaign Metadata'!B:B,"Notfound",0)</f>
        <v>45651</v>
      </c>
      <c r="O4" s="4">
        <f>_xlfn.XLOOKUP(Table1[[#This Row],[Campaign_Name]],'Campaign Metadata'!A:A,'Campaign Metadata'!C:C,"Not found",0)</f>
        <v>45667</v>
      </c>
      <c r="P4" t="str">
        <f>IF(AND(Table1[[#This Row],[Date]]&gt;=Table1[[#This Row],[Campaign Start Date]],Table1[[#This Row],[Date]]&lt;=Table1[[#This Row],[Campaign End Date]]),"During Campaign","Before Campaign")</f>
        <v>Before Campaign</v>
      </c>
    </row>
    <row r="5" spans="1:16" ht="14.4" x14ac:dyDescent="0.3">
      <c r="A5" s="2" t="s">
        <v>32</v>
      </c>
      <c r="B5" s="2" t="s">
        <v>33</v>
      </c>
      <c r="C5" s="2" t="s">
        <v>34</v>
      </c>
      <c r="D5" s="2" t="s">
        <v>35</v>
      </c>
      <c r="E5" s="2" t="s">
        <v>36</v>
      </c>
      <c r="F5" s="2">
        <v>2404</v>
      </c>
      <c r="G5" s="2">
        <v>363</v>
      </c>
      <c r="H5" s="2">
        <v>138</v>
      </c>
      <c r="I5" s="2">
        <v>19232</v>
      </c>
      <c r="J5" s="2">
        <v>18636</v>
      </c>
      <c r="K5" s="2">
        <v>128</v>
      </c>
      <c r="L5" s="2" t="s">
        <v>37</v>
      </c>
      <c r="M5" s="2" t="s">
        <v>38</v>
      </c>
      <c r="N5" s="4">
        <f>_xlfn.XLOOKUP(Table1[[#This Row],[Campaign_Name]],'Campaign Metadata'!A:A,'Campaign Metadata'!B:B,"Notfound",0)</f>
        <v>45717</v>
      </c>
      <c r="O5" s="4">
        <f>_xlfn.XLOOKUP(Table1[[#This Row],[Campaign_Name]],'Campaign Metadata'!A:A,'Campaign Metadata'!C:C,"Not found",0)</f>
        <v>45747</v>
      </c>
      <c r="P5" t="str">
        <f>IF(AND(Table1[[#This Row],[Date]]&gt;=Table1[[#This Row],[Campaign Start Date]],Table1[[#This Row],[Date]]&lt;=Table1[[#This Row],[Campaign End Date]]),"During Campaign","Before Campaign")</f>
        <v>Before Campaign</v>
      </c>
    </row>
    <row r="6" spans="1:16" ht="14.4" x14ac:dyDescent="0.3">
      <c r="A6" s="2" t="s">
        <v>39</v>
      </c>
      <c r="B6" s="2" t="s">
        <v>27</v>
      </c>
      <c r="C6" s="2" t="s">
        <v>40</v>
      </c>
      <c r="D6" s="2" t="s">
        <v>16</v>
      </c>
      <c r="E6" s="2" t="s">
        <v>29</v>
      </c>
      <c r="F6" s="2">
        <v>3557</v>
      </c>
      <c r="G6" s="2">
        <v>687</v>
      </c>
      <c r="H6" s="2">
        <v>424</v>
      </c>
      <c r="I6" s="2">
        <v>71140</v>
      </c>
      <c r="J6" s="2">
        <v>70701</v>
      </c>
      <c r="K6" s="2">
        <v>224</v>
      </c>
      <c r="L6" s="2" t="s">
        <v>41</v>
      </c>
      <c r="M6" s="2" t="s">
        <v>19</v>
      </c>
      <c r="N6" s="4">
        <f>_xlfn.XLOOKUP(Table1[[#This Row],[Campaign_Name]],'Campaign Metadata'!A:A,'Campaign Metadata'!B:B,"Notfound",0)</f>
        <v>45458</v>
      </c>
      <c r="O6" s="4">
        <f>_xlfn.XLOOKUP(Table1[[#This Row],[Campaign_Name]],'Campaign Metadata'!A:A,'Campaign Metadata'!C:C,"Not found",0)</f>
        <v>45488</v>
      </c>
      <c r="P6" t="str">
        <f>IF(AND(Table1[[#This Row],[Date]]&gt;=Table1[[#This Row],[Campaign Start Date]],Table1[[#This Row],[Date]]&lt;=Table1[[#This Row],[Campaign End Date]]),"During Campaign","Before Campaign")</f>
        <v>Before Campaign</v>
      </c>
    </row>
    <row r="7" spans="1:16" ht="14.4" x14ac:dyDescent="0.3">
      <c r="A7" s="2" t="s">
        <v>42</v>
      </c>
      <c r="B7" s="2" t="s">
        <v>43</v>
      </c>
      <c r="C7" s="2" t="s">
        <v>44</v>
      </c>
      <c r="D7" s="2" t="s">
        <v>45</v>
      </c>
      <c r="E7" s="2" t="s">
        <v>46</v>
      </c>
      <c r="F7" s="2">
        <v>2945</v>
      </c>
      <c r="G7" s="2">
        <v>930</v>
      </c>
      <c r="H7" s="2">
        <v>355</v>
      </c>
      <c r="I7" s="2">
        <v>23560</v>
      </c>
      <c r="J7" s="2">
        <v>23275</v>
      </c>
      <c r="K7" s="2">
        <v>256</v>
      </c>
      <c r="L7" s="2" t="s">
        <v>30</v>
      </c>
      <c r="M7" s="2" t="s">
        <v>25</v>
      </c>
      <c r="N7" s="4">
        <f>_xlfn.XLOOKUP(Table1[[#This Row],[Campaign_Name]],'Campaign Metadata'!A:A,'Campaign Metadata'!B:B,"Notfound",0)</f>
        <v>45566</v>
      </c>
      <c r="O7" s="4">
        <f>_xlfn.XLOOKUP(Table1[[#This Row],[Campaign_Name]],'Campaign Metadata'!A:A,'Campaign Metadata'!C:C,"Not found",0)</f>
        <v>45596</v>
      </c>
      <c r="P7" t="str">
        <f>IF(AND(Table1[[#This Row],[Date]]&gt;=Table1[[#This Row],[Campaign Start Date]],Table1[[#This Row],[Date]]&lt;=Table1[[#This Row],[Campaign End Date]]),"During Campaign","Before Campaign")</f>
        <v>Before Campaign</v>
      </c>
    </row>
    <row r="8" spans="1:16" ht="14.4" x14ac:dyDescent="0.3">
      <c r="A8" s="2" t="s">
        <v>47</v>
      </c>
      <c r="B8" s="2" t="s">
        <v>14</v>
      </c>
      <c r="C8" s="2" t="s">
        <v>48</v>
      </c>
      <c r="D8" s="2" t="s">
        <v>45</v>
      </c>
      <c r="E8" s="2" t="s">
        <v>49</v>
      </c>
      <c r="F8" s="2">
        <v>3860</v>
      </c>
      <c r="G8" s="2">
        <v>201</v>
      </c>
      <c r="H8" s="2">
        <v>279</v>
      </c>
      <c r="I8" s="2">
        <v>61760</v>
      </c>
      <c r="J8" s="2">
        <v>61660</v>
      </c>
      <c r="K8" s="2">
        <v>235</v>
      </c>
      <c r="L8" s="2" t="s">
        <v>30</v>
      </c>
      <c r="M8" s="2" t="s">
        <v>25</v>
      </c>
      <c r="N8" s="4">
        <f>_xlfn.XLOOKUP(Table1[[#This Row],[Campaign_Name]],'Campaign Metadata'!A:A,'Campaign Metadata'!B:B,"Notfound",0)</f>
        <v>45566</v>
      </c>
      <c r="O8" s="4">
        <f>_xlfn.XLOOKUP(Table1[[#This Row],[Campaign_Name]],'Campaign Metadata'!A:A,'Campaign Metadata'!C:C,"Not found",0)</f>
        <v>45596</v>
      </c>
      <c r="P8" t="str">
        <f>IF(AND(Table1[[#This Row],[Date]]&gt;=Table1[[#This Row],[Campaign Start Date]],Table1[[#This Row],[Date]]&lt;=Table1[[#This Row],[Campaign End Date]]),"During Campaign","Before Campaign")</f>
        <v>Before Campaign</v>
      </c>
    </row>
    <row r="9" spans="1:16" ht="14.4" x14ac:dyDescent="0.3">
      <c r="A9" s="2" t="s">
        <v>50</v>
      </c>
      <c r="B9" s="2" t="s">
        <v>27</v>
      </c>
      <c r="C9" s="2" t="s">
        <v>51</v>
      </c>
      <c r="D9" s="2" t="s">
        <v>52</v>
      </c>
      <c r="E9" s="2" t="s">
        <v>53</v>
      </c>
      <c r="F9" s="2">
        <v>3929</v>
      </c>
      <c r="G9" s="2">
        <v>262</v>
      </c>
      <c r="H9" s="2">
        <v>278</v>
      </c>
      <c r="I9" s="2">
        <v>43219</v>
      </c>
      <c r="J9" s="2">
        <v>42841</v>
      </c>
      <c r="K9" s="2">
        <v>39</v>
      </c>
      <c r="L9" s="2" t="s">
        <v>37</v>
      </c>
      <c r="M9" s="2" t="s">
        <v>38</v>
      </c>
      <c r="N9" s="4">
        <f>_xlfn.XLOOKUP(Table1[[#This Row],[Campaign_Name]],'Campaign Metadata'!A:A,'Campaign Metadata'!B:B,"Notfound",0)</f>
        <v>45717</v>
      </c>
      <c r="O9" s="4">
        <f>_xlfn.XLOOKUP(Table1[[#This Row],[Campaign_Name]],'Campaign Metadata'!A:A,'Campaign Metadata'!C:C,"Not found",0)</f>
        <v>45747</v>
      </c>
      <c r="P9" t="str">
        <f>IF(AND(Table1[[#This Row],[Date]]&gt;=Table1[[#This Row],[Campaign Start Date]],Table1[[#This Row],[Date]]&lt;=Table1[[#This Row],[Campaign End Date]]),"During Campaign","Before Campaign")</f>
        <v>Before Campaign</v>
      </c>
    </row>
    <row r="10" spans="1:16" ht="14.4" x14ac:dyDescent="0.3">
      <c r="A10" s="2" t="s">
        <v>54</v>
      </c>
      <c r="B10" s="2" t="s">
        <v>43</v>
      </c>
      <c r="C10" s="2" t="s">
        <v>55</v>
      </c>
      <c r="D10" s="2" t="s">
        <v>22</v>
      </c>
      <c r="E10" s="2" t="s">
        <v>56</v>
      </c>
      <c r="F10" s="2">
        <v>3784</v>
      </c>
      <c r="G10" s="2">
        <v>808</v>
      </c>
      <c r="H10" s="2">
        <v>404</v>
      </c>
      <c r="I10" s="2">
        <v>56760</v>
      </c>
      <c r="J10" s="2">
        <v>56343</v>
      </c>
      <c r="K10" s="2">
        <v>131</v>
      </c>
      <c r="L10" s="2" t="s">
        <v>30</v>
      </c>
      <c r="M10" s="2" t="s">
        <v>25</v>
      </c>
      <c r="N10" s="4">
        <f>_xlfn.XLOOKUP(Table1[[#This Row],[Campaign_Name]],'Campaign Metadata'!A:A,'Campaign Metadata'!B:B,"Notfound",0)</f>
        <v>45566</v>
      </c>
      <c r="O10" s="4">
        <f>_xlfn.XLOOKUP(Table1[[#This Row],[Campaign_Name]],'Campaign Metadata'!A:A,'Campaign Metadata'!C:C,"Not found",0)</f>
        <v>45596</v>
      </c>
      <c r="P10" t="str">
        <f>IF(AND(Table1[[#This Row],[Date]]&gt;=Table1[[#This Row],[Campaign Start Date]],Table1[[#This Row],[Date]]&lt;=Table1[[#This Row],[Campaign End Date]]),"During Campaign","Before Campaign")</f>
        <v>Before Campaign</v>
      </c>
    </row>
    <row r="11" spans="1:16" ht="14.4" x14ac:dyDescent="0.3">
      <c r="A11" s="2" t="s">
        <v>57</v>
      </c>
      <c r="B11" s="2" t="s">
        <v>43</v>
      </c>
      <c r="C11" s="2" t="s">
        <v>58</v>
      </c>
      <c r="D11" s="2" t="s">
        <v>52</v>
      </c>
      <c r="E11" s="2" t="s">
        <v>59</v>
      </c>
      <c r="F11" s="2">
        <v>4241</v>
      </c>
      <c r="G11" s="2">
        <v>902</v>
      </c>
      <c r="H11" s="2">
        <v>47</v>
      </c>
      <c r="I11" s="2">
        <v>72097</v>
      </c>
      <c r="J11" s="2">
        <v>71598</v>
      </c>
      <c r="K11" s="2">
        <v>167</v>
      </c>
      <c r="L11" s="2" t="s">
        <v>30</v>
      </c>
      <c r="M11" s="2" t="s">
        <v>25</v>
      </c>
      <c r="N11" s="4">
        <f>_xlfn.XLOOKUP(Table1[[#This Row],[Campaign_Name]],'Campaign Metadata'!A:A,'Campaign Metadata'!B:B,"Notfound",0)</f>
        <v>45566</v>
      </c>
      <c r="O11" s="4">
        <f>_xlfn.XLOOKUP(Table1[[#This Row],[Campaign_Name]],'Campaign Metadata'!A:A,'Campaign Metadata'!C:C,"Not found",0)</f>
        <v>45596</v>
      </c>
      <c r="P11" t="str">
        <f>IF(AND(Table1[[#This Row],[Date]]&gt;=Table1[[#This Row],[Campaign Start Date]],Table1[[#This Row],[Date]]&lt;=Table1[[#This Row],[Campaign End Date]]),"During Campaign","Before Campaign")</f>
        <v>Before Campaign</v>
      </c>
    </row>
    <row r="12" spans="1:16" ht="14.4" x14ac:dyDescent="0.3">
      <c r="A12" s="2" t="s">
        <v>60</v>
      </c>
      <c r="B12" s="2" t="s">
        <v>33</v>
      </c>
      <c r="C12" s="2" t="s">
        <v>61</v>
      </c>
      <c r="D12" s="2" t="s">
        <v>35</v>
      </c>
      <c r="E12" s="2" t="s">
        <v>36</v>
      </c>
      <c r="F12" s="2">
        <v>1792</v>
      </c>
      <c r="G12" s="2">
        <v>614</v>
      </c>
      <c r="H12" s="2">
        <v>497</v>
      </c>
      <c r="I12" s="2">
        <v>25088</v>
      </c>
      <c r="J12" s="2">
        <v>24675</v>
      </c>
      <c r="K12" s="2">
        <v>65</v>
      </c>
      <c r="L12" s="2" t="s">
        <v>62</v>
      </c>
      <c r="M12" s="2" t="s">
        <v>38</v>
      </c>
      <c r="N12" s="4">
        <f>_xlfn.XLOOKUP(Table1[[#This Row],[Campaign_Name]],'Campaign Metadata'!A:A,'Campaign Metadata'!B:B,"Notfound",0)</f>
        <v>45717</v>
      </c>
      <c r="O12" s="4">
        <f>_xlfn.XLOOKUP(Table1[[#This Row],[Campaign_Name]],'Campaign Metadata'!A:A,'Campaign Metadata'!C:C,"Not found",0)</f>
        <v>45747</v>
      </c>
      <c r="P12" t="str">
        <f>IF(AND(Table1[[#This Row],[Date]]&gt;=Table1[[#This Row],[Campaign Start Date]],Table1[[#This Row],[Date]]&lt;=Table1[[#This Row],[Campaign End Date]]),"During Campaign","Before Campaign")</f>
        <v>Before Campaign</v>
      </c>
    </row>
    <row r="13" spans="1:16" ht="14.4" x14ac:dyDescent="0.3">
      <c r="A13" s="2" t="s">
        <v>63</v>
      </c>
      <c r="B13" s="2" t="s">
        <v>43</v>
      </c>
      <c r="C13" s="2" t="s">
        <v>64</v>
      </c>
      <c r="D13" s="2" t="s">
        <v>16</v>
      </c>
      <c r="E13" s="2" t="s">
        <v>65</v>
      </c>
      <c r="F13" s="2">
        <v>1946</v>
      </c>
      <c r="G13" s="2">
        <v>686</v>
      </c>
      <c r="H13" s="2">
        <v>377</v>
      </c>
      <c r="I13" s="2">
        <v>23352</v>
      </c>
      <c r="J13" s="2">
        <v>22982</v>
      </c>
      <c r="K13" s="2">
        <v>213</v>
      </c>
      <c r="L13" s="2" t="s">
        <v>62</v>
      </c>
      <c r="M13" s="2" t="s">
        <v>31</v>
      </c>
      <c r="N13" s="4">
        <f>_xlfn.XLOOKUP(Table1[[#This Row],[Campaign_Name]],'Campaign Metadata'!A:A,'Campaign Metadata'!B:B,"Notfound",0)</f>
        <v>45651</v>
      </c>
      <c r="O13" s="4">
        <f>_xlfn.XLOOKUP(Table1[[#This Row],[Campaign_Name]],'Campaign Metadata'!A:A,'Campaign Metadata'!C:C,"Not found",0)</f>
        <v>45667</v>
      </c>
      <c r="P13" t="str">
        <f>IF(AND(Table1[[#This Row],[Date]]&gt;=Table1[[#This Row],[Campaign Start Date]],Table1[[#This Row],[Date]]&lt;=Table1[[#This Row],[Campaign End Date]]),"During Campaign","Before Campaign")</f>
        <v>Before Campaign</v>
      </c>
    </row>
    <row r="14" spans="1:16" ht="14.4" x14ac:dyDescent="0.3">
      <c r="A14" s="2" t="s">
        <v>66</v>
      </c>
      <c r="B14" s="2" t="s">
        <v>27</v>
      </c>
      <c r="C14" s="2" t="s">
        <v>67</v>
      </c>
      <c r="D14" s="2" t="s">
        <v>45</v>
      </c>
      <c r="E14" s="2" t="s">
        <v>68</v>
      </c>
      <c r="F14" s="2">
        <v>1171</v>
      </c>
      <c r="G14" s="2">
        <v>286</v>
      </c>
      <c r="H14" s="2">
        <v>231</v>
      </c>
      <c r="I14" s="2">
        <v>22249</v>
      </c>
      <c r="J14" s="2">
        <v>21282</v>
      </c>
      <c r="K14" s="2">
        <v>114</v>
      </c>
      <c r="L14" s="2" t="s">
        <v>37</v>
      </c>
      <c r="M14" s="2" t="s">
        <v>19</v>
      </c>
      <c r="N14" s="4">
        <f>_xlfn.XLOOKUP(Table1[[#This Row],[Campaign_Name]],'Campaign Metadata'!A:A,'Campaign Metadata'!B:B,"Notfound",0)</f>
        <v>45458</v>
      </c>
      <c r="O14" s="4">
        <f>_xlfn.XLOOKUP(Table1[[#This Row],[Campaign_Name]],'Campaign Metadata'!A:A,'Campaign Metadata'!C:C,"Not found",0)</f>
        <v>45488</v>
      </c>
      <c r="P14" t="str">
        <f>IF(AND(Table1[[#This Row],[Date]]&gt;=Table1[[#This Row],[Campaign Start Date]],Table1[[#This Row],[Date]]&lt;=Table1[[#This Row],[Campaign End Date]]),"During Campaign","Before Campaign")</f>
        <v>Before Campaign</v>
      </c>
    </row>
    <row r="15" spans="1:16" ht="14.4" x14ac:dyDescent="0.3">
      <c r="A15" s="2" t="s">
        <v>69</v>
      </c>
      <c r="B15" s="2" t="s">
        <v>43</v>
      </c>
      <c r="C15" s="2" t="s">
        <v>70</v>
      </c>
      <c r="D15" s="2" t="s">
        <v>35</v>
      </c>
      <c r="E15" s="2" t="s">
        <v>71</v>
      </c>
      <c r="F15" s="2">
        <v>4242</v>
      </c>
      <c r="G15" s="2">
        <v>555</v>
      </c>
      <c r="H15" s="2">
        <v>131</v>
      </c>
      <c r="I15" s="2">
        <v>33936</v>
      </c>
      <c r="J15" s="2">
        <v>33802</v>
      </c>
      <c r="K15" s="2">
        <v>265</v>
      </c>
      <c r="L15" s="2" t="s">
        <v>62</v>
      </c>
      <c r="N15" s="4">
        <f>_xlfn.XLOOKUP(Table1[[#This Row],[Campaign_Name]],'Campaign Metadata'!A:A,'Campaign Metadata'!B:B,"Notfound",0)</f>
        <v>0</v>
      </c>
      <c r="O15" s="4">
        <f>_xlfn.XLOOKUP(Table1[[#This Row],[Campaign_Name]],'Campaign Metadata'!A:A,'Campaign Metadata'!C:C,"Not found",0)</f>
        <v>0</v>
      </c>
      <c r="P15" t="str">
        <f>IF(AND(Table1[[#This Row],[Date]]&gt;=Table1[[#This Row],[Campaign Start Date]],Table1[[#This Row],[Date]]&lt;=Table1[[#This Row],[Campaign End Date]]),"During Campaign","Before Campaign")</f>
        <v>Before Campaign</v>
      </c>
    </row>
    <row r="16" spans="1:16" ht="14.4" x14ac:dyDescent="0.3">
      <c r="A16" s="2" t="s">
        <v>72</v>
      </c>
      <c r="B16" s="2" t="s">
        <v>43</v>
      </c>
      <c r="C16" s="2" t="s">
        <v>73</v>
      </c>
      <c r="D16" s="2" t="s">
        <v>74</v>
      </c>
      <c r="E16" s="2" t="s">
        <v>75</v>
      </c>
      <c r="F16" s="2">
        <v>3888</v>
      </c>
      <c r="G16" s="2">
        <v>604</v>
      </c>
      <c r="H16" s="2">
        <v>128</v>
      </c>
      <c r="I16" s="2">
        <v>77760</v>
      </c>
      <c r="J16" s="2">
        <v>77167</v>
      </c>
      <c r="K16" s="2">
        <v>20</v>
      </c>
      <c r="L16" s="2" t="s">
        <v>62</v>
      </c>
      <c r="M16" s="2" t="s">
        <v>19</v>
      </c>
      <c r="N16" s="4">
        <f>_xlfn.XLOOKUP(Table1[[#This Row],[Campaign_Name]],'Campaign Metadata'!A:A,'Campaign Metadata'!B:B,"Notfound",0)</f>
        <v>45458</v>
      </c>
      <c r="O16" s="4">
        <f>_xlfn.XLOOKUP(Table1[[#This Row],[Campaign_Name]],'Campaign Metadata'!A:A,'Campaign Metadata'!C:C,"Not found",0)</f>
        <v>45488</v>
      </c>
      <c r="P16" t="str">
        <f>IF(AND(Table1[[#This Row],[Date]]&gt;=Table1[[#This Row],[Campaign Start Date]],Table1[[#This Row],[Date]]&lt;=Table1[[#This Row],[Campaign End Date]]),"During Campaign","Before Campaign")</f>
        <v>Before Campaign</v>
      </c>
    </row>
    <row r="17" spans="1:16" ht="14.4" x14ac:dyDescent="0.3">
      <c r="A17" s="2" t="s">
        <v>76</v>
      </c>
      <c r="B17" s="2" t="s">
        <v>43</v>
      </c>
      <c r="C17" s="2" t="s">
        <v>77</v>
      </c>
      <c r="D17" s="2" t="s">
        <v>22</v>
      </c>
      <c r="E17" s="2" t="s">
        <v>56</v>
      </c>
      <c r="F17" s="2">
        <v>3452</v>
      </c>
      <c r="G17" s="2">
        <v>377</v>
      </c>
      <c r="H17" s="2">
        <v>360</v>
      </c>
      <c r="I17" s="2">
        <v>55232</v>
      </c>
      <c r="J17" s="2">
        <v>55075</v>
      </c>
      <c r="K17" s="2">
        <v>87</v>
      </c>
      <c r="L17" s="2" t="s">
        <v>62</v>
      </c>
      <c r="M17" s="2" t="s">
        <v>31</v>
      </c>
      <c r="N17" s="4">
        <f>_xlfn.XLOOKUP(Table1[[#This Row],[Campaign_Name]],'Campaign Metadata'!A:A,'Campaign Metadata'!B:B,"Notfound",0)</f>
        <v>45651</v>
      </c>
      <c r="O17" s="4">
        <f>_xlfn.XLOOKUP(Table1[[#This Row],[Campaign_Name]],'Campaign Metadata'!A:A,'Campaign Metadata'!C:C,"Not found",0)</f>
        <v>45667</v>
      </c>
      <c r="P17" t="str">
        <f>IF(AND(Table1[[#This Row],[Date]]&gt;=Table1[[#This Row],[Campaign Start Date]],Table1[[#This Row],[Date]]&lt;=Table1[[#This Row],[Campaign End Date]]),"During Campaign","Before Campaign")</f>
        <v>Before Campaign</v>
      </c>
    </row>
    <row r="18" spans="1:16" ht="14.4" x14ac:dyDescent="0.3">
      <c r="A18" s="2" t="s">
        <v>78</v>
      </c>
      <c r="B18" s="2" t="s">
        <v>43</v>
      </c>
      <c r="C18" s="2" t="s">
        <v>79</v>
      </c>
      <c r="D18" s="2" t="s">
        <v>22</v>
      </c>
      <c r="E18" s="2" t="s">
        <v>56</v>
      </c>
      <c r="F18" s="2">
        <v>4441</v>
      </c>
      <c r="G18" s="2">
        <v>511</v>
      </c>
      <c r="H18" s="2">
        <v>70</v>
      </c>
      <c r="I18" s="2">
        <v>53292</v>
      </c>
      <c r="J18" s="2">
        <v>53082</v>
      </c>
      <c r="K18" s="2">
        <v>159</v>
      </c>
      <c r="L18" s="2" t="s">
        <v>37</v>
      </c>
      <c r="M18" s="2" t="s">
        <v>38</v>
      </c>
      <c r="N18" s="4">
        <f>_xlfn.XLOOKUP(Table1[[#This Row],[Campaign_Name]],'Campaign Metadata'!A:A,'Campaign Metadata'!B:B,"Notfound",0)</f>
        <v>45717</v>
      </c>
      <c r="O18" s="4">
        <f>_xlfn.XLOOKUP(Table1[[#This Row],[Campaign_Name]],'Campaign Metadata'!A:A,'Campaign Metadata'!C:C,"Not found",0)</f>
        <v>45747</v>
      </c>
      <c r="P18" t="str">
        <f>IF(AND(Table1[[#This Row],[Date]]&gt;=Table1[[#This Row],[Campaign Start Date]],Table1[[#This Row],[Date]]&lt;=Table1[[#This Row],[Campaign End Date]]),"During Campaign","Before Campaign")</f>
        <v>Before Campaign</v>
      </c>
    </row>
    <row r="19" spans="1:16" ht="14.4" x14ac:dyDescent="0.3">
      <c r="A19" s="2" t="s">
        <v>80</v>
      </c>
      <c r="B19" s="2" t="s">
        <v>33</v>
      </c>
      <c r="C19" s="2" t="s">
        <v>81</v>
      </c>
      <c r="D19" s="2" t="s">
        <v>16</v>
      </c>
      <c r="E19" s="2" t="s">
        <v>82</v>
      </c>
      <c r="F19" s="2">
        <v>3000</v>
      </c>
      <c r="G19" s="2">
        <v>382</v>
      </c>
      <c r="H19" s="2">
        <v>325</v>
      </c>
      <c r="I19" s="2">
        <v>36000</v>
      </c>
      <c r="J19" s="2">
        <v>35819</v>
      </c>
      <c r="K19" s="2">
        <v>19</v>
      </c>
      <c r="L19" s="2" t="s">
        <v>62</v>
      </c>
      <c r="M19" s="2" t="s">
        <v>19</v>
      </c>
      <c r="N19" s="4">
        <f>_xlfn.XLOOKUP(Table1[[#This Row],[Campaign_Name]],'Campaign Metadata'!A:A,'Campaign Metadata'!B:B,"Notfound",0)</f>
        <v>45458</v>
      </c>
      <c r="O19" s="4">
        <f>_xlfn.XLOOKUP(Table1[[#This Row],[Campaign_Name]],'Campaign Metadata'!A:A,'Campaign Metadata'!C:C,"Not found",0)</f>
        <v>45488</v>
      </c>
      <c r="P19" t="str">
        <f>IF(AND(Table1[[#This Row],[Date]]&gt;=Table1[[#This Row],[Campaign Start Date]],Table1[[#This Row],[Date]]&lt;=Table1[[#This Row],[Campaign End Date]]),"During Campaign","Before Campaign")</f>
        <v>Before Campaign</v>
      </c>
    </row>
    <row r="20" spans="1:16" ht="14.4" x14ac:dyDescent="0.3">
      <c r="A20" s="2" t="s">
        <v>83</v>
      </c>
      <c r="B20" s="2" t="s">
        <v>33</v>
      </c>
      <c r="C20" s="2" t="s">
        <v>84</v>
      </c>
      <c r="D20" s="2" t="s">
        <v>74</v>
      </c>
      <c r="E20" s="2" t="s">
        <v>85</v>
      </c>
      <c r="F20" s="2">
        <v>1071</v>
      </c>
      <c r="G20" s="2">
        <v>519</v>
      </c>
      <c r="H20" s="2">
        <v>22</v>
      </c>
      <c r="I20" s="2">
        <v>16065</v>
      </c>
      <c r="J20" s="2">
        <v>15865</v>
      </c>
      <c r="K20" s="2">
        <v>103</v>
      </c>
      <c r="L20" s="2" t="s">
        <v>30</v>
      </c>
      <c r="M20" s="2" t="s">
        <v>38</v>
      </c>
      <c r="N20" s="4">
        <f>_xlfn.XLOOKUP(Table1[[#This Row],[Campaign_Name]],'Campaign Metadata'!A:A,'Campaign Metadata'!B:B,"Notfound",0)</f>
        <v>45717</v>
      </c>
      <c r="O20" s="4">
        <f>_xlfn.XLOOKUP(Table1[[#This Row],[Campaign_Name]],'Campaign Metadata'!A:A,'Campaign Metadata'!C:C,"Not found",0)</f>
        <v>45747</v>
      </c>
      <c r="P20" t="str">
        <f>IF(AND(Table1[[#This Row],[Date]]&gt;=Table1[[#This Row],[Campaign Start Date]],Table1[[#This Row],[Date]]&lt;=Table1[[#This Row],[Campaign End Date]]),"During Campaign","Before Campaign")</f>
        <v>Before Campaign</v>
      </c>
    </row>
    <row r="21" spans="1:16" ht="15.75" customHeight="1" x14ac:dyDescent="0.3">
      <c r="A21" s="2" t="s">
        <v>86</v>
      </c>
      <c r="B21" s="2" t="s">
        <v>33</v>
      </c>
      <c r="C21" s="2" t="s">
        <v>87</v>
      </c>
      <c r="D21" s="2" t="s">
        <v>45</v>
      </c>
      <c r="E21" s="2" t="s">
        <v>88</v>
      </c>
      <c r="F21" s="2">
        <v>4054</v>
      </c>
      <c r="G21" s="2">
        <v>488</v>
      </c>
      <c r="H21" s="2">
        <v>373</v>
      </c>
      <c r="I21" s="2">
        <v>77026</v>
      </c>
      <c r="J21" s="2">
        <v>76881</v>
      </c>
      <c r="K21" s="2">
        <v>25</v>
      </c>
      <c r="L21" s="2" t="s">
        <v>30</v>
      </c>
      <c r="M21" s="2" t="s">
        <v>19</v>
      </c>
      <c r="N21" s="4">
        <f>_xlfn.XLOOKUP(Table1[[#This Row],[Campaign_Name]],'Campaign Metadata'!A:A,'Campaign Metadata'!B:B,"Notfound",0)</f>
        <v>45458</v>
      </c>
      <c r="O21" s="4">
        <f>_xlfn.XLOOKUP(Table1[[#This Row],[Campaign_Name]],'Campaign Metadata'!A:A,'Campaign Metadata'!C:C,"Not found",0)</f>
        <v>45488</v>
      </c>
      <c r="P21" t="str">
        <f>IF(AND(Table1[[#This Row],[Date]]&gt;=Table1[[#This Row],[Campaign Start Date]],Table1[[#This Row],[Date]]&lt;=Table1[[#This Row],[Campaign End Date]]),"During Campaign","Before Campaign")</f>
        <v>Before Campaign</v>
      </c>
    </row>
    <row r="22" spans="1:16" ht="15.75" customHeight="1" x14ac:dyDescent="0.3">
      <c r="A22" s="2" t="s">
        <v>89</v>
      </c>
      <c r="B22" s="2" t="s">
        <v>33</v>
      </c>
      <c r="C22" s="2" t="s">
        <v>90</v>
      </c>
      <c r="D22" s="2" t="s">
        <v>16</v>
      </c>
      <c r="E22" s="2" t="s">
        <v>82</v>
      </c>
      <c r="F22" s="2">
        <v>4838</v>
      </c>
      <c r="G22" s="2">
        <v>640</v>
      </c>
      <c r="H22" s="2">
        <v>128</v>
      </c>
      <c r="I22" s="2">
        <v>72570</v>
      </c>
      <c r="J22" s="2">
        <v>72396</v>
      </c>
      <c r="K22" s="2">
        <v>83</v>
      </c>
      <c r="L22" s="2" t="s">
        <v>62</v>
      </c>
      <c r="M22" s="2" t="s">
        <v>38</v>
      </c>
      <c r="N22" s="4">
        <f>_xlfn.XLOOKUP(Table1[[#This Row],[Campaign_Name]],'Campaign Metadata'!A:A,'Campaign Metadata'!B:B,"Notfound",0)</f>
        <v>45717</v>
      </c>
      <c r="O22" s="4">
        <f>_xlfn.XLOOKUP(Table1[[#This Row],[Campaign_Name]],'Campaign Metadata'!A:A,'Campaign Metadata'!C:C,"Not found",0)</f>
        <v>45747</v>
      </c>
      <c r="P22" t="str">
        <f>IF(AND(Table1[[#This Row],[Date]]&gt;=Table1[[#This Row],[Campaign Start Date]],Table1[[#This Row],[Date]]&lt;=Table1[[#This Row],[Campaign End Date]]),"During Campaign","Before Campaign")</f>
        <v>Before Campaign</v>
      </c>
    </row>
    <row r="23" spans="1:16" ht="15.75" customHeight="1" x14ac:dyDescent="0.3">
      <c r="A23" s="2" t="s">
        <v>91</v>
      </c>
      <c r="B23" s="2" t="s">
        <v>43</v>
      </c>
      <c r="C23" s="2" t="s">
        <v>92</v>
      </c>
      <c r="D23" s="2" t="s">
        <v>22</v>
      </c>
      <c r="E23" s="2" t="s">
        <v>56</v>
      </c>
      <c r="F23" s="2">
        <v>1570</v>
      </c>
      <c r="G23" s="2">
        <v>187</v>
      </c>
      <c r="H23" s="2">
        <v>260</v>
      </c>
      <c r="I23" s="2">
        <v>25120</v>
      </c>
      <c r="J23" s="2">
        <v>24613</v>
      </c>
      <c r="K23" s="2">
        <v>133</v>
      </c>
      <c r="L23" s="2" t="s">
        <v>30</v>
      </c>
      <c r="M23" s="2" t="s">
        <v>38</v>
      </c>
      <c r="N23" s="4">
        <f>_xlfn.XLOOKUP(Table1[[#This Row],[Campaign_Name]],'Campaign Metadata'!A:A,'Campaign Metadata'!B:B,"Notfound",0)</f>
        <v>45717</v>
      </c>
      <c r="O23" s="4">
        <f>_xlfn.XLOOKUP(Table1[[#This Row],[Campaign_Name]],'Campaign Metadata'!A:A,'Campaign Metadata'!C:C,"Not found",0)</f>
        <v>45747</v>
      </c>
      <c r="P23" t="str">
        <f>IF(AND(Table1[[#This Row],[Date]]&gt;=Table1[[#This Row],[Campaign Start Date]],Table1[[#This Row],[Date]]&lt;=Table1[[#This Row],[Campaign End Date]]),"During Campaign","Before Campaign")</f>
        <v>Before Campaign</v>
      </c>
    </row>
    <row r="24" spans="1:16" ht="15.75" customHeight="1" x14ac:dyDescent="0.3">
      <c r="A24" s="2" t="s">
        <v>93</v>
      </c>
      <c r="B24" s="2" t="s">
        <v>43</v>
      </c>
      <c r="C24" s="2" t="s">
        <v>94</v>
      </c>
      <c r="D24" s="2" t="s">
        <v>74</v>
      </c>
      <c r="E24" s="2" t="s">
        <v>75</v>
      </c>
      <c r="F24" s="2">
        <v>1606</v>
      </c>
      <c r="G24" s="2">
        <v>547</v>
      </c>
      <c r="H24" s="2">
        <v>316</v>
      </c>
      <c r="I24" s="2">
        <v>32120</v>
      </c>
      <c r="J24" s="2">
        <v>31736</v>
      </c>
      <c r="K24" s="2">
        <v>225</v>
      </c>
      <c r="L24" s="2" t="s">
        <v>95</v>
      </c>
      <c r="M24" s="2" t="s">
        <v>25</v>
      </c>
      <c r="N24" s="4">
        <f>_xlfn.XLOOKUP(Table1[[#This Row],[Campaign_Name]],'Campaign Metadata'!A:A,'Campaign Metadata'!B:B,"Notfound",0)</f>
        <v>45566</v>
      </c>
      <c r="O24" s="4">
        <f>_xlfn.XLOOKUP(Table1[[#This Row],[Campaign_Name]],'Campaign Metadata'!A:A,'Campaign Metadata'!C:C,"Not found",0)</f>
        <v>45596</v>
      </c>
      <c r="P24" t="str">
        <f>IF(AND(Table1[[#This Row],[Date]]&gt;=Table1[[#This Row],[Campaign Start Date]],Table1[[#This Row],[Date]]&lt;=Table1[[#This Row],[Campaign End Date]]),"During Campaign","Before Campaign")</f>
        <v>Before Campaign</v>
      </c>
    </row>
    <row r="25" spans="1:16" ht="15.75" customHeight="1" x14ac:dyDescent="0.3">
      <c r="A25" s="2" t="s">
        <v>96</v>
      </c>
      <c r="B25" s="2" t="s">
        <v>43</v>
      </c>
      <c r="C25" s="2" t="s">
        <v>97</v>
      </c>
      <c r="D25" s="2" t="s">
        <v>74</v>
      </c>
      <c r="E25" s="2" t="s">
        <v>75</v>
      </c>
      <c r="F25" s="2">
        <v>3961</v>
      </c>
      <c r="G25" s="2">
        <v>761</v>
      </c>
      <c r="H25" s="2">
        <v>131</v>
      </c>
      <c r="I25" s="2">
        <v>67337</v>
      </c>
      <c r="J25" s="2">
        <v>66615</v>
      </c>
      <c r="K25" s="2">
        <v>161</v>
      </c>
      <c r="L25" s="2" t="s">
        <v>62</v>
      </c>
      <c r="M25" s="2" t="s">
        <v>31</v>
      </c>
      <c r="N25" s="4">
        <f>_xlfn.XLOOKUP(Table1[[#This Row],[Campaign_Name]],'Campaign Metadata'!A:A,'Campaign Metadata'!B:B,"Notfound",0)</f>
        <v>45651</v>
      </c>
      <c r="O25" s="4">
        <f>_xlfn.XLOOKUP(Table1[[#This Row],[Campaign_Name]],'Campaign Metadata'!A:A,'Campaign Metadata'!C:C,"Not found",0)</f>
        <v>45667</v>
      </c>
      <c r="P25" t="str">
        <f>IF(AND(Table1[[#This Row],[Date]]&gt;=Table1[[#This Row],[Campaign Start Date]],Table1[[#This Row],[Date]]&lt;=Table1[[#This Row],[Campaign End Date]]),"During Campaign","Before Campaign")</f>
        <v>Before Campaign</v>
      </c>
    </row>
    <row r="26" spans="1:16" ht="15.75" customHeight="1" x14ac:dyDescent="0.3">
      <c r="A26" s="2" t="s">
        <v>98</v>
      </c>
      <c r="B26" s="2" t="s">
        <v>14</v>
      </c>
      <c r="C26" s="2" t="s">
        <v>99</v>
      </c>
      <c r="D26" s="2" t="s">
        <v>45</v>
      </c>
      <c r="E26" s="2" t="s">
        <v>49</v>
      </c>
      <c r="F26" s="2">
        <v>3128</v>
      </c>
      <c r="G26" s="2">
        <v>211</v>
      </c>
      <c r="H26" s="2">
        <v>197</v>
      </c>
      <c r="I26" s="2">
        <v>59432</v>
      </c>
      <c r="J26" s="2">
        <v>59182</v>
      </c>
      <c r="K26" s="2">
        <v>238</v>
      </c>
      <c r="L26" s="2" t="s">
        <v>37</v>
      </c>
      <c r="N26" s="4">
        <f>_xlfn.XLOOKUP(Table1[[#This Row],[Campaign_Name]],'Campaign Metadata'!A:A,'Campaign Metadata'!B:B,"Notfound",0)</f>
        <v>0</v>
      </c>
      <c r="O26" s="4">
        <f>_xlfn.XLOOKUP(Table1[[#This Row],[Campaign_Name]],'Campaign Metadata'!A:A,'Campaign Metadata'!C:C,"Not found",0)</f>
        <v>0</v>
      </c>
      <c r="P26" t="str">
        <f>IF(AND(Table1[[#This Row],[Date]]&gt;=Table1[[#This Row],[Campaign Start Date]],Table1[[#This Row],[Date]]&lt;=Table1[[#This Row],[Campaign End Date]]),"During Campaign","Before Campaign")</f>
        <v>Before Campaign</v>
      </c>
    </row>
    <row r="27" spans="1:16" ht="15.75" customHeight="1" x14ac:dyDescent="0.3">
      <c r="A27" s="2" t="s">
        <v>100</v>
      </c>
      <c r="B27" s="2" t="s">
        <v>27</v>
      </c>
      <c r="C27" s="2" t="s">
        <v>101</v>
      </c>
      <c r="D27" s="2" t="s">
        <v>16</v>
      </c>
      <c r="E27" s="2" t="s">
        <v>29</v>
      </c>
      <c r="F27" s="2">
        <v>3009</v>
      </c>
      <c r="G27" s="2">
        <v>413</v>
      </c>
      <c r="H27" s="2">
        <v>358</v>
      </c>
      <c r="I27" s="2">
        <v>42126</v>
      </c>
      <c r="J27" s="2">
        <v>41309</v>
      </c>
      <c r="K27" s="2">
        <v>211</v>
      </c>
      <c r="L27" s="2" t="s">
        <v>62</v>
      </c>
      <c r="M27" s="2" t="s">
        <v>25</v>
      </c>
      <c r="N27" s="4">
        <f>_xlfn.XLOOKUP(Table1[[#This Row],[Campaign_Name]],'Campaign Metadata'!A:A,'Campaign Metadata'!B:B,"Notfound",0)</f>
        <v>45566</v>
      </c>
      <c r="O27" s="4">
        <f>_xlfn.XLOOKUP(Table1[[#This Row],[Campaign_Name]],'Campaign Metadata'!A:A,'Campaign Metadata'!C:C,"Not found",0)</f>
        <v>45596</v>
      </c>
      <c r="P27" t="str">
        <f>IF(AND(Table1[[#This Row],[Date]]&gt;=Table1[[#This Row],[Campaign Start Date]],Table1[[#This Row],[Date]]&lt;=Table1[[#This Row],[Campaign End Date]]),"During Campaign","Before Campaign")</f>
        <v>Before Campaign</v>
      </c>
    </row>
    <row r="28" spans="1:16" ht="15.75" customHeight="1" x14ac:dyDescent="0.3">
      <c r="A28" s="2" t="s">
        <v>102</v>
      </c>
      <c r="B28" s="2" t="s">
        <v>27</v>
      </c>
      <c r="C28" s="2" t="s">
        <v>103</v>
      </c>
      <c r="D28" s="2" t="s">
        <v>22</v>
      </c>
      <c r="E28" s="2" t="s">
        <v>104</v>
      </c>
      <c r="F28" s="2">
        <v>2076</v>
      </c>
      <c r="G28" s="2">
        <v>195</v>
      </c>
      <c r="H28" s="2">
        <v>104</v>
      </c>
      <c r="I28" s="2">
        <v>33216</v>
      </c>
      <c r="J28" s="2">
        <v>32244</v>
      </c>
      <c r="K28" s="2">
        <v>51</v>
      </c>
      <c r="L28" s="2" t="s">
        <v>62</v>
      </c>
      <c r="M28" s="2" t="s">
        <v>38</v>
      </c>
      <c r="N28" s="4">
        <f>_xlfn.XLOOKUP(Table1[[#This Row],[Campaign_Name]],'Campaign Metadata'!A:A,'Campaign Metadata'!B:B,"Notfound",0)</f>
        <v>45717</v>
      </c>
      <c r="O28" s="4">
        <f>_xlfn.XLOOKUP(Table1[[#This Row],[Campaign_Name]],'Campaign Metadata'!A:A,'Campaign Metadata'!C:C,"Not found",0)</f>
        <v>45747</v>
      </c>
      <c r="P28" t="str">
        <f>IF(AND(Table1[[#This Row],[Date]]&gt;=Table1[[#This Row],[Campaign Start Date]],Table1[[#This Row],[Date]]&lt;=Table1[[#This Row],[Campaign End Date]]),"During Campaign","Before Campaign")</f>
        <v>Before Campaign</v>
      </c>
    </row>
    <row r="29" spans="1:16" ht="15.75" customHeight="1" x14ac:dyDescent="0.3">
      <c r="A29" s="2" t="s">
        <v>105</v>
      </c>
      <c r="B29" s="2" t="s">
        <v>33</v>
      </c>
      <c r="C29" s="2" t="s">
        <v>106</v>
      </c>
      <c r="D29" s="2" t="s">
        <v>74</v>
      </c>
      <c r="E29" s="2" t="s">
        <v>85</v>
      </c>
      <c r="F29" s="2">
        <v>432</v>
      </c>
      <c r="G29" s="2">
        <v>624</v>
      </c>
      <c r="H29" s="2">
        <v>123</v>
      </c>
      <c r="I29" s="2">
        <v>6912</v>
      </c>
      <c r="J29" s="2">
        <v>6259</v>
      </c>
      <c r="K29" s="2">
        <v>79</v>
      </c>
      <c r="L29" s="2" t="s">
        <v>62</v>
      </c>
      <c r="M29" s="2" t="s">
        <v>38</v>
      </c>
      <c r="N29" s="4">
        <f>_xlfn.XLOOKUP(Table1[[#This Row],[Campaign_Name]],'Campaign Metadata'!A:A,'Campaign Metadata'!B:B,"Notfound",0)</f>
        <v>45717</v>
      </c>
      <c r="O29" s="4">
        <f>_xlfn.XLOOKUP(Table1[[#This Row],[Campaign_Name]],'Campaign Metadata'!A:A,'Campaign Metadata'!C:C,"Not found",0)</f>
        <v>45747</v>
      </c>
      <c r="P29" t="str">
        <f>IF(AND(Table1[[#This Row],[Date]]&gt;=Table1[[#This Row],[Campaign Start Date]],Table1[[#This Row],[Date]]&lt;=Table1[[#This Row],[Campaign End Date]]),"During Campaign","Before Campaign")</f>
        <v>Before Campaign</v>
      </c>
    </row>
    <row r="30" spans="1:16" ht="15.75" customHeight="1" x14ac:dyDescent="0.3">
      <c r="A30" s="2" t="s">
        <v>107</v>
      </c>
      <c r="B30" s="2" t="s">
        <v>33</v>
      </c>
      <c r="C30" s="2" t="s">
        <v>108</v>
      </c>
      <c r="D30" s="2" t="s">
        <v>45</v>
      </c>
      <c r="E30" s="2" t="s">
        <v>88</v>
      </c>
      <c r="F30" s="2">
        <v>2566</v>
      </c>
      <c r="G30" s="2">
        <v>118</v>
      </c>
      <c r="H30" s="2">
        <v>37</v>
      </c>
      <c r="I30" s="2">
        <v>12830</v>
      </c>
      <c r="J30" s="2">
        <v>12264</v>
      </c>
      <c r="K30" s="2">
        <v>221</v>
      </c>
      <c r="L30" s="2" t="s">
        <v>62</v>
      </c>
      <c r="M30" s="2" t="s">
        <v>31</v>
      </c>
      <c r="N30" s="4">
        <f>_xlfn.XLOOKUP(Table1[[#This Row],[Campaign_Name]],'Campaign Metadata'!A:A,'Campaign Metadata'!B:B,"Notfound",0)</f>
        <v>45651</v>
      </c>
      <c r="O30" s="4">
        <f>_xlfn.XLOOKUP(Table1[[#This Row],[Campaign_Name]],'Campaign Metadata'!A:A,'Campaign Metadata'!C:C,"Not found",0)</f>
        <v>45667</v>
      </c>
      <c r="P30" t="str">
        <f>IF(AND(Table1[[#This Row],[Date]]&gt;=Table1[[#This Row],[Campaign Start Date]],Table1[[#This Row],[Date]]&lt;=Table1[[#This Row],[Campaign End Date]]),"During Campaign","Before Campaign")</f>
        <v>Before Campaign</v>
      </c>
    </row>
    <row r="31" spans="1:16" ht="15.75" customHeight="1" x14ac:dyDescent="0.3">
      <c r="A31" s="2" t="s">
        <v>109</v>
      </c>
      <c r="B31" s="2" t="s">
        <v>33</v>
      </c>
      <c r="C31" s="2" t="s">
        <v>110</v>
      </c>
      <c r="D31" s="2" t="s">
        <v>74</v>
      </c>
      <c r="E31" s="2" t="s">
        <v>85</v>
      </c>
      <c r="F31" s="2">
        <v>3095</v>
      </c>
      <c r="G31" s="2">
        <v>39</v>
      </c>
      <c r="H31" s="2">
        <v>78</v>
      </c>
      <c r="I31" s="2">
        <v>55710</v>
      </c>
      <c r="J31" s="2">
        <v>54808</v>
      </c>
      <c r="K31" s="2">
        <v>93</v>
      </c>
      <c r="L31" s="2" t="s">
        <v>37</v>
      </c>
      <c r="N31" s="4">
        <f>_xlfn.XLOOKUP(Table1[[#This Row],[Campaign_Name]],'Campaign Metadata'!A:A,'Campaign Metadata'!B:B,"Notfound",0)</f>
        <v>0</v>
      </c>
      <c r="O31" s="4">
        <f>_xlfn.XLOOKUP(Table1[[#This Row],[Campaign_Name]],'Campaign Metadata'!A:A,'Campaign Metadata'!C:C,"Not found",0)</f>
        <v>0</v>
      </c>
      <c r="P31" t="str">
        <f>IF(AND(Table1[[#This Row],[Date]]&gt;=Table1[[#This Row],[Campaign Start Date]],Table1[[#This Row],[Date]]&lt;=Table1[[#This Row],[Campaign End Date]]),"During Campaign","Before Campaign")</f>
        <v>Before Campaign</v>
      </c>
    </row>
    <row r="32" spans="1:16" ht="15.75" customHeight="1" x14ac:dyDescent="0.3">
      <c r="A32" s="2" t="s">
        <v>111</v>
      </c>
      <c r="B32" s="2" t="s">
        <v>33</v>
      </c>
      <c r="C32" s="2" t="s">
        <v>112</v>
      </c>
      <c r="D32" s="2" t="s">
        <v>22</v>
      </c>
      <c r="E32" s="2" t="s">
        <v>113</v>
      </c>
      <c r="F32" s="2">
        <v>438</v>
      </c>
      <c r="G32" s="2">
        <v>153</v>
      </c>
      <c r="H32" s="2">
        <v>275</v>
      </c>
      <c r="I32" s="2">
        <v>3066</v>
      </c>
      <c r="J32" s="2">
        <v>2701</v>
      </c>
      <c r="K32" s="2">
        <v>282</v>
      </c>
      <c r="L32" s="2" t="s">
        <v>30</v>
      </c>
      <c r="M32" s="2" t="s">
        <v>25</v>
      </c>
      <c r="N32" s="4">
        <f>_xlfn.XLOOKUP(Table1[[#This Row],[Campaign_Name]],'Campaign Metadata'!A:A,'Campaign Metadata'!B:B,"Notfound",0)</f>
        <v>45566</v>
      </c>
      <c r="O32" s="4">
        <f>_xlfn.XLOOKUP(Table1[[#This Row],[Campaign_Name]],'Campaign Metadata'!A:A,'Campaign Metadata'!C:C,"Not found",0)</f>
        <v>45596</v>
      </c>
      <c r="P32" t="str">
        <f>IF(AND(Table1[[#This Row],[Date]]&gt;=Table1[[#This Row],[Campaign Start Date]],Table1[[#This Row],[Date]]&lt;=Table1[[#This Row],[Campaign End Date]]),"During Campaign","Before Campaign")</f>
        <v>Before Campaign</v>
      </c>
    </row>
    <row r="33" spans="1:16" ht="15.75" customHeight="1" x14ac:dyDescent="0.3">
      <c r="A33" s="2" t="s">
        <v>114</v>
      </c>
      <c r="B33" s="2" t="s">
        <v>14</v>
      </c>
      <c r="C33" s="2" t="s">
        <v>115</v>
      </c>
      <c r="D33" s="2" t="s">
        <v>45</v>
      </c>
      <c r="E33" s="2" t="s">
        <v>49</v>
      </c>
      <c r="F33" s="2">
        <v>2278</v>
      </c>
      <c r="G33" s="2">
        <v>10</v>
      </c>
      <c r="H33" s="2">
        <v>321</v>
      </c>
      <c r="I33" s="2">
        <v>13668</v>
      </c>
      <c r="J33" s="2">
        <v>12676</v>
      </c>
      <c r="K33" s="2">
        <v>275</v>
      </c>
      <c r="L33" s="2" t="s">
        <v>37</v>
      </c>
      <c r="M33" s="2" t="s">
        <v>19</v>
      </c>
      <c r="N33" s="4">
        <f>_xlfn.XLOOKUP(Table1[[#This Row],[Campaign_Name]],'Campaign Metadata'!A:A,'Campaign Metadata'!B:B,"Notfound",0)</f>
        <v>45458</v>
      </c>
      <c r="O33" s="4">
        <f>_xlfn.XLOOKUP(Table1[[#This Row],[Campaign_Name]],'Campaign Metadata'!A:A,'Campaign Metadata'!C:C,"Not found",0)</f>
        <v>45488</v>
      </c>
      <c r="P33" t="str">
        <f>IF(AND(Table1[[#This Row],[Date]]&gt;=Table1[[#This Row],[Campaign Start Date]],Table1[[#This Row],[Date]]&lt;=Table1[[#This Row],[Campaign End Date]]),"During Campaign","Before Campaign")</f>
        <v>Before Campaign</v>
      </c>
    </row>
    <row r="34" spans="1:16" ht="15.75" customHeight="1" x14ac:dyDescent="0.3">
      <c r="A34" s="2" t="s">
        <v>116</v>
      </c>
      <c r="B34" s="2" t="s">
        <v>43</v>
      </c>
      <c r="C34" s="2" t="s">
        <v>117</v>
      </c>
      <c r="D34" s="2" t="s">
        <v>52</v>
      </c>
      <c r="E34" s="2" t="s">
        <v>59</v>
      </c>
      <c r="F34" s="2">
        <v>1407</v>
      </c>
      <c r="G34" s="2">
        <v>400</v>
      </c>
      <c r="H34" s="2">
        <v>351</v>
      </c>
      <c r="I34" s="2">
        <v>16884</v>
      </c>
      <c r="J34" s="2">
        <v>15954</v>
      </c>
      <c r="K34" s="2">
        <v>113</v>
      </c>
      <c r="L34" s="2" t="s">
        <v>30</v>
      </c>
      <c r="M34" s="2" t="s">
        <v>19</v>
      </c>
      <c r="N34" s="4">
        <f>_xlfn.XLOOKUP(Table1[[#This Row],[Campaign_Name]],'Campaign Metadata'!A:A,'Campaign Metadata'!B:B,"Notfound",0)</f>
        <v>45458</v>
      </c>
      <c r="O34" s="4">
        <f>_xlfn.XLOOKUP(Table1[[#This Row],[Campaign_Name]],'Campaign Metadata'!A:A,'Campaign Metadata'!C:C,"Not found",0)</f>
        <v>45488</v>
      </c>
      <c r="P34" t="str">
        <f>IF(AND(Table1[[#This Row],[Date]]&gt;=Table1[[#This Row],[Campaign Start Date]],Table1[[#This Row],[Date]]&lt;=Table1[[#This Row],[Campaign End Date]]),"During Campaign","Before Campaign")</f>
        <v>Before Campaign</v>
      </c>
    </row>
    <row r="35" spans="1:16" ht="15.75" customHeight="1" x14ac:dyDescent="0.3">
      <c r="A35" s="2" t="s">
        <v>118</v>
      </c>
      <c r="B35" s="2" t="s">
        <v>43</v>
      </c>
      <c r="C35" s="2" t="s">
        <v>119</v>
      </c>
      <c r="D35" s="2" t="s">
        <v>22</v>
      </c>
      <c r="E35" s="2" t="s">
        <v>56</v>
      </c>
      <c r="F35" s="2">
        <v>1652</v>
      </c>
      <c r="G35" s="2">
        <v>89</v>
      </c>
      <c r="H35" s="2">
        <v>357</v>
      </c>
      <c r="I35" s="2">
        <v>29736</v>
      </c>
      <c r="J35" s="2">
        <v>28771</v>
      </c>
      <c r="K35" s="2">
        <v>215</v>
      </c>
      <c r="L35" s="2" t="s">
        <v>30</v>
      </c>
      <c r="M35" s="2" t="s">
        <v>31</v>
      </c>
      <c r="N35" s="4">
        <f>_xlfn.XLOOKUP(Table1[[#This Row],[Campaign_Name]],'Campaign Metadata'!A:A,'Campaign Metadata'!B:B,"Notfound",0)</f>
        <v>45651</v>
      </c>
      <c r="O35" s="4">
        <f>_xlfn.XLOOKUP(Table1[[#This Row],[Campaign_Name]],'Campaign Metadata'!A:A,'Campaign Metadata'!C:C,"Not found",0)</f>
        <v>45667</v>
      </c>
      <c r="P35" t="str">
        <f>IF(AND(Table1[[#This Row],[Date]]&gt;=Table1[[#This Row],[Campaign Start Date]],Table1[[#This Row],[Date]]&lt;=Table1[[#This Row],[Campaign End Date]]),"During Campaign","Before Campaign")</f>
        <v>Before Campaign</v>
      </c>
    </row>
    <row r="36" spans="1:16" ht="15.75" customHeight="1" x14ac:dyDescent="0.3">
      <c r="A36" s="2" t="s">
        <v>120</v>
      </c>
      <c r="B36" s="2" t="s">
        <v>33</v>
      </c>
      <c r="C36" s="2" t="s">
        <v>121</v>
      </c>
      <c r="D36" s="2" t="s">
        <v>74</v>
      </c>
      <c r="E36" s="2" t="s">
        <v>85</v>
      </c>
      <c r="F36" s="2">
        <v>3775</v>
      </c>
      <c r="G36" s="2">
        <v>16</v>
      </c>
      <c r="H36" s="2">
        <v>239</v>
      </c>
      <c r="I36" s="2">
        <v>33975</v>
      </c>
      <c r="J36" s="2">
        <v>33310</v>
      </c>
      <c r="K36" s="2">
        <v>271</v>
      </c>
      <c r="L36" s="2" t="s">
        <v>62</v>
      </c>
      <c r="M36" s="2" t="s">
        <v>25</v>
      </c>
      <c r="N36" s="4">
        <f>_xlfn.XLOOKUP(Table1[[#This Row],[Campaign_Name]],'Campaign Metadata'!A:A,'Campaign Metadata'!B:B,"Notfound",0)</f>
        <v>45566</v>
      </c>
      <c r="O36" s="4">
        <f>_xlfn.XLOOKUP(Table1[[#This Row],[Campaign_Name]],'Campaign Metadata'!A:A,'Campaign Metadata'!C:C,"Not found",0)</f>
        <v>45596</v>
      </c>
      <c r="P36" t="str">
        <f>IF(AND(Table1[[#This Row],[Date]]&gt;=Table1[[#This Row],[Campaign Start Date]],Table1[[#This Row],[Date]]&lt;=Table1[[#This Row],[Campaign End Date]]),"During Campaign","Before Campaign")</f>
        <v>Before Campaign</v>
      </c>
    </row>
    <row r="37" spans="1:16" ht="15.75" customHeight="1" x14ac:dyDescent="0.3">
      <c r="A37" s="2" t="s">
        <v>122</v>
      </c>
      <c r="B37" s="2" t="s">
        <v>33</v>
      </c>
      <c r="C37" s="2" t="s">
        <v>123</v>
      </c>
      <c r="D37" s="2" t="s">
        <v>35</v>
      </c>
      <c r="E37" s="2" t="s">
        <v>36</v>
      </c>
      <c r="F37" s="2">
        <v>4518</v>
      </c>
      <c r="G37" s="2">
        <v>285</v>
      </c>
      <c r="H37" s="2">
        <v>383</v>
      </c>
      <c r="I37" s="2">
        <v>67770</v>
      </c>
      <c r="J37" s="2">
        <v>67621</v>
      </c>
      <c r="K37" s="2">
        <v>31</v>
      </c>
      <c r="L37" s="2" t="s">
        <v>37</v>
      </c>
      <c r="M37" s="2" t="s">
        <v>25</v>
      </c>
      <c r="N37" s="4">
        <f>_xlfn.XLOOKUP(Table1[[#This Row],[Campaign_Name]],'Campaign Metadata'!A:A,'Campaign Metadata'!B:B,"Notfound",0)</f>
        <v>45566</v>
      </c>
      <c r="O37" s="4">
        <f>_xlfn.XLOOKUP(Table1[[#This Row],[Campaign_Name]],'Campaign Metadata'!A:A,'Campaign Metadata'!C:C,"Not found",0)</f>
        <v>45596</v>
      </c>
      <c r="P37" t="str">
        <f>IF(AND(Table1[[#This Row],[Date]]&gt;=Table1[[#This Row],[Campaign Start Date]],Table1[[#This Row],[Date]]&lt;=Table1[[#This Row],[Campaign End Date]]),"During Campaign","Before Campaign")</f>
        <v>Before Campaign</v>
      </c>
    </row>
    <row r="38" spans="1:16" ht="15.75" customHeight="1" x14ac:dyDescent="0.3">
      <c r="A38" s="2" t="s">
        <v>124</v>
      </c>
      <c r="B38" s="2" t="s">
        <v>43</v>
      </c>
      <c r="C38" s="2" t="s">
        <v>125</v>
      </c>
      <c r="D38" s="2" t="s">
        <v>45</v>
      </c>
      <c r="E38" s="2" t="s">
        <v>46</v>
      </c>
      <c r="F38" s="2">
        <v>3024</v>
      </c>
      <c r="G38" s="2">
        <v>925</v>
      </c>
      <c r="H38" s="2">
        <v>350</v>
      </c>
      <c r="I38" s="2">
        <v>24192</v>
      </c>
      <c r="J38" s="2">
        <v>23518</v>
      </c>
      <c r="K38" s="2">
        <v>36</v>
      </c>
      <c r="L38" s="2" t="s">
        <v>37</v>
      </c>
      <c r="M38" s="2" t="s">
        <v>25</v>
      </c>
      <c r="N38" s="4">
        <f>_xlfn.XLOOKUP(Table1[[#This Row],[Campaign_Name]],'Campaign Metadata'!A:A,'Campaign Metadata'!B:B,"Notfound",0)</f>
        <v>45566</v>
      </c>
      <c r="O38" s="4">
        <f>_xlfn.XLOOKUP(Table1[[#This Row],[Campaign_Name]],'Campaign Metadata'!A:A,'Campaign Metadata'!C:C,"Not found",0)</f>
        <v>45596</v>
      </c>
      <c r="P38" t="str">
        <f>IF(AND(Table1[[#This Row],[Date]]&gt;=Table1[[#This Row],[Campaign Start Date]],Table1[[#This Row],[Date]]&lt;=Table1[[#This Row],[Campaign End Date]]),"During Campaign","Before Campaign")</f>
        <v>Before Campaign</v>
      </c>
    </row>
    <row r="39" spans="1:16" ht="15.75" customHeight="1" x14ac:dyDescent="0.3">
      <c r="A39" s="2" t="s">
        <v>126</v>
      </c>
      <c r="B39" s="2" t="s">
        <v>27</v>
      </c>
      <c r="C39" s="2" t="s">
        <v>127</v>
      </c>
      <c r="D39" s="2" t="s">
        <v>16</v>
      </c>
      <c r="E39" s="2" t="s">
        <v>29</v>
      </c>
      <c r="F39" s="2">
        <v>3138</v>
      </c>
      <c r="G39" s="2">
        <v>123</v>
      </c>
      <c r="H39" s="2">
        <v>291</v>
      </c>
      <c r="I39" s="2">
        <v>28242</v>
      </c>
      <c r="J39" s="2">
        <v>27550</v>
      </c>
      <c r="K39" s="2">
        <v>87</v>
      </c>
      <c r="L39" s="2" t="s">
        <v>30</v>
      </c>
      <c r="M39" s="2" t="s">
        <v>38</v>
      </c>
      <c r="N39" s="4">
        <f>_xlfn.XLOOKUP(Table1[[#This Row],[Campaign_Name]],'Campaign Metadata'!A:A,'Campaign Metadata'!B:B,"Notfound",0)</f>
        <v>45717</v>
      </c>
      <c r="O39" s="4">
        <f>_xlfn.XLOOKUP(Table1[[#This Row],[Campaign_Name]],'Campaign Metadata'!A:A,'Campaign Metadata'!C:C,"Not found",0)</f>
        <v>45747</v>
      </c>
      <c r="P39" t="str">
        <f>IF(AND(Table1[[#This Row],[Date]]&gt;=Table1[[#This Row],[Campaign Start Date]],Table1[[#This Row],[Date]]&lt;=Table1[[#This Row],[Campaign End Date]]),"During Campaign","Before Campaign")</f>
        <v>Before Campaign</v>
      </c>
    </row>
    <row r="40" spans="1:16" ht="15.75" customHeight="1" x14ac:dyDescent="0.3">
      <c r="A40" s="2" t="s">
        <v>128</v>
      </c>
      <c r="B40" s="2" t="s">
        <v>43</v>
      </c>
      <c r="C40" s="2" t="s">
        <v>129</v>
      </c>
      <c r="D40" s="2" t="s">
        <v>52</v>
      </c>
      <c r="E40" s="2" t="s">
        <v>59</v>
      </c>
      <c r="F40" s="2">
        <v>3564</v>
      </c>
      <c r="G40" s="2">
        <v>629</v>
      </c>
      <c r="H40" s="2">
        <v>177</v>
      </c>
      <c r="I40" s="2">
        <v>60588</v>
      </c>
      <c r="J40" s="2">
        <v>59627</v>
      </c>
      <c r="K40" s="2">
        <v>92</v>
      </c>
      <c r="L40" s="2" t="s">
        <v>30</v>
      </c>
      <c r="N40" s="4">
        <f>_xlfn.XLOOKUP(Table1[[#This Row],[Campaign_Name]],'Campaign Metadata'!A:A,'Campaign Metadata'!B:B,"Notfound",0)</f>
        <v>0</v>
      </c>
      <c r="O40" s="4">
        <f>_xlfn.XLOOKUP(Table1[[#This Row],[Campaign_Name]],'Campaign Metadata'!A:A,'Campaign Metadata'!C:C,"Not found",0)</f>
        <v>0</v>
      </c>
      <c r="P40" t="str">
        <f>IF(AND(Table1[[#This Row],[Date]]&gt;=Table1[[#This Row],[Campaign Start Date]],Table1[[#This Row],[Date]]&lt;=Table1[[#This Row],[Campaign End Date]]),"During Campaign","Before Campaign")</f>
        <v>Before Campaign</v>
      </c>
    </row>
    <row r="41" spans="1:16" ht="15.75" customHeight="1" x14ac:dyDescent="0.3">
      <c r="A41" s="2" t="s">
        <v>130</v>
      </c>
      <c r="B41" s="2" t="s">
        <v>14</v>
      </c>
      <c r="C41" s="2" t="s">
        <v>131</v>
      </c>
      <c r="D41" s="2" t="s">
        <v>52</v>
      </c>
      <c r="E41" s="2" t="s">
        <v>132</v>
      </c>
      <c r="F41" s="2">
        <v>4750</v>
      </c>
      <c r="G41" s="2">
        <v>151</v>
      </c>
      <c r="H41" s="2">
        <v>415</v>
      </c>
      <c r="I41" s="2">
        <v>38000</v>
      </c>
      <c r="J41" s="2">
        <v>37792</v>
      </c>
      <c r="K41" s="2">
        <v>299</v>
      </c>
      <c r="L41" s="2" t="s">
        <v>37</v>
      </c>
      <c r="M41" s="2" t="s">
        <v>38</v>
      </c>
      <c r="N41" s="4">
        <f>_xlfn.XLOOKUP(Table1[[#This Row],[Campaign_Name]],'Campaign Metadata'!A:A,'Campaign Metadata'!B:B,"Notfound",0)</f>
        <v>45717</v>
      </c>
      <c r="O41" s="4">
        <f>_xlfn.XLOOKUP(Table1[[#This Row],[Campaign_Name]],'Campaign Metadata'!A:A,'Campaign Metadata'!C:C,"Not found",0)</f>
        <v>45747</v>
      </c>
      <c r="P41" t="str">
        <f>IF(AND(Table1[[#This Row],[Date]]&gt;=Table1[[#This Row],[Campaign Start Date]],Table1[[#This Row],[Date]]&lt;=Table1[[#This Row],[Campaign End Date]]),"During Campaign","Before Campaign")</f>
        <v>Before Campaign</v>
      </c>
    </row>
    <row r="42" spans="1:16" ht="15.75" customHeight="1" x14ac:dyDescent="0.3">
      <c r="A42" s="2" t="s">
        <v>133</v>
      </c>
      <c r="B42" s="2" t="s">
        <v>33</v>
      </c>
      <c r="C42" s="2" t="s">
        <v>134</v>
      </c>
      <c r="D42" s="2" t="s">
        <v>16</v>
      </c>
      <c r="E42" s="2" t="s">
        <v>82</v>
      </c>
      <c r="F42" s="2">
        <v>456</v>
      </c>
      <c r="G42" s="2">
        <v>629</v>
      </c>
      <c r="H42" s="2">
        <v>428</v>
      </c>
      <c r="I42" s="2">
        <v>8208</v>
      </c>
      <c r="J42" s="2">
        <v>7377</v>
      </c>
      <c r="K42" s="2">
        <v>205</v>
      </c>
      <c r="L42" s="2" t="s">
        <v>62</v>
      </c>
      <c r="M42" s="2" t="s">
        <v>38</v>
      </c>
      <c r="N42" s="4">
        <f>_xlfn.XLOOKUP(Table1[[#This Row],[Campaign_Name]],'Campaign Metadata'!A:A,'Campaign Metadata'!B:B,"Notfound",0)</f>
        <v>45717</v>
      </c>
      <c r="O42" s="4">
        <f>_xlfn.XLOOKUP(Table1[[#This Row],[Campaign_Name]],'Campaign Metadata'!A:A,'Campaign Metadata'!C:C,"Not found",0)</f>
        <v>45747</v>
      </c>
      <c r="P42" t="str">
        <f>IF(AND(Table1[[#This Row],[Date]]&gt;=Table1[[#This Row],[Campaign Start Date]],Table1[[#This Row],[Date]]&lt;=Table1[[#This Row],[Campaign End Date]]),"During Campaign","Before Campaign")</f>
        <v>Before Campaign</v>
      </c>
    </row>
    <row r="43" spans="1:16" ht="15.75" customHeight="1" x14ac:dyDescent="0.3">
      <c r="A43" s="2" t="s">
        <v>135</v>
      </c>
      <c r="B43" s="2" t="s">
        <v>27</v>
      </c>
      <c r="C43" s="2" t="s">
        <v>136</v>
      </c>
      <c r="D43" s="2" t="s">
        <v>16</v>
      </c>
      <c r="E43" s="2" t="s">
        <v>29</v>
      </c>
      <c r="F43" s="2">
        <v>1543</v>
      </c>
      <c r="G43" s="2">
        <v>820</v>
      </c>
      <c r="H43" s="2">
        <v>333</v>
      </c>
      <c r="I43" s="2">
        <v>12344</v>
      </c>
      <c r="J43" s="2">
        <v>11496</v>
      </c>
      <c r="K43" s="2">
        <v>241</v>
      </c>
      <c r="L43" s="2" t="s">
        <v>37</v>
      </c>
      <c r="N43" s="4">
        <f>_xlfn.XLOOKUP(Table1[[#This Row],[Campaign_Name]],'Campaign Metadata'!A:A,'Campaign Metadata'!B:B,"Notfound",0)</f>
        <v>0</v>
      </c>
      <c r="O43" s="4">
        <f>_xlfn.XLOOKUP(Table1[[#This Row],[Campaign_Name]],'Campaign Metadata'!A:A,'Campaign Metadata'!C:C,"Not found",0)</f>
        <v>0</v>
      </c>
      <c r="P43" t="str">
        <f>IF(AND(Table1[[#This Row],[Date]]&gt;=Table1[[#This Row],[Campaign Start Date]],Table1[[#This Row],[Date]]&lt;=Table1[[#This Row],[Campaign End Date]]),"During Campaign","Before Campaign")</f>
        <v>Before Campaign</v>
      </c>
    </row>
    <row r="44" spans="1:16" ht="15.75" customHeight="1" x14ac:dyDescent="0.3">
      <c r="A44" s="2" t="s">
        <v>137</v>
      </c>
      <c r="B44" s="2" t="s">
        <v>33</v>
      </c>
      <c r="C44" s="2" t="s">
        <v>138</v>
      </c>
      <c r="D44" s="2" t="s">
        <v>45</v>
      </c>
      <c r="E44" s="2" t="s">
        <v>88</v>
      </c>
      <c r="F44" s="2">
        <v>2174</v>
      </c>
      <c r="G44" s="2">
        <v>658</v>
      </c>
      <c r="H44" s="2">
        <v>15</v>
      </c>
      <c r="I44" s="2">
        <v>13044</v>
      </c>
      <c r="J44" s="2">
        <v>12206</v>
      </c>
      <c r="K44" s="2">
        <v>137</v>
      </c>
      <c r="L44" s="2" t="s">
        <v>30</v>
      </c>
      <c r="M44" s="2" t="s">
        <v>31</v>
      </c>
      <c r="N44" s="4">
        <f>_xlfn.XLOOKUP(Table1[[#This Row],[Campaign_Name]],'Campaign Metadata'!A:A,'Campaign Metadata'!B:B,"Notfound",0)</f>
        <v>45651</v>
      </c>
      <c r="O44" s="4">
        <f>_xlfn.XLOOKUP(Table1[[#This Row],[Campaign_Name]],'Campaign Metadata'!A:A,'Campaign Metadata'!C:C,"Not found",0)</f>
        <v>45667</v>
      </c>
      <c r="P44" t="str">
        <f>IF(AND(Table1[[#This Row],[Date]]&gt;=Table1[[#This Row],[Campaign Start Date]],Table1[[#This Row],[Date]]&lt;=Table1[[#This Row],[Campaign End Date]]),"During Campaign","Before Campaign")</f>
        <v>Before Campaign</v>
      </c>
    </row>
    <row r="45" spans="1:16" ht="15.75" customHeight="1" x14ac:dyDescent="0.3">
      <c r="A45" s="2" t="s">
        <v>139</v>
      </c>
      <c r="B45" s="2" t="s">
        <v>14</v>
      </c>
      <c r="C45" s="2" t="s">
        <v>140</v>
      </c>
      <c r="D45" s="2" t="s">
        <v>52</v>
      </c>
      <c r="E45" s="2" t="s">
        <v>132</v>
      </c>
      <c r="F45" s="2">
        <v>2358</v>
      </c>
      <c r="G45" s="2">
        <v>784</v>
      </c>
      <c r="H45" s="2">
        <v>344</v>
      </c>
      <c r="I45" s="2">
        <v>35370</v>
      </c>
      <c r="J45" s="2">
        <v>34475</v>
      </c>
      <c r="K45" s="2">
        <v>216</v>
      </c>
      <c r="L45" s="2" t="s">
        <v>30</v>
      </c>
      <c r="N45" s="4">
        <f>_xlfn.XLOOKUP(Table1[[#This Row],[Campaign_Name]],'Campaign Metadata'!A:A,'Campaign Metadata'!B:B,"Notfound",0)</f>
        <v>0</v>
      </c>
      <c r="O45" s="4">
        <f>_xlfn.XLOOKUP(Table1[[#This Row],[Campaign_Name]],'Campaign Metadata'!A:A,'Campaign Metadata'!C:C,"Not found",0)</f>
        <v>0</v>
      </c>
      <c r="P45" t="str">
        <f>IF(AND(Table1[[#This Row],[Date]]&gt;=Table1[[#This Row],[Campaign Start Date]],Table1[[#This Row],[Date]]&lt;=Table1[[#This Row],[Campaign End Date]]),"During Campaign","Before Campaign")</f>
        <v>Before Campaign</v>
      </c>
    </row>
    <row r="46" spans="1:16" ht="15.75" customHeight="1" x14ac:dyDescent="0.3">
      <c r="A46" s="2" t="s">
        <v>141</v>
      </c>
      <c r="B46" s="2" t="s">
        <v>43</v>
      </c>
      <c r="C46" s="2" t="s">
        <v>142</v>
      </c>
      <c r="D46" s="2" t="s">
        <v>74</v>
      </c>
      <c r="E46" s="2" t="s">
        <v>75</v>
      </c>
      <c r="F46" s="2">
        <v>3371</v>
      </c>
      <c r="G46" s="2">
        <v>106</v>
      </c>
      <c r="H46" s="2">
        <v>327</v>
      </c>
      <c r="I46" s="2">
        <v>50565</v>
      </c>
      <c r="J46" s="2">
        <v>49816</v>
      </c>
      <c r="K46" s="2">
        <v>176</v>
      </c>
      <c r="L46" s="2" t="s">
        <v>62</v>
      </c>
      <c r="M46" s="2" t="s">
        <v>19</v>
      </c>
      <c r="N46" s="4">
        <f>_xlfn.XLOOKUP(Table1[[#This Row],[Campaign_Name]],'Campaign Metadata'!A:A,'Campaign Metadata'!B:B,"Notfound",0)</f>
        <v>45458</v>
      </c>
      <c r="O46" s="4">
        <f>_xlfn.XLOOKUP(Table1[[#This Row],[Campaign_Name]],'Campaign Metadata'!A:A,'Campaign Metadata'!C:C,"Not found",0)</f>
        <v>45488</v>
      </c>
      <c r="P46" t="str">
        <f>IF(AND(Table1[[#This Row],[Date]]&gt;=Table1[[#This Row],[Campaign Start Date]],Table1[[#This Row],[Date]]&lt;=Table1[[#This Row],[Campaign End Date]]),"During Campaign","Before Campaign")</f>
        <v>Before Campaign</v>
      </c>
    </row>
    <row r="47" spans="1:16" ht="15.75" customHeight="1" x14ac:dyDescent="0.3">
      <c r="A47" s="2" t="s">
        <v>143</v>
      </c>
      <c r="B47" s="2" t="s">
        <v>14</v>
      </c>
      <c r="C47" s="2" t="s">
        <v>144</v>
      </c>
      <c r="D47" s="2" t="s">
        <v>74</v>
      </c>
      <c r="E47" s="2" t="s">
        <v>145</v>
      </c>
      <c r="F47" s="2">
        <v>1108</v>
      </c>
      <c r="G47" s="2">
        <v>177</v>
      </c>
      <c r="H47" s="2">
        <v>212</v>
      </c>
      <c r="I47" s="2">
        <v>8864</v>
      </c>
      <c r="J47" s="2">
        <v>8710</v>
      </c>
      <c r="K47" s="2">
        <v>97</v>
      </c>
      <c r="L47" s="2" t="s">
        <v>30</v>
      </c>
      <c r="M47" s="2" t="s">
        <v>38</v>
      </c>
      <c r="N47" s="4">
        <f>_xlfn.XLOOKUP(Table1[[#This Row],[Campaign_Name]],'Campaign Metadata'!A:A,'Campaign Metadata'!B:B,"Notfound",0)</f>
        <v>45717</v>
      </c>
      <c r="O47" s="4">
        <f>_xlfn.XLOOKUP(Table1[[#This Row],[Campaign_Name]],'Campaign Metadata'!A:A,'Campaign Metadata'!C:C,"Not found",0)</f>
        <v>45747</v>
      </c>
      <c r="P47" t="str">
        <f>IF(AND(Table1[[#This Row],[Date]]&gt;=Table1[[#This Row],[Campaign Start Date]],Table1[[#This Row],[Date]]&lt;=Table1[[#This Row],[Campaign End Date]]),"During Campaign","Before Campaign")</f>
        <v>Before Campaign</v>
      </c>
    </row>
    <row r="48" spans="1:16" ht="15.75" customHeight="1" x14ac:dyDescent="0.3">
      <c r="A48" s="2" t="s">
        <v>146</v>
      </c>
      <c r="B48" s="2" t="s">
        <v>14</v>
      </c>
      <c r="C48" s="2" t="s">
        <v>147</v>
      </c>
      <c r="D48" s="2" t="s">
        <v>45</v>
      </c>
      <c r="E48" s="2" t="s">
        <v>49</v>
      </c>
      <c r="F48" s="2">
        <v>2704</v>
      </c>
      <c r="G48" s="2">
        <v>752</v>
      </c>
      <c r="H48" s="2">
        <v>153</v>
      </c>
      <c r="I48" s="2">
        <v>21632</v>
      </c>
      <c r="J48" s="2">
        <v>20792</v>
      </c>
      <c r="K48" s="2">
        <v>127</v>
      </c>
      <c r="L48" s="2" t="s">
        <v>62</v>
      </c>
      <c r="N48" s="4">
        <f>_xlfn.XLOOKUP(Table1[[#This Row],[Campaign_Name]],'Campaign Metadata'!A:A,'Campaign Metadata'!B:B,"Notfound",0)</f>
        <v>0</v>
      </c>
      <c r="O48" s="4">
        <f>_xlfn.XLOOKUP(Table1[[#This Row],[Campaign_Name]],'Campaign Metadata'!A:A,'Campaign Metadata'!C:C,"Not found",0)</f>
        <v>0</v>
      </c>
      <c r="P48" t="str">
        <f>IF(AND(Table1[[#This Row],[Date]]&gt;=Table1[[#This Row],[Campaign Start Date]],Table1[[#This Row],[Date]]&lt;=Table1[[#This Row],[Campaign End Date]]),"During Campaign","Before Campaign")</f>
        <v>Before Campaign</v>
      </c>
    </row>
    <row r="49" spans="1:16" ht="15.75" customHeight="1" x14ac:dyDescent="0.3">
      <c r="A49" s="2" t="s">
        <v>148</v>
      </c>
      <c r="B49" s="2" t="s">
        <v>14</v>
      </c>
      <c r="C49" s="2" t="s">
        <v>58</v>
      </c>
      <c r="D49" s="2" t="s">
        <v>35</v>
      </c>
      <c r="E49" s="2" t="s">
        <v>149</v>
      </c>
      <c r="F49" s="2">
        <v>1950</v>
      </c>
      <c r="G49" s="2">
        <v>295</v>
      </c>
      <c r="H49" s="2">
        <v>478</v>
      </c>
      <c r="I49" s="2">
        <v>37050</v>
      </c>
      <c r="J49" s="2">
        <v>36272</v>
      </c>
      <c r="K49" s="2">
        <v>119</v>
      </c>
      <c r="L49" s="2" t="s">
        <v>30</v>
      </c>
      <c r="N49" s="4">
        <f>_xlfn.XLOOKUP(Table1[[#This Row],[Campaign_Name]],'Campaign Metadata'!A:A,'Campaign Metadata'!B:B,"Notfound",0)</f>
        <v>0</v>
      </c>
      <c r="O49" s="4">
        <f>_xlfn.XLOOKUP(Table1[[#This Row],[Campaign_Name]],'Campaign Metadata'!A:A,'Campaign Metadata'!C:C,"Not found",0)</f>
        <v>0</v>
      </c>
      <c r="P49" t="str">
        <f>IF(AND(Table1[[#This Row],[Date]]&gt;=Table1[[#This Row],[Campaign Start Date]],Table1[[#This Row],[Date]]&lt;=Table1[[#This Row],[Campaign End Date]]),"During Campaign","Before Campaign")</f>
        <v>Before Campaign</v>
      </c>
    </row>
    <row r="50" spans="1:16" ht="15.75" customHeight="1" x14ac:dyDescent="0.3">
      <c r="A50" s="2" t="s">
        <v>150</v>
      </c>
      <c r="B50" s="2" t="s">
        <v>14</v>
      </c>
      <c r="C50" s="2" t="s">
        <v>151</v>
      </c>
      <c r="D50" s="2" t="s">
        <v>35</v>
      </c>
      <c r="E50" s="2" t="s">
        <v>149</v>
      </c>
      <c r="F50" s="2">
        <v>2164</v>
      </c>
      <c r="G50" s="2">
        <v>549</v>
      </c>
      <c r="H50" s="2">
        <v>274</v>
      </c>
      <c r="I50" s="2">
        <v>28132</v>
      </c>
      <c r="J50" s="2">
        <v>27361</v>
      </c>
      <c r="K50" s="2">
        <v>177</v>
      </c>
      <c r="L50" s="2" t="s">
        <v>30</v>
      </c>
      <c r="M50" s="2" t="s">
        <v>38</v>
      </c>
      <c r="N50" s="4">
        <f>_xlfn.XLOOKUP(Table1[[#This Row],[Campaign_Name]],'Campaign Metadata'!A:A,'Campaign Metadata'!B:B,"Notfound",0)</f>
        <v>45717</v>
      </c>
      <c r="O50" s="4">
        <f>_xlfn.XLOOKUP(Table1[[#This Row],[Campaign_Name]],'Campaign Metadata'!A:A,'Campaign Metadata'!C:C,"Not found",0)</f>
        <v>45747</v>
      </c>
      <c r="P50" t="str">
        <f>IF(AND(Table1[[#This Row],[Date]]&gt;=Table1[[#This Row],[Campaign Start Date]],Table1[[#This Row],[Date]]&lt;=Table1[[#This Row],[Campaign End Date]]),"During Campaign","Before Campaign")</f>
        <v>Before Campaign</v>
      </c>
    </row>
    <row r="51" spans="1:16" ht="15.75" customHeight="1" x14ac:dyDescent="0.3">
      <c r="A51" s="2" t="s">
        <v>152</v>
      </c>
      <c r="B51" s="2" t="s">
        <v>27</v>
      </c>
      <c r="C51" s="2" t="s">
        <v>153</v>
      </c>
      <c r="D51" s="2" t="s">
        <v>35</v>
      </c>
      <c r="E51" s="2" t="s">
        <v>154</v>
      </c>
      <c r="F51" s="2">
        <v>2754</v>
      </c>
      <c r="G51" s="2">
        <v>130</v>
      </c>
      <c r="H51" s="2">
        <v>90</v>
      </c>
      <c r="I51" s="2">
        <v>22032</v>
      </c>
      <c r="J51" s="2">
        <v>21288</v>
      </c>
      <c r="K51" s="2">
        <v>112</v>
      </c>
      <c r="L51" s="2" t="s">
        <v>30</v>
      </c>
      <c r="M51" s="2" t="s">
        <v>31</v>
      </c>
      <c r="N51" s="4">
        <f>_xlfn.XLOOKUP(Table1[[#This Row],[Campaign_Name]],'Campaign Metadata'!A:A,'Campaign Metadata'!B:B,"Notfound",0)</f>
        <v>45651</v>
      </c>
      <c r="O51" s="4">
        <f>_xlfn.XLOOKUP(Table1[[#This Row],[Campaign_Name]],'Campaign Metadata'!A:A,'Campaign Metadata'!C:C,"Not found",0)</f>
        <v>45667</v>
      </c>
      <c r="P51" t="str">
        <f>IF(AND(Table1[[#This Row],[Date]]&gt;=Table1[[#This Row],[Campaign Start Date]],Table1[[#This Row],[Date]]&lt;=Table1[[#This Row],[Campaign End Date]]),"During Campaign","Before Campaign")</f>
        <v>Before Campaign</v>
      </c>
    </row>
    <row r="52" spans="1:16" ht="15.75" customHeight="1" x14ac:dyDescent="0.3">
      <c r="A52" s="2" t="s">
        <v>155</v>
      </c>
      <c r="B52" s="2" t="s">
        <v>43</v>
      </c>
      <c r="C52" s="2" t="s">
        <v>156</v>
      </c>
      <c r="D52" s="2" t="s">
        <v>45</v>
      </c>
      <c r="E52" s="2" t="s">
        <v>46</v>
      </c>
      <c r="F52" s="2">
        <v>2200</v>
      </c>
      <c r="G52" s="2">
        <v>504</v>
      </c>
      <c r="H52" s="2">
        <v>239</v>
      </c>
      <c r="I52" s="2">
        <v>37400</v>
      </c>
      <c r="J52" s="2">
        <v>36938</v>
      </c>
      <c r="K52" s="2">
        <v>225</v>
      </c>
      <c r="L52" s="2" t="s">
        <v>62</v>
      </c>
      <c r="M52" s="2" t="s">
        <v>25</v>
      </c>
      <c r="N52" s="4">
        <f>_xlfn.XLOOKUP(Table1[[#This Row],[Campaign_Name]],'Campaign Metadata'!A:A,'Campaign Metadata'!B:B,"Notfound",0)</f>
        <v>45566</v>
      </c>
      <c r="O52" s="4">
        <f>_xlfn.XLOOKUP(Table1[[#This Row],[Campaign_Name]],'Campaign Metadata'!A:A,'Campaign Metadata'!C:C,"Not found",0)</f>
        <v>45596</v>
      </c>
      <c r="P52" t="str">
        <f>IF(AND(Table1[[#This Row],[Date]]&gt;=Table1[[#This Row],[Campaign Start Date]],Table1[[#This Row],[Date]]&lt;=Table1[[#This Row],[Campaign End Date]]),"During Campaign","Before Campaign")</f>
        <v>Before Campaign</v>
      </c>
    </row>
    <row r="53" spans="1:16" ht="15.75" customHeight="1" x14ac:dyDescent="0.3">
      <c r="A53" s="2" t="s">
        <v>157</v>
      </c>
      <c r="B53" s="2" t="s">
        <v>43</v>
      </c>
      <c r="C53" s="2" t="s">
        <v>158</v>
      </c>
      <c r="D53" s="2" t="s">
        <v>52</v>
      </c>
      <c r="E53" s="2" t="s">
        <v>59</v>
      </c>
      <c r="F53" s="2">
        <v>947</v>
      </c>
      <c r="G53" s="2">
        <v>338</v>
      </c>
      <c r="H53" s="2">
        <v>350</v>
      </c>
      <c r="I53" s="2">
        <v>10417</v>
      </c>
      <c r="J53" s="2">
        <v>9730</v>
      </c>
      <c r="K53" s="2">
        <v>34</v>
      </c>
      <c r="L53" s="2" t="s">
        <v>30</v>
      </c>
      <c r="M53" s="2" t="s">
        <v>38</v>
      </c>
      <c r="N53" s="4">
        <f>_xlfn.XLOOKUP(Table1[[#This Row],[Campaign_Name]],'Campaign Metadata'!A:A,'Campaign Metadata'!B:B,"Notfound",0)</f>
        <v>45717</v>
      </c>
      <c r="O53" s="4">
        <f>_xlfn.XLOOKUP(Table1[[#This Row],[Campaign_Name]],'Campaign Metadata'!A:A,'Campaign Metadata'!C:C,"Not found",0)</f>
        <v>45747</v>
      </c>
      <c r="P53" t="str">
        <f>IF(AND(Table1[[#This Row],[Date]]&gt;=Table1[[#This Row],[Campaign Start Date]],Table1[[#This Row],[Date]]&lt;=Table1[[#This Row],[Campaign End Date]]),"During Campaign","Before Campaign")</f>
        <v>Before Campaign</v>
      </c>
    </row>
    <row r="54" spans="1:16" ht="15.75" customHeight="1" x14ac:dyDescent="0.3">
      <c r="A54" s="2" t="s">
        <v>159</v>
      </c>
      <c r="B54" s="2" t="s">
        <v>27</v>
      </c>
      <c r="C54" s="2" t="s">
        <v>147</v>
      </c>
      <c r="D54" s="2" t="s">
        <v>45</v>
      </c>
      <c r="E54" s="2" t="s">
        <v>68</v>
      </c>
      <c r="F54" s="2">
        <v>804</v>
      </c>
      <c r="G54" s="2">
        <v>639</v>
      </c>
      <c r="H54" s="2">
        <v>43</v>
      </c>
      <c r="I54" s="2">
        <v>4020</v>
      </c>
      <c r="J54" s="2">
        <v>3144</v>
      </c>
      <c r="K54" s="2">
        <v>11</v>
      </c>
      <c r="L54" s="2" t="s">
        <v>160</v>
      </c>
      <c r="N54" s="4">
        <f>_xlfn.XLOOKUP(Table1[[#This Row],[Campaign_Name]],'Campaign Metadata'!A:A,'Campaign Metadata'!B:B,"Notfound",0)</f>
        <v>0</v>
      </c>
      <c r="O54" s="4">
        <f>_xlfn.XLOOKUP(Table1[[#This Row],[Campaign_Name]],'Campaign Metadata'!A:A,'Campaign Metadata'!C:C,"Not found",0)</f>
        <v>0</v>
      </c>
      <c r="P54" t="str">
        <f>IF(AND(Table1[[#This Row],[Date]]&gt;=Table1[[#This Row],[Campaign Start Date]],Table1[[#This Row],[Date]]&lt;=Table1[[#This Row],[Campaign End Date]]),"During Campaign","Before Campaign")</f>
        <v>Before Campaign</v>
      </c>
    </row>
    <row r="55" spans="1:16" ht="15.75" customHeight="1" x14ac:dyDescent="0.3">
      <c r="A55" s="2" t="s">
        <v>161</v>
      </c>
      <c r="B55" s="2" t="s">
        <v>27</v>
      </c>
      <c r="C55" s="2" t="s">
        <v>162</v>
      </c>
      <c r="D55" s="2" t="s">
        <v>45</v>
      </c>
      <c r="E55" s="2" t="s">
        <v>68</v>
      </c>
      <c r="F55" s="2">
        <v>1686</v>
      </c>
      <c r="G55" s="2">
        <v>904</v>
      </c>
      <c r="H55" s="2">
        <v>472</v>
      </c>
      <c r="I55" s="2">
        <v>18546</v>
      </c>
      <c r="J55" s="2">
        <v>18171</v>
      </c>
      <c r="K55" s="2">
        <v>52</v>
      </c>
      <c r="L55" s="2" t="s">
        <v>62</v>
      </c>
      <c r="M55" s="2" t="s">
        <v>25</v>
      </c>
      <c r="N55" s="4">
        <f>_xlfn.XLOOKUP(Table1[[#This Row],[Campaign_Name]],'Campaign Metadata'!A:A,'Campaign Metadata'!B:B,"Notfound",0)</f>
        <v>45566</v>
      </c>
      <c r="O55" s="4">
        <f>_xlfn.XLOOKUP(Table1[[#This Row],[Campaign_Name]],'Campaign Metadata'!A:A,'Campaign Metadata'!C:C,"Not found",0)</f>
        <v>45596</v>
      </c>
      <c r="P55" t="str">
        <f>IF(AND(Table1[[#This Row],[Date]]&gt;=Table1[[#This Row],[Campaign Start Date]],Table1[[#This Row],[Date]]&lt;=Table1[[#This Row],[Campaign End Date]]),"During Campaign","Before Campaign")</f>
        <v>Before Campaign</v>
      </c>
    </row>
    <row r="56" spans="1:16" ht="15.75" customHeight="1" x14ac:dyDescent="0.3">
      <c r="A56" s="2" t="s">
        <v>163</v>
      </c>
      <c r="B56" s="2" t="s">
        <v>43</v>
      </c>
      <c r="C56" s="2" t="s">
        <v>164</v>
      </c>
      <c r="D56" s="2" t="s">
        <v>52</v>
      </c>
      <c r="E56" s="2" t="s">
        <v>59</v>
      </c>
      <c r="F56" s="2">
        <v>1226</v>
      </c>
      <c r="G56" s="2">
        <v>119</v>
      </c>
      <c r="H56" s="2">
        <v>7</v>
      </c>
      <c r="I56" s="2">
        <v>14712</v>
      </c>
      <c r="J56" s="2">
        <v>14049</v>
      </c>
      <c r="K56" s="2">
        <v>123</v>
      </c>
      <c r="L56" s="2" t="s">
        <v>37</v>
      </c>
      <c r="M56" s="2" t="s">
        <v>38</v>
      </c>
      <c r="N56" s="4">
        <f>_xlfn.XLOOKUP(Table1[[#This Row],[Campaign_Name]],'Campaign Metadata'!A:A,'Campaign Metadata'!B:B,"Notfound",0)</f>
        <v>45717</v>
      </c>
      <c r="O56" s="4">
        <f>_xlfn.XLOOKUP(Table1[[#This Row],[Campaign_Name]],'Campaign Metadata'!A:A,'Campaign Metadata'!C:C,"Not found",0)</f>
        <v>45747</v>
      </c>
      <c r="P56" t="str">
        <f>IF(AND(Table1[[#This Row],[Date]]&gt;=Table1[[#This Row],[Campaign Start Date]],Table1[[#This Row],[Date]]&lt;=Table1[[#This Row],[Campaign End Date]]),"During Campaign","Before Campaign")</f>
        <v>Before Campaign</v>
      </c>
    </row>
    <row r="57" spans="1:16" ht="15.75" customHeight="1" x14ac:dyDescent="0.3">
      <c r="A57" s="2" t="s">
        <v>165</v>
      </c>
      <c r="B57" s="2" t="s">
        <v>43</v>
      </c>
      <c r="C57" s="2" t="s">
        <v>166</v>
      </c>
      <c r="D57" s="2" t="s">
        <v>45</v>
      </c>
      <c r="E57" s="2" t="s">
        <v>46</v>
      </c>
      <c r="F57" s="2">
        <v>2946</v>
      </c>
      <c r="G57" s="2">
        <v>498</v>
      </c>
      <c r="H57" s="2">
        <v>367</v>
      </c>
      <c r="I57" s="2">
        <v>29460</v>
      </c>
      <c r="J57" s="2">
        <v>28527</v>
      </c>
      <c r="K57" s="2">
        <v>60</v>
      </c>
      <c r="L57" s="2" t="s">
        <v>62</v>
      </c>
      <c r="M57" s="2" t="s">
        <v>31</v>
      </c>
      <c r="N57" s="4">
        <f>_xlfn.XLOOKUP(Table1[[#This Row],[Campaign_Name]],'Campaign Metadata'!A:A,'Campaign Metadata'!B:B,"Notfound",0)</f>
        <v>45651</v>
      </c>
      <c r="O57" s="4">
        <f>_xlfn.XLOOKUP(Table1[[#This Row],[Campaign_Name]],'Campaign Metadata'!A:A,'Campaign Metadata'!C:C,"Not found",0)</f>
        <v>45667</v>
      </c>
      <c r="P57" t="str">
        <f>IF(AND(Table1[[#This Row],[Date]]&gt;=Table1[[#This Row],[Campaign Start Date]],Table1[[#This Row],[Date]]&lt;=Table1[[#This Row],[Campaign End Date]]),"During Campaign","Before Campaign")</f>
        <v>Before Campaign</v>
      </c>
    </row>
    <row r="58" spans="1:16" ht="15.75" customHeight="1" x14ac:dyDescent="0.3">
      <c r="A58" s="2" t="s">
        <v>167</v>
      </c>
      <c r="B58" s="2" t="s">
        <v>14</v>
      </c>
      <c r="C58" s="2" t="s">
        <v>168</v>
      </c>
      <c r="D58" s="2" t="s">
        <v>74</v>
      </c>
      <c r="E58" s="2" t="s">
        <v>145</v>
      </c>
      <c r="F58" s="2">
        <v>2825</v>
      </c>
      <c r="G58" s="2">
        <v>535</v>
      </c>
      <c r="H58" s="2">
        <v>295</v>
      </c>
      <c r="I58" s="2">
        <v>45200</v>
      </c>
      <c r="J58" s="2">
        <v>44739</v>
      </c>
      <c r="K58" s="2">
        <v>169</v>
      </c>
      <c r="L58" s="2" t="s">
        <v>30</v>
      </c>
      <c r="M58" s="2" t="s">
        <v>19</v>
      </c>
      <c r="N58" s="4">
        <f>_xlfn.XLOOKUP(Table1[[#This Row],[Campaign_Name]],'Campaign Metadata'!A:A,'Campaign Metadata'!B:B,"Notfound",0)</f>
        <v>45458</v>
      </c>
      <c r="O58" s="4">
        <f>_xlfn.XLOOKUP(Table1[[#This Row],[Campaign_Name]],'Campaign Metadata'!A:A,'Campaign Metadata'!C:C,"Not found",0)</f>
        <v>45488</v>
      </c>
      <c r="P58" t="str">
        <f>IF(AND(Table1[[#This Row],[Date]]&gt;=Table1[[#This Row],[Campaign Start Date]],Table1[[#This Row],[Date]]&lt;=Table1[[#This Row],[Campaign End Date]]),"During Campaign","Before Campaign")</f>
        <v>Before Campaign</v>
      </c>
    </row>
    <row r="59" spans="1:16" ht="15.75" customHeight="1" x14ac:dyDescent="0.3">
      <c r="A59" s="2" t="s">
        <v>169</v>
      </c>
      <c r="B59" s="2" t="s">
        <v>33</v>
      </c>
      <c r="C59" s="2" t="s">
        <v>170</v>
      </c>
      <c r="D59" s="2" t="s">
        <v>16</v>
      </c>
      <c r="E59" s="2" t="s">
        <v>82</v>
      </c>
      <c r="F59" s="2">
        <v>103</v>
      </c>
      <c r="G59" s="2">
        <v>770</v>
      </c>
      <c r="H59" s="2">
        <v>19</v>
      </c>
      <c r="I59" s="2">
        <v>1030</v>
      </c>
      <c r="J59" s="2">
        <v>410</v>
      </c>
      <c r="K59" s="2">
        <v>262</v>
      </c>
      <c r="L59" s="2" t="s">
        <v>30</v>
      </c>
      <c r="M59" s="2" t="s">
        <v>38</v>
      </c>
      <c r="N59" s="4">
        <f>_xlfn.XLOOKUP(Table1[[#This Row],[Campaign_Name]],'Campaign Metadata'!A:A,'Campaign Metadata'!B:B,"Notfound",0)</f>
        <v>45717</v>
      </c>
      <c r="O59" s="4">
        <f>_xlfn.XLOOKUP(Table1[[#This Row],[Campaign_Name]],'Campaign Metadata'!A:A,'Campaign Metadata'!C:C,"Not found",0)</f>
        <v>45747</v>
      </c>
      <c r="P59" t="str">
        <f>IF(AND(Table1[[#This Row],[Date]]&gt;=Table1[[#This Row],[Campaign Start Date]],Table1[[#This Row],[Date]]&lt;=Table1[[#This Row],[Campaign End Date]]),"During Campaign","Before Campaign")</f>
        <v>Before Campaign</v>
      </c>
    </row>
    <row r="60" spans="1:16" ht="15.75" customHeight="1" x14ac:dyDescent="0.3">
      <c r="A60" s="2" t="s">
        <v>171</v>
      </c>
      <c r="B60" s="2" t="s">
        <v>33</v>
      </c>
      <c r="C60" s="2" t="s">
        <v>172</v>
      </c>
      <c r="D60" s="2" t="s">
        <v>22</v>
      </c>
      <c r="E60" s="2" t="s">
        <v>113</v>
      </c>
      <c r="F60" s="2">
        <v>2180</v>
      </c>
      <c r="G60" s="2">
        <v>263</v>
      </c>
      <c r="H60" s="2">
        <v>387</v>
      </c>
      <c r="I60" s="2">
        <v>30520</v>
      </c>
      <c r="J60" s="2">
        <v>30059</v>
      </c>
      <c r="K60" s="2">
        <v>174</v>
      </c>
      <c r="L60" s="2" t="s">
        <v>37</v>
      </c>
      <c r="N60" s="4">
        <f>_xlfn.XLOOKUP(Table1[[#This Row],[Campaign_Name]],'Campaign Metadata'!A:A,'Campaign Metadata'!B:B,"Notfound",0)</f>
        <v>0</v>
      </c>
      <c r="O60" s="4">
        <f>_xlfn.XLOOKUP(Table1[[#This Row],[Campaign_Name]],'Campaign Metadata'!A:A,'Campaign Metadata'!C:C,"Not found",0)</f>
        <v>0</v>
      </c>
      <c r="P60" t="str">
        <f>IF(AND(Table1[[#This Row],[Date]]&gt;=Table1[[#This Row],[Campaign Start Date]],Table1[[#This Row],[Date]]&lt;=Table1[[#This Row],[Campaign End Date]]),"During Campaign","Before Campaign")</f>
        <v>Before Campaign</v>
      </c>
    </row>
    <row r="61" spans="1:16" ht="15.75" customHeight="1" x14ac:dyDescent="0.3">
      <c r="A61" s="2" t="s">
        <v>173</v>
      </c>
      <c r="B61" s="2" t="s">
        <v>33</v>
      </c>
      <c r="C61" s="2" t="s">
        <v>174</v>
      </c>
      <c r="D61" s="2" t="s">
        <v>74</v>
      </c>
      <c r="E61" s="2" t="s">
        <v>85</v>
      </c>
      <c r="F61" s="2">
        <v>904</v>
      </c>
      <c r="G61" s="2">
        <v>973</v>
      </c>
      <c r="H61" s="2">
        <v>63</v>
      </c>
      <c r="I61" s="2">
        <v>11752</v>
      </c>
      <c r="J61" s="2">
        <v>11580</v>
      </c>
      <c r="K61" s="2">
        <v>84</v>
      </c>
      <c r="L61" s="2" t="s">
        <v>175</v>
      </c>
      <c r="M61" s="2" t="s">
        <v>31</v>
      </c>
      <c r="N61" s="4">
        <f>_xlfn.XLOOKUP(Table1[[#This Row],[Campaign_Name]],'Campaign Metadata'!A:A,'Campaign Metadata'!B:B,"Notfound",0)</f>
        <v>45651</v>
      </c>
      <c r="O61" s="4">
        <f>_xlfn.XLOOKUP(Table1[[#This Row],[Campaign_Name]],'Campaign Metadata'!A:A,'Campaign Metadata'!C:C,"Not found",0)</f>
        <v>45667</v>
      </c>
      <c r="P61" t="str">
        <f>IF(AND(Table1[[#This Row],[Date]]&gt;=Table1[[#This Row],[Campaign Start Date]],Table1[[#This Row],[Date]]&lt;=Table1[[#This Row],[Campaign End Date]]),"During Campaign","Before Campaign")</f>
        <v>Before Campaign</v>
      </c>
    </row>
    <row r="62" spans="1:16" ht="15.75" customHeight="1" x14ac:dyDescent="0.3">
      <c r="A62" s="2" t="s">
        <v>176</v>
      </c>
      <c r="B62" s="2" t="s">
        <v>14</v>
      </c>
      <c r="C62" s="2" t="s">
        <v>177</v>
      </c>
      <c r="D62" s="2" t="s">
        <v>74</v>
      </c>
      <c r="E62" s="2" t="s">
        <v>145</v>
      </c>
      <c r="F62" s="2">
        <v>4886</v>
      </c>
      <c r="G62" s="2">
        <v>983</v>
      </c>
      <c r="H62" s="2">
        <v>409</v>
      </c>
      <c r="I62" s="2">
        <v>43974</v>
      </c>
      <c r="J62" s="2">
        <v>43239</v>
      </c>
      <c r="K62" s="2">
        <v>65</v>
      </c>
      <c r="L62" s="2" t="s">
        <v>30</v>
      </c>
      <c r="M62" s="2" t="s">
        <v>19</v>
      </c>
      <c r="N62" s="4">
        <f>_xlfn.XLOOKUP(Table1[[#This Row],[Campaign_Name]],'Campaign Metadata'!A:A,'Campaign Metadata'!B:B,"Notfound",0)</f>
        <v>45458</v>
      </c>
      <c r="O62" s="4">
        <f>_xlfn.XLOOKUP(Table1[[#This Row],[Campaign_Name]],'Campaign Metadata'!A:A,'Campaign Metadata'!C:C,"Not found",0)</f>
        <v>45488</v>
      </c>
      <c r="P62" t="str">
        <f>IF(AND(Table1[[#This Row],[Date]]&gt;=Table1[[#This Row],[Campaign Start Date]],Table1[[#This Row],[Date]]&lt;=Table1[[#This Row],[Campaign End Date]]),"During Campaign","Before Campaign")</f>
        <v>Before Campaign</v>
      </c>
    </row>
    <row r="63" spans="1:16" ht="15.75" customHeight="1" x14ac:dyDescent="0.3">
      <c r="A63" s="2" t="s">
        <v>178</v>
      </c>
      <c r="B63" s="2" t="s">
        <v>14</v>
      </c>
      <c r="C63" s="2" t="s">
        <v>179</v>
      </c>
      <c r="D63" s="2" t="s">
        <v>45</v>
      </c>
      <c r="E63" s="2" t="s">
        <v>49</v>
      </c>
      <c r="F63" s="2">
        <v>53</v>
      </c>
      <c r="G63" s="2">
        <v>81</v>
      </c>
      <c r="H63" s="2">
        <v>379</v>
      </c>
      <c r="I63" s="2">
        <v>954</v>
      </c>
      <c r="J63" s="2">
        <v>7</v>
      </c>
      <c r="K63" s="2">
        <v>148</v>
      </c>
      <c r="L63" s="2" t="s">
        <v>30</v>
      </c>
      <c r="M63" s="2" t="s">
        <v>31</v>
      </c>
      <c r="N63" s="4">
        <f>_xlfn.XLOOKUP(Table1[[#This Row],[Campaign_Name]],'Campaign Metadata'!A:A,'Campaign Metadata'!B:B,"Notfound",0)</f>
        <v>45651</v>
      </c>
      <c r="O63" s="4">
        <f>_xlfn.XLOOKUP(Table1[[#This Row],[Campaign_Name]],'Campaign Metadata'!A:A,'Campaign Metadata'!C:C,"Not found",0)</f>
        <v>45667</v>
      </c>
      <c r="P63" t="str">
        <f>IF(AND(Table1[[#This Row],[Date]]&gt;=Table1[[#This Row],[Campaign Start Date]],Table1[[#This Row],[Date]]&lt;=Table1[[#This Row],[Campaign End Date]]),"During Campaign","Before Campaign")</f>
        <v>Before Campaign</v>
      </c>
    </row>
    <row r="64" spans="1:16" ht="15.75" customHeight="1" x14ac:dyDescent="0.3">
      <c r="A64" s="2" t="s">
        <v>180</v>
      </c>
      <c r="B64" s="2" t="s">
        <v>14</v>
      </c>
      <c r="C64" s="2" t="s">
        <v>115</v>
      </c>
      <c r="D64" s="2" t="s">
        <v>45</v>
      </c>
      <c r="E64" s="2" t="s">
        <v>49</v>
      </c>
      <c r="F64" s="2">
        <v>4507</v>
      </c>
      <c r="G64" s="2">
        <v>217</v>
      </c>
      <c r="H64" s="2">
        <v>13</v>
      </c>
      <c r="I64" s="2">
        <v>90140</v>
      </c>
      <c r="J64" s="2">
        <v>89591</v>
      </c>
      <c r="K64" s="2">
        <v>125</v>
      </c>
      <c r="L64" s="2" t="s">
        <v>62</v>
      </c>
      <c r="M64" s="2" t="s">
        <v>31</v>
      </c>
      <c r="N64" s="4">
        <f>_xlfn.XLOOKUP(Table1[[#This Row],[Campaign_Name]],'Campaign Metadata'!A:A,'Campaign Metadata'!B:B,"Notfound",0)</f>
        <v>45651</v>
      </c>
      <c r="O64" s="4">
        <f>_xlfn.XLOOKUP(Table1[[#This Row],[Campaign_Name]],'Campaign Metadata'!A:A,'Campaign Metadata'!C:C,"Not found",0)</f>
        <v>45667</v>
      </c>
      <c r="P64" t="str">
        <f>IF(AND(Table1[[#This Row],[Date]]&gt;=Table1[[#This Row],[Campaign Start Date]],Table1[[#This Row],[Date]]&lt;=Table1[[#This Row],[Campaign End Date]]),"During Campaign","Before Campaign")</f>
        <v>Before Campaign</v>
      </c>
    </row>
    <row r="65" spans="1:16" ht="15.75" customHeight="1" x14ac:dyDescent="0.3">
      <c r="A65" s="2" t="s">
        <v>181</v>
      </c>
      <c r="B65" s="2" t="s">
        <v>43</v>
      </c>
      <c r="C65" s="2" t="s">
        <v>182</v>
      </c>
      <c r="D65" s="2" t="s">
        <v>52</v>
      </c>
      <c r="E65" s="2" t="s">
        <v>59</v>
      </c>
      <c r="F65" s="2">
        <v>2878</v>
      </c>
      <c r="G65" s="2">
        <v>248</v>
      </c>
      <c r="H65" s="2">
        <v>416</v>
      </c>
      <c r="I65" s="2">
        <v>43170</v>
      </c>
      <c r="J65" s="2">
        <v>42667</v>
      </c>
      <c r="K65" s="2">
        <v>75</v>
      </c>
      <c r="L65" s="2" t="s">
        <v>62</v>
      </c>
      <c r="M65" s="2" t="s">
        <v>31</v>
      </c>
      <c r="N65" s="4">
        <f>_xlfn.XLOOKUP(Table1[[#This Row],[Campaign_Name]],'Campaign Metadata'!A:A,'Campaign Metadata'!B:B,"Notfound",0)</f>
        <v>45651</v>
      </c>
      <c r="O65" s="4">
        <f>_xlfn.XLOOKUP(Table1[[#This Row],[Campaign_Name]],'Campaign Metadata'!A:A,'Campaign Metadata'!C:C,"Not found",0)</f>
        <v>45667</v>
      </c>
      <c r="P65" t="str">
        <f>IF(AND(Table1[[#This Row],[Date]]&gt;=Table1[[#This Row],[Campaign Start Date]],Table1[[#This Row],[Date]]&lt;=Table1[[#This Row],[Campaign End Date]]),"During Campaign","Before Campaign")</f>
        <v>Before Campaign</v>
      </c>
    </row>
    <row r="66" spans="1:16" ht="15.75" customHeight="1" x14ac:dyDescent="0.3">
      <c r="A66" s="2" t="s">
        <v>183</v>
      </c>
      <c r="B66" s="2" t="s">
        <v>33</v>
      </c>
      <c r="C66" s="2" t="s">
        <v>184</v>
      </c>
      <c r="D66" s="2" t="s">
        <v>35</v>
      </c>
      <c r="E66" s="2" t="s">
        <v>36</v>
      </c>
      <c r="F66" s="2">
        <v>1881</v>
      </c>
      <c r="G66" s="2">
        <v>501</v>
      </c>
      <c r="H66" s="2">
        <v>99</v>
      </c>
      <c r="I66" s="2">
        <v>20691</v>
      </c>
      <c r="J66" s="2">
        <v>19987</v>
      </c>
      <c r="K66" s="2">
        <v>289</v>
      </c>
      <c r="L66" s="2" t="s">
        <v>37</v>
      </c>
      <c r="N66" s="4">
        <f>_xlfn.XLOOKUP(Table1[[#This Row],[Campaign_Name]],'Campaign Metadata'!A:A,'Campaign Metadata'!B:B,"Notfound",0)</f>
        <v>0</v>
      </c>
      <c r="O66" s="4">
        <f>_xlfn.XLOOKUP(Table1[[#This Row],[Campaign_Name]],'Campaign Metadata'!A:A,'Campaign Metadata'!C:C,"Not found",0)</f>
        <v>0</v>
      </c>
      <c r="P66" t="str">
        <f>IF(AND(Table1[[#This Row],[Date]]&gt;=Table1[[#This Row],[Campaign Start Date]],Table1[[#This Row],[Date]]&lt;=Table1[[#This Row],[Campaign End Date]]),"During Campaign","Before Campaign")</f>
        <v>Before Campaign</v>
      </c>
    </row>
    <row r="67" spans="1:16" ht="15.75" customHeight="1" x14ac:dyDescent="0.3">
      <c r="A67" s="2" t="s">
        <v>185</v>
      </c>
      <c r="B67" s="2" t="s">
        <v>14</v>
      </c>
      <c r="C67" s="2" t="s">
        <v>186</v>
      </c>
      <c r="D67" s="2" t="s">
        <v>45</v>
      </c>
      <c r="E67" s="2" t="s">
        <v>49</v>
      </c>
      <c r="F67" s="2">
        <v>432</v>
      </c>
      <c r="G67" s="2">
        <v>171</v>
      </c>
      <c r="H67" s="2">
        <v>280</v>
      </c>
      <c r="I67" s="2">
        <v>3024</v>
      </c>
      <c r="J67" s="2">
        <v>2285</v>
      </c>
      <c r="K67" s="2">
        <v>184</v>
      </c>
      <c r="L67" s="2" t="s">
        <v>37</v>
      </c>
      <c r="M67" s="2" t="s">
        <v>19</v>
      </c>
      <c r="N67" s="4">
        <f>_xlfn.XLOOKUP(Table1[[#This Row],[Campaign_Name]],'Campaign Metadata'!A:A,'Campaign Metadata'!B:B,"Notfound",0)</f>
        <v>45458</v>
      </c>
      <c r="O67" s="4">
        <f>_xlfn.XLOOKUP(Table1[[#This Row],[Campaign_Name]],'Campaign Metadata'!A:A,'Campaign Metadata'!C:C,"Not found",0)</f>
        <v>45488</v>
      </c>
      <c r="P67" t="str">
        <f>IF(AND(Table1[[#This Row],[Date]]&gt;=Table1[[#This Row],[Campaign Start Date]],Table1[[#This Row],[Date]]&lt;=Table1[[#This Row],[Campaign End Date]]),"During Campaign","Before Campaign")</f>
        <v>Before Campaign</v>
      </c>
    </row>
    <row r="68" spans="1:16" ht="15.75" customHeight="1" x14ac:dyDescent="0.3">
      <c r="A68" s="2" t="s">
        <v>187</v>
      </c>
      <c r="B68" s="2" t="s">
        <v>43</v>
      </c>
      <c r="C68" s="2" t="s">
        <v>188</v>
      </c>
      <c r="D68" s="2" t="s">
        <v>45</v>
      </c>
      <c r="E68" s="2" t="s">
        <v>46</v>
      </c>
      <c r="F68" s="2">
        <v>4712</v>
      </c>
      <c r="G68" s="2">
        <v>568</v>
      </c>
      <c r="H68" s="2">
        <v>127</v>
      </c>
      <c r="I68" s="2">
        <v>84816</v>
      </c>
      <c r="J68" s="2">
        <v>84691</v>
      </c>
      <c r="K68" s="2">
        <v>100</v>
      </c>
      <c r="L68" s="2" t="s">
        <v>37</v>
      </c>
      <c r="M68" s="2" t="s">
        <v>31</v>
      </c>
      <c r="N68" s="4">
        <f>_xlfn.XLOOKUP(Table1[[#This Row],[Campaign_Name]],'Campaign Metadata'!A:A,'Campaign Metadata'!B:B,"Notfound",0)</f>
        <v>45651</v>
      </c>
      <c r="O68" s="4">
        <f>_xlfn.XLOOKUP(Table1[[#This Row],[Campaign_Name]],'Campaign Metadata'!A:A,'Campaign Metadata'!C:C,"Not found",0)</f>
        <v>45667</v>
      </c>
      <c r="P68" t="str">
        <f>IF(AND(Table1[[#This Row],[Date]]&gt;=Table1[[#This Row],[Campaign Start Date]],Table1[[#This Row],[Date]]&lt;=Table1[[#This Row],[Campaign End Date]]),"During Campaign","Before Campaign")</f>
        <v>Before Campaign</v>
      </c>
    </row>
    <row r="69" spans="1:16" ht="15.75" customHeight="1" x14ac:dyDescent="0.3">
      <c r="A69" s="2" t="s">
        <v>189</v>
      </c>
      <c r="B69" s="2" t="s">
        <v>33</v>
      </c>
      <c r="C69" s="2" t="s">
        <v>190</v>
      </c>
      <c r="D69" s="2" t="s">
        <v>35</v>
      </c>
      <c r="E69" s="2" t="s">
        <v>36</v>
      </c>
      <c r="F69" s="2">
        <v>2610</v>
      </c>
      <c r="G69" s="2">
        <v>126</v>
      </c>
      <c r="H69" s="2">
        <v>288</v>
      </c>
      <c r="I69" s="2">
        <v>15660</v>
      </c>
      <c r="J69" s="2">
        <v>15145</v>
      </c>
      <c r="K69" s="2">
        <v>73</v>
      </c>
      <c r="L69" s="2" t="s">
        <v>37</v>
      </c>
      <c r="N69" s="4">
        <f>_xlfn.XLOOKUP(Table1[[#This Row],[Campaign_Name]],'Campaign Metadata'!A:A,'Campaign Metadata'!B:B,"Notfound",0)</f>
        <v>0</v>
      </c>
      <c r="O69" s="4">
        <f>_xlfn.XLOOKUP(Table1[[#This Row],[Campaign_Name]],'Campaign Metadata'!A:A,'Campaign Metadata'!C:C,"Not found",0)</f>
        <v>0</v>
      </c>
      <c r="P69" t="str">
        <f>IF(AND(Table1[[#This Row],[Date]]&gt;=Table1[[#This Row],[Campaign Start Date]],Table1[[#This Row],[Date]]&lt;=Table1[[#This Row],[Campaign End Date]]),"During Campaign","Before Campaign")</f>
        <v>Before Campaign</v>
      </c>
    </row>
    <row r="70" spans="1:16" ht="15.75" customHeight="1" x14ac:dyDescent="0.3">
      <c r="A70" s="2" t="s">
        <v>191</v>
      </c>
      <c r="B70" s="2" t="s">
        <v>14</v>
      </c>
      <c r="C70" s="2" t="s">
        <v>134</v>
      </c>
      <c r="D70" s="2" t="s">
        <v>22</v>
      </c>
      <c r="E70" s="2" t="s">
        <v>23</v>
      </c>
      <c r="F70" s="2">
        <v>1292</v>
      </c>
      <c r="G70" s="2">
        <v>626</v>
      </c>
      <c r="H70" s="2">
        <v>496</v>
      </c>
      <c r="I70" s="2">
        <v>25840</v>
      </c>
      <c r="J70" s="2">
        <v>24916</v>
      </c>
      <c r="K70" s="2">
        <v>149</v>
      </c>
      <c r="L70" s="2" t="s">
        <v>62</v>
      </c>
      <c r="M70" s="2" t="s">
        <v>31</v>
      </c>
      <c r="N70" s="4">
        <f>_xlfn.XLOOKUP(Table1[[#This Row],[Campaign_Name]],'Campaign Metadata'!A:A,'Campaign Metadata'!B:B,"Notfound",0)</f>
        <v>45651</v>
      </c>
      <c r="O70" s="4">
        <f>_xlfn.XLOOKUP(Table1[[#This Row],[Campaign_Name]],'Campaign Metadata'!A:A,'Campaign Metadata'!C:C,"Not found",0)</f>
        <v>45667</v>
      </c>
      <c r="P70" t="str">
        <f>IF(AND(Table1[[#This Row],[Date]]&gt;=Table1[[#This Row],[Campaign Start Date]],Table1[[#This Row],[Date]]&lt;=Table1[[#This Row],[Campaign End Date]]),"During Campaign","Before Campaign")</f>
        <v>Before Campaign</v>
      </c>
    </row>
    <row r="71" spans="1:16" ht="15.75" customHeight="1" x14ac:dyDescent="0.3">
      <c r="A71" s="2" t="s">
        <v>192</v>
      </c>
      <c r="B71" s="2" t="s">
        <v>43</v>
      </c>
      <c r="C71" s="2" t="s">
        <v>193</v>
      </c>
      <c r="D71" s="2" t="s">
        <v>74</v>
      </c>
      <c r="E71" s="2" t="s">
        <v>75</v>
      </c>
      <c r="F71" s="2">
        <v>199</v>
      </c>
      <c r="G71" s="2">
        <v>772</v>
      </c>
      <c r="H71" s="2">
        <v>400</v>
      </c>
      <c r="I71" s="2">
        <v>3582</v>
      </c>
      <c r="J71" s="2">
        <v>2988</v>
      </c>
      <c r="K71" s="2">
        <v>43</v>
      </c>
      <c r="L71" s="2" t="s">
        <v>30</v>
      </c>
      <c r="N71" s="4">
        <f>_xlfn.XLOOKUP(Table1[[#This Row],[Campaign_Name]],'Campaign Metadata'!A:A,'Campaign Metadata'!B:B,"Notfound",0)</f>
        <v>0</v>
      </c>
      <c r="O71" s="4">
        <f>_xlfn.XLOOKUP(Table1[[#This Row],[Campaign_Name]],'Campaign Metadata'!A:A,'Campaign Metadata'!C:C,"Not found",0)</f>
        <v>0</v>
      </c>
      <c r="P71" t="str">
        <f>IF(AND(Table1[[#This Row],[Date]]&gt;=Table1[[#This Row],[Campaign Start Date]],Table1[[#This Row],[Date]]&lt;=Table1[[#This Row],[Campaign End Date]]),"During Campaign","Before Campaign")</f>
        <v>Before Campaign</v>
      </c>
    </row>
    <row r="72" spans="1:16" ht="15.75" customHeight="1" x14ac:dyDescent="0.3">
      <c r="A72" s="2" t="s">
        <v>194</v>
      </c>
      <c r="B72" s="2" t="s">
        <v>27</v>
      </c>
      <c r="C72" s="2" t="s">
        <v>195</v>
      </c>
      <c r="D72" s="2" t="s">
        <v>45</v>
      </c>
      <c r="E72" s="2" t="s">
        <v>68</v>
      </c>
      <c r="F72" s="2">
        <v>2551</v>
      </c>
      <c r="G72" s="2">
        <v>915</v>
      </c>
      <c r="H72" s="2">
        <v>205</v>
      </c>
      <c r="I72" s="2">
        <v>30612</v>
      </c>
      <c r="J72" s="2">
        <v>30360</v>
      </c>
      <c r="K72" s="2">
        <v>227</v>
      </c>
      <c r="L72" s="2" t="s">
        <v>30</v>
      </c>
      <c r="M72" s="2" t="s">
        <v>25</v>
      </c>
      <c r="N72" s="4">
        <f>_xlfn.XLOOKUP(Table1[[#This Row],[Campaign_Name]],'Campaign Metadata'!A:A,'Campaign Metadata'!B:B,"Notfound",0)</f>
        <v>45566</v>
      </c>
      <c r="O72" s="4">
        <f>_xlfn.XLOOKUP(Table1[[#This Row],[Campaign_Name]],'Campaign Metadata'!A:A,'Campaign Metadata'!C:C,"Not found",0)</f>
        <v>45596</v>
      </c>
      <c r="P72" t="str">
        <f>IF(AND(Table1[[#This Row],[Date]]&gt;=Table1[[#This Row],[Campaign Start Date]],Table1[[#This Row],[Date]]&lt;=Table1[[#This Row],[Campaign End Date]]),"During Campaign","Before Campaign")</f>
        <v>Before Campaign</v>
      </c>
    </row>
    <row r="73" spans="1:16" ht="15.75" customHeight="1" x14ac:dyDescent="0.3">
      <c r="A73" s="2" t="s">
        <v>196</v>
      </c>
      <c r="B73" s="2" t="s">
        <v>27</v>
      </c>
      <c r="C73" s="2" t="s">
        <v>197</v>
      </c>
      <c r="D73" s="2" t="s">
        <v>16</v>
      </c>
      <c r="E73" s="2" t="s">
        <v>29</v>
      </c>
      <c r="F73" s="2">
        <v>296</v>
      </c>
      <c r="G73" s="2">
        <v>60</v>
      </c>
      <c r="H73" s="2">
        <v>141</v>
      </c>
      <c r="I73" s="2">
        <v>5624</v>
      </c>
      <c r="J73" s="2">
        <v>5239</v>
      </c>
      <c r="K73" s="2">
        <v>88</v>
      </c>
      <c r="L73" s="2" t="s">
        <v>37</v>
      </c>
      <c r="M73" s="2" t="s">
        <v>25</v>
      </c>
      <c r="N73" s="4">
        <f>_xlfn.XLOOKUP(Table1[[#This Row],[Campaign_Name]],'Campaign Metadata'!A:A,'Campaign Metadata'!B:B,"Notfound",0)</f>
        <v>45566</v>
      </c>
      <c r="O73" s="4">
        <f>_xlfn.XLOOKUP(Table1[[#This Row],[Campaign_Name]],'Campaign Metadata'!A:A,'Campaign Metadata'!C:C,"Not found",0)</f>
        <v>45596</v>
      </c>
      <c r="P73" t="str">
        <f>IF(AND(Table1[[#This Row],[Date]]&gt;=Table1[[#This Row],[Campaign Start Date]],Table1[[#This Row],[Date]]&lt;=Table1[[#This Row],[Campaign End Date]]),"During Campaign","Before Campaign")</f>
        <v>Before Campaign</v>
      </c>
    </row>
    <row r="74" spans="1:16" ht="15.75" customHeight="1" x14ac:dyDescent="0.3">
      <c r="A74" s="2" t="s">
        <v>198</v>
      </c>
      <c r="B74" s="2" t="s">
        <v>43</v>
      </c>
      <c r="C74" s="2" t="s">
        <v>199</v>
      </c>
      <c r="D74" s="2" t="s">
        <v>35</v>
      </c>
      <c r="E74" s="2" t="s">
        <v>71</v>
      </c>
      <c r="F74" s="2">
        <v>4126</v>
      </c>
      <c r="G74" s="2">
        <v>426</v>
      </c>
      <c r="H74" s="2">
        <v>486</v>
      </c>
      <c r="I74" s="2">
        <v>78394</v>
      </c>
      <c r="J74" s="2">
        <v>77798</v>
      </c>
      <c r="K74" s="2">
        <v>88</v>
      </c>
      <c r="L74" s="2" t="s">
        <v>62</v>
      </c>
      <c r="M74" s="2" t="s">
        <v>38</v>
      </c>
      <c r="N74" s="4">
        <f>_xlfn.XLOOKUP(Table1[[#This Row],[Campaign_Name]],'Campaign Metadata'!A:A,'Campaign Metadata'!B:B,"Notfound",0)</f>
        <v>45717</v>
      </c>
      <c r="O74" s="4">
        <f>_xlfn.XLOOKUP(Table1[[#This Row],[Campaign_Name]],'Campaign Metadata'!A:A,'Campaign Metadata'!C:C,"Not found",0)</f>
        <v>45747</v>
      </c>
      <c r="P74" t="str">
        <f>IF(AND(Table1[[#This Row],[Date]]&gt;=Table1[[#This Row],[Campaign Start Date]],Table1[[#This Row],[Date]]&lt;=Table1[[#This Row],[Campaign End Date]]),"During Campaign","Before Campaign")</f>
        <v>Before Campaign</v>
      </c>
    </row>
    <row r="75" spans="1:16" ht="15.75" customHeight="1" x14ac:dyDescent="0.3">
      <c r="A75" s="2" t="s">
        <v>200</v>
      </c>
      <c r="B75" s="2" t="s">
        <v>27</v>
      </c>
      <c r="C75" s="2" t="s">
        <v>201</v>
      </c>
      <c r="D75" s="2" t="s">
        <v>16</v>
      </c>
      <c r="E75" s="2" t="s">
        <v>29</v>
      </c>
      <c r="F75" s="2">
        <v>1855</v>
      </c>
      <c r="G75" s="2">
        <v>200</v>
      </c>
      <c r="H75" s="2">
        <v>174</v>
      </c>
      <c r="I75" s="2">
        <v>16695</v>
      </c>
      <c r="J75" s="2">
        <v>16330</v>
      </c>
      <c r="K75" s="2">
        <v>123</v>
      </c>
      <c r="L75" s="2" t="s">
        <v>30</v>
      </c>
      <c r="M75" s="2" t="s">
        <v>31</v>
      </c>
      <c r="N75" s="4">
        <f>_xlfn.XLOOKUP(Table1[[#This Row],[Campaign_Name]],'Campaign Metadata'!A:A,'Campaign Metadata'!B:B,"Notfound",0)</f>
        <v>45651</v>
      </c>
      <c r="O75" s="4">
        <f>_xlfn.XLOOKUP(Table1[[#This Row],[Campaign_Name]],'Campaign Metadata'!A:A,'Campaign Metadata'!C:C,"Not found",0)</f>
        <v>45667</v>
      </c>
      <c r="P75" t="str">
        <f>IF(AND(Table1[[#This Row],[Date]]&gt;=Table1[[#This Row],[Campaign Start Date]],Table1[[#This Row],[Date]]&lt;=Table1[[#This Row],[Campaign End Date]]),"During Campaign","Before Campaign")</f>
        <v>Before Campaign</v>
      </c>
    </row>
    <row r="76" spans="1:16" ht="15.75" customHeight="1" x14ac:dyDescent="0.3">
      <c r="A76" s="2" t="s">
        <v>202</v>
      </c>
      <c r="B76" s="2" t="s">
        <v>33</v>
      </c>
      <c r="C76" s="2" t="s">
        <v>203</v>
      </c>
      <c r="D76" s="2" t="s">
        <v>16</v>
      </c>
      <c r="E76" s="2" t="s">
        <v>82</v>
      </c>
      <c r="F76" s="2">
        <v>1674</v>
      </c>
      <c r="G76" s="2">
        <v>929</v>
      </c>
      <c r="H76" s="2">
        <v>37</v>
      </c>
      <c r="I76" s="2">
        <v>21762</v>
      </c>
      <c r="J76" s="2">
        <v>20998</v>
      </c>
      <c r="K76" s="2">
        <v>255</v>
      </c>
      <c r="L76" s="2" t="s">
        <v>30</v>
      </c>
      <c r="M76" s="2" t="s">
        <v>38</v>
      </c>
      <c r="N76" s="4">
        <f>_xlfn.XLOOKUP(Table1[[#This Row],[Campaign_Name]],'Campaign Metadata'!A:A,'Campaign Metadata'!B:B,"Notfound",0)</f>
        <v>45717</v>
      </c>
      <c r="O76" s="4">
        <f>_xlfn.XLOOKUP(Table1[[#This Row],[Campaign_Name]],'Campaign Metadata'!A:A,'Campaign Metadata'!C:C,"Not found",0)</f>
        <v>45747</v>
      </c>
      <c r="P76" t="str">
        <f>IF(AND(Table1[[#This Row],[Date]]&gt;=Table1[[#This Row],[Campaign Start Date]],Table1[[#This Row],[Date]]&lt;=Table1[[#This Row],[Campaign End Date]]),"During Campaign","Before Campaign")</f>
        <v>Before Campaign</v>
      </c>
    </row>
    <row r="77" spans="1:16" ht="15.75" customHeight="1" x14ac:dyDescent="0.3">
      <c r="A77" s="2" t="s">
        <v>204</v>
      </c>
      <c r="B77" s="2" t="s">
        <v>14</v>
      </c>
      <c r="C77" s="2" t="s">
        <v>205</v>
      </c>
      <c r="D77" s="2" t="s">
        <v>35</v>
      </c>
      <c r="E77" s="2" t="s">
        <v>149</v>
      </c>
      <c r="F77" s="2">
        <v>1121</v>
      </c>
      <c r="G77" s="2">
        <v>135</v>
      </c>
      <c r="H77" s="2">
        <v>18</v>
      </c>
      <c r="I77" s="2">
        <v>15694</v>
      </c>
      <c r="J77" s="2">
        <v>14957</v>
      </c>
      <c r="K77" s="2">
        <v>99</v>
      </c>
      <c r="L77" s="2" t="s">
        <v>30</v>
      </c>
      <c r="M77" s="2" t="s">
        <v>38</v>
      </c>
      <c r="N77" s="4">
        <f>_xlfn.XLOOKUP(Table1[[#This Row],[Campaign_Name]],'Campaign Metadata'!A:A,'Campaign Metadata'!B:B,"Notfound",0)</f>
        <v>45717</v>
      </c>
      <c r="O77" s="4">
        <f>_xlfn.XLOOKUP(Table1[[#This Row],[Campaign_Name]],'Campaign Metadata'!A:A,'Campaign Metadata'!C:C,"Not found",0)</f>
        <v>45747</v>
      </c>
      <c r="P77" t="str">
        <f>IF(AND(Table1[[#This Row],[Date]]&gt;=Table1[[#This Row],[Campaign Start Date]],Table1[[#This Row],[Date]]&lt;=Table1[[#This Row],[Campaign End Date]]),"During Campaign","Before Campaign")</f>
        <v>Before Campaign</v>
      </c>
    </row>
    <row r="78" spans="1:16" ht="15.75" customHeight="1" x14ac:dyDescent="0.3">
      <c r="A78" s="2" t="s">
        <v>206</v>
      </c>
      <c r="B78" s="2" t="s">
        <v>43</v>
      </c>
      <c r="C78" s="2" t="s">
        <v>106</v>
      </c>
      <c r="D78" s="2" t="s">
        <v>35</v>
      </c>
      <c r="E78" s="2" t="s">
        <v>71</v>
      </c>
      <c r="F78" s="2">
        <v>1249</v>
      </c>
      <c r="G78" s="2">
        <v>116</v>
      </c>
      <c r="H78" s="2">
        <v>420</v>
      </c>
      <c r="I78" s="2">
        <v>8743</v>
      </c>
      <c r="J78" s="2">
        <v>8538</v>
      </c>
      <c r="K78" s="2">
        <v>63</v>
      </c>
      <c r="L78" s="2" t="s">
        <v>30</v>
      </c>
      <c r="N78" s="4">
        <f>_xlfn.XLOOKUP(Table1[[#This Row],[Campaign_Name]],'Campaign Metadata'!A:A,'Campaign Metadata'!B:B,"Notfound",0)</f>
        <v>0</v>
      </c>
      <c r="O78" s="4">
        <f>_xlfn.XLOOKUP(Table1[[#This Row],[Campaign_Name]],'Campaign Metadata'!A:A,'Campaign Metadata'!C:C,"Not found",0)</f>
        <v>0</v>
      </c>
      <c r="P78" t="str">
        <f>IF(AND(Table1[[#This Row],[Date]]&gt;=Table1[[#This Row],[Campaign Start Date]],Table1[[#This Row],[Date]]&lt;=Table1[[#This Row],[Campaign End Date]]),"During Campaign","Before Campaign")</f>
        <v>Before Campaign</v>
      </c>
    </row>
    <row r="79" spans="1:16" ht="15.75" customHeight="1" x14ac:dyDescent="0.3">
      <c r="A79" s="2" t="s">
        <v>207</v>
      </c>
      <c r="B79" s="2" t="s">
        <v>14</v>
      </c>
      <c r="C79" s="2" t="s">
        <v>164</v>
      </c>
      <c r="D79" s="2" t="s">
        <v>52</v>
      </c>
      <c r="E79" s="2" t="s">
        <v>132</v>
      </c>
      <c r="F79" s="2">
        <v>954</v>
      </c>
      <c r="G79" s="2">
        <v>324</v>
      </c>
      <c r="H79" s="2">
        <v>288</v>
      </c>
      <c r="I79" s="2">
        <v>19080</v>
      </c>
      <c r="J79" s="2">
        <v>18859</v>
      </c>
      <c r="K79" s="2">
        <v>21</v>
      </c>
      <c r="L79" s="2" t="s">
        <v>62</v>
      </c>
      <c r="M79" s="2" t="s">
        <v>38</v>
      </c>
      <c r="N79" s="4">
        <f>_xlfn.XLOOKUP(Table1[[#This Row],[Campaign_Name]],'Campaign Metadata'!A:A,'Campaign Metadata'!B:B,"Notfound",0)</f>
        <v>45717</v>
      </c>
      <c r="O79" s="4">
        <f>_xlfn.XLOOKUP(Table1[[#This Row],[Campaign_Name]],'Campaign Metadata'!A:A,'Campaign Metadata'!C:C,"Not found",0)</f>
        <v>45747</v>
      </c>
      <c r="P79" t="str">
        <f>IF(AND(Table1[[#This Row],[Date]]&gt;=Table1[[#This Row],[Campaign Start Date]],Table1[[#This Row],[Date]]&lt;=Table1[[#This Row],[Campaign End Date]]),"During Campaign","Before Campaign")</f>
        <v>Before Campaign</v>
      </c>
    </row>
    <row r="80" spans="1:16" ht="15.75" customHeight="1" x14ac:dyDescent="0.3">
      <c r="A80" s="2" t="s">
        <v>208</v>
      </c>
      <c r="B80" s="2" t="s">
        <v>33</v>
      </c>
      <c r="C80" s="2" t="s">
        <v>209</v>
      </c>
      <c r="D80" s="2" t="s">
        <v>45</v>
      </c>
      <c r="E80" s="2" t="s">
        <v>88</v>
      </c>
      <c r="F80" s="2">
        <v>3068</v>
      </c>
      <c r="G80" s="2">
        <v>137</v>
      </c>
      <c r="H80" s="2">
        <v>329</v>
      </c>
      <c r="I80" s="2">
        <v>39884</v>
      </c>
      <c r="J80" s="2">
        <v>39404</v>
      </c>
      <c r="K80" s="2">
        <v>266</v>
      </c>
      <c r="L80" s="2" t="s">
        <v>37</v>
      </c>
      <c r="M80" s="2" t="s">
        <v>25</v>
      </c>
      <c r="N80" s="4">
        <f>_xlfn.XLOOKUP(Table1[[#This Row],[Campaign_Name]],'Campaign Metadata'!A:A,'Campaign Metadata'!B:B,"Notfound",0)</f>
        <v>45566</v>
      </c>
      <c r="O80" s="4">
        <f>_xlfn.XLOOKUP(Table1[[#This Row],[Campaign_Name]],'Campaign Metadata'!A:A,'Campaign Metadata'!C:C,"Not found",0)</f>
        <v>45596</v>
      </c>
      <c r="P80" t="str">
        <f>IF(AND(Table1[[#This Row],[Date]]&gt;=Table1[[#This Row],[Campaign Start Date]],Table1[[#This Row],[Date]]&lt;=Table1[[#This Row],[Campaign End Date]]),"During Campaign","Before Campaign")</f>
        <v>Before Campaign</v>
      </c>
    </row>
    <row r="81" spans="1:16" ht="15.75" customHeight="1" x14ac:dyDescent="0.3">
      <c r="A81" s="2" t="s">
        <v>210</v>
      </c>
      <c r="B81" s="2" t="s">
        <v>33</v>
      </c>
      <c r="C81" s="2" t="s">
        <v>156</v>
      </c>
      <c r="D81" s="2" t="s">
        <v>35</v>
      </c>
      <c r="E81" s="2" t="s">
        <v>36</v>
      </c>
      <c r="F81" s="2">
        <v>2103</v>
      </c>
      <c r="G81" s="2">
        <v>892</v>
      </c>
      <c r="H81" s="2">
        <v>103</v>
      </c>
      <c r="I81" s="2">
        <v>39957</v>
      </c>
      <c r="J81" s="2">
        <v>39466</v>
      </c>
      <c r="K81" s="2">
        <v>28</v>
      </c>
      <c r="L81" s="2" t="s">
        <v>62</v>
      </c>
      <c r="N81" s="4">
        <f>_xlfn.XLOOKUP(Table1[[#This Row],[Campaign_Name]],'Campaign Metadata'!A:A,'Campaign Metadata'!B:B,"Notfound",0)</f>
        <v>0</v>
      </c>
      <c r="O81" s="4">
        <f>_xlfn.XLOOKUP(Table1[[#This Row],[Campaign_Name]],'Campaign Metadata'!A:A,'Campaign Metadata'!C:C,"Not found",0)</f>
        <v>0</v>
      </c>
      <c r="P81" t="str">
        <f>IF(AND(Table1[[#This Row],[Date]]&gt;=Table1[[#This Row],[Campaign Start Date]],Table1[[#This Row],[Date]]&lt;=Table1[[#This Row],[Campaign End Date]]),"During Campaign","Before Campaign")</f>
        <v>Before Campaign</v>
      </c>
    </row>
    <row r="82" spans="1:16" ht="15.75" customHeight="1" x14ac:dyDescent="0.3">
      <c r="A82" s="2" t="s">
        <v>211</v>
      </c>
      <c r="B82" s="2" t="s">
        <v>33</v>
      </c>
      <c r="C82" s="2" t="s">
        <v>212</v>
      </c>
      <c r="D82" s="2" t="s">
        <v>35</v>
      </c>
      <c r="E82" s="2" t="s">
        <v>36</v>
      </c>
      <c r="F82" s="2">
        <v>1816</v>
      </c>
      <c r="G82" s="2">
        <v>29</v>
      </c>
      <c r="H82" s="2">
        <v>41</v>
      </c>
      <c r="I82" s="2">
        <v>19976</v>
      </c>
      <c r="J82" s="2">
        <v>19262</v>
      </c>
      <c r="K82" s="2">
        <v>283</v>
      </c>
      <c r="L82" s="2" t="s">
        <v>30</v>
      </c>
      <c r="M82" s="2" t="s">
        <v>31</v>
      </c>
      <c r="N82" s="4">
        <f>_xlfn.XLOOKUP(Table1[[#This Row],[Campaign_Name]],'Campaign Metadata'!A:A,'Campaign Metadata'!B:B,"Notfound",0)</f>
        <v>45651</v>
      </c>
      <c r="O82" s="4">
        <f>_xlfn.XLOOKUP(Table1[[#This Row],[Campaign_Name]],'Campaign Metadata'!A:A,'Campaign Metadata'!C:C,"Not found",0)</f>
        <v>45667</v>
      </c>
      <c r="P82" t="str">
        <f>IF(AND(Table1[[#This Row],[Date]]&gt;=Table1[[#This Row],[Campaign Start Date]],Table1[[#This Row],[Date]]&lt;=Table1[[#This Row],[Campaign End Date]]),"During Campaign","Before Campaign")</f>
        <v>Before Campaign</v>
      </c>
    </row>
    <row r="83" spans="1:16" ht="15.75" customHeight="1" x14ac:dyDescent="0.3">
      <c r="A83" s="2" t="s">
        <v>213</v>
      </c>
      <c r="B83" s="2" t="s">
        <v>33</v>
      </c>
      <c r="C83" s="2" t="s">
        <v>214</v>
      </c>
      <c r="D83" s="2" t="s">
        <v>52</v>
      </c>
      <c r="E83" s="2" t="s">
        <v>215</v>
      </c>
      <c r="F83" s="2">
        <v>725</v>
      </c>
      <c r="G83" s="2">
        <v>88</v>
      </c>
      <c r="H83" s="2">
        <v>428</v>
      </c>
      <c r="I83" s="2">
        <v>14500</v>
      </c>
      <c r="J83" s="2">
        <v>13637</v>
      </c>
      <c r="K83" s="2">
        <v>200</v>
      </c>
      <c r="L83" s="2" t="s">
        <v>216</v>
      </c>
      <c r="M83" s="2" t="s">
        <v>31</v>
      </c>
      <c r="N83" s="4">
        <f>_xlfn.XLOOKUP(Table1[[#This Row],[Campaign_Name]],'Campaign Metadata'!A:A,'Campaign Metadata'!B:B,"Notfound",0)</f>
        <v>45651</v>
      </c>
      <c r="O83" s="4">
        <f>_xlfn.XLOOKUP(Table1[[#This Row],[Campaign_Name]],'Campaign Metadata'!A:A,'Campaign Metadata'!C:C,"Not found",0)</f>
        <v>45667</v>
      </c>
      <c r="P83" t="str">
        <f>IF(AND(Table1[[#This Row],[Date]]&gt;=Table1[[#This Row],[Campaign Start Date]],Table1[[#This Row],[Date]]&lt;=Table1[[#This Row],[Campaign End Date]]),"During Campaign","Before Campaign")</f>
        <v>Before Campaign</v>
      </c>
    </row>
    <row r="84" spans="1:16" ht="15.75" customHeight="1" x14ac:dyDescent="0.3">
      <c r="A84" s="2" t="s">
        <v>217</v>
      </c>
      <c r="B84" s="2" t="s">
        <v>27</v>
      </c>
      <c r="C84" s="2" t="s">
        <v>218</v>
      </c>
      <c r="D84" s="2" t="s">
        <v>74</v>
      </c>
      <c r="E84" s="2" t="s">
        <v>219</v>
      </c>
      <c r="F84" s="2">
        <v>1094</v>
      </c>
      <c r="G84" s="2">
        <v>472</v>
      </c>
      <c r="H84" s="2">
        <v>21</v>
      </c>
      <c r="I84" s="2">
        <v>9846</v>
      </c>
      <c r="J84" s="2">
        <v>9609</v>
      </c>
      <c r="K84" s="2">
        <v>112</v>
      </c>
      <c r="L84" s="2" t="s">
        <v>37</v>
      </c>
      <c r="N84" s="4">
        <f>_xlfn.XLOOKUP(Table1[[#This Row],[Campaign_Name]],'Campaign Metadata'!A:A,'Campaign Metadata'!B:B,"Notfound",0)</f>
        <v>0</v>
      </c>
      <c r="O84" s="4">
        <f>_xlfn.XLOOKUP(Table1[[#This Row],[Campaign_Name]],'Campaign Metadata'!A:A,'Campaign Metadata'!C:C,"Not found",0)</f>
        <v>0</v>
      </c>
      <c r="P84" t="str">
        <f>IF(AND(Table1[[#This Row],[Date]]&gt;=Table1[[#This Row],[Campaign Start Date]],Table1[[#This Row],[Date]]&lt;=Table1[[#This Row],[Campaign End Date]]),"During Campaign","Before Campaign")</f>
        <v>Before Campaign</v>
      </c>
    </row>
    <row r="85" spans="1:16" ht="15.75" customHeight="1" x14ac:dyDescent="0.3">
      <c r="A85" s="2" t="s">
        <v>220</v>
      </c>
      <c r="B85" s="2" t="s">
        <v>43</v>
      </c>
      <c r="C85" s="2" t="s">
        <v>221</v>
      </c>
      <c r="D85" s="2" t="s">
        <v>52</v>
      </c>
      <c r="E85" s="2" t="s">
        <v>59</v>
      </c>
      <c r="F85" s="2">
        <v>1841</v>
      </c>
      <c r="G85" s="2">
        <v>851</v>
      </c>
      <c r="H85" s="2">
        <v>342</v>
      </c>
      <c r="I85" s="2">
        <v>34979</v>
      </c>
      <c r="J85" s="2">
        <v>34154</v>
      </c>
      <c r="K85" s="2">
        <v>255</v>
      </c>
      <c r="L85" s="2" t="s">
        <v>62</v>
      </c>
      <c r="M85" s="2" t="s">
        <v>38</v>
      </c>
      <c r="N85" s="4">
        <f>_xlfn.XLOOKUP(Table1[[#This Row],[Campaign_Name]],'Campaign Metadata'!A:A,'Campaign Metadata'!B:B,"Notfound",0)</f>
        <v>45717</v>
      </c>
      <c r="O85" s="4">
        <f>_xlfn.XLOOKUP(Table1[[#This Row],[Campaign_Name]],'Campaign Metadata'!A:A,'Campaign Metadata'!C:C,"Not found",0)</f>
        <v>45747</v>
      </c>
      <c r="P85" t="str">
        <f>IF(AND(Table1[[#This Row],[Date]]&gt;=Table1[[#This Row],[Campaign Start Date]],Table1[[#This Row],[Date]]&lt;=Table1[[#This Row],[Campaign End Date]]),"During Campaign","Before Campaign")</f>
        <v>Before Campaign</v>
      </c>
    </row>
    <row r="86" spans="1:16" ht="15.75" customHeight="1" x14ac:dyDescent="0.3">
      <c r="A86" s="2" t="s">
        <v>222</v>
      </c>
      <c r="B86" s="2" t="s">
        <v>33</v>
      </c>
      <c r="C86" s="2" t="s">
        <v>123</v>
      </c>
      <c r="D86" s="2" t="s">
        <v>52</v>
      </c>
      <c r="E86" s="2" t="s">
        <v>215</v>
      </c>
      <c r="F86" s="2">
        <v>4177</v>
      </c>
      <c r="G86" s="2">
        <v>569</v>
      </c>
      <c r="H86" s="2">
        <v>55</v>
      </c>
      <c r="I86" s="2">
        <v>25062</v>
      </c>
      <c r="J86" s="2">
        <v>24847</v>
      </c>
      <c r="K86" s="2">
        <v>230</v>
      </c>
      <c r="L86" s="2" t="s">
        <v>62</v>
      </c>
      <c r="M86" s="2" t="s">
        <v>19</v>
      </c>
      <c r="N86" s="4">
        <f>_xlfn.XLOOKUP(Table1[[#This Row],[Campaign_Name]],'Campaign Metadata'!A:A,'Campaign Metadata'!B:B,"Notfound",0)</f>
        <v>45458</v>
      </c>
      <c r="O86" s="4">
        <f>_xlfn.XLOOKUP(Table1[[#This Row],[Campaign_Name]],'Campaign Metadata'!A:A,'Campaign Metadata'!C:C,"Not found",0)</f>
        <v>45488</v>
      </c>
      <c r="P86" t="str">
        <f>IF(AND(Table1[[#This Row],[Date]]&gt;=Table1[[#This Row],[Campaign Start Date]],Table1[[#This Row],[Date]]&lt;=Table1[[#This Row],[Campaign End Date]]),"During Campaign","Before Campaign")</f>
        <v>Before Campaign</v>
      </c>
    </row>
    <row r="87" spans="1:16" ht="15.75" customHeight="1" x14ac:dyDescent="0.3">
      <c r="A87" s="2" t="s">
        <v>223</v>
      </c>
      <c r="B87" s="2" t="s">
        <v>27</v>
      </c>
      <c r="C87" s="2" t="s">
        <v>224</v>
      </c>
      <c r="D87" s="2" t="s">
        <v>22</v>
      </c>
      <c r="E87" s="2" t="s">
        <v>104</v>
      </c>
      <c r="F87" s="2">
        <v>3428</v>
      </c>
      <c r="G87" s="2">
        <v>305</v>
      </c>
      <c r="H87" s="2">
        <v>85</v>
      </c>
      <c r="I87" s="2">
        <v>58276</v>
      </c>
      <c r="J87" s="2">
        <v>58052</v>
      </c>
      <c r="K87" s="2">
        <v>242</v>
      </c>
      <c r="L87" s="2" t="s">
        <v>160</v>
      </c>
      <c r="M87" s="2" t="s">
        <v>38</v>
      </c>
      <c r="N87" s="4">
        <f>_xlfn.XLOOKUP(Table1[[#This Row],[Campaign_Name]],'Campaign Metadata'!A:A,'Campaign Metadata'!B:B,"Notfound",0)</f>
        <v>45717</v>
      </c>
      <c r="O87" s="4">
        <f>_xlfn.XLOOKUP(Table1[[#This Row],[Campaign_Name]],'Campaign Metadata'!A:A,'Campaign Metadata'!C:C,"Not found",0)</f>
        <v>45747</v>
      </c>
      <c r="P87" t="str">
        <f>IF(AND(Table1[[#This Row],[Date]]&gt;=Table1[[#This Row],[Campaign Start Date]],Table1[[#This Row],[Date]]&lt;=Table1[[#This Row],[Campaign End Date]]),"During Campaign","Before Campaign")</f>
        <v>Before Campaign</v>
      </c>
    </row>
    <row r="88" spans="1:16" ht="15.75" customHeight="1" x14ac:dyDescent="0.3">
      <c r="A88" s="2" t="s">
        <v>225</v>
      </c>
      <c r="B88" s="2" t="s">
        <v>14</v>
      </c>
      <c r="C88" s="2" t="s">
        <v>226</v>
      </c>
      <c r="D88" s="2" t="s">
        <v>74</v>
      </c>
      <c r="E88" s="2" t="s">
        <v>145</v>
      </c>
      <c r="F88" s="2">
        <v>1436</v>
      </c>
      <c r="G88" s="2">
        <v>765</v>
      </c>
      <c r="H88" s="2">
        <v>496</v>
      </c>
      <c r="I88" s="2">
        <v>12924</v>
      </c>
      <c r="J88" s="2">
        <v>12701</v>
      </c>
      <c r="K88" s="2">
        <v>197</v>
      </c>
      <c r="L88" s="2" t="s">
        <v>62</v>
      </c>
      <c r="M88" s="2" t="s">
        <v>31</v>
      </c>
      <c r="N88" s="4">
        <f>_xlfn.XLOOKUP(Table1[[#This Row],[Campaign_Name]],'Campaign Metadata'!A:A,'Campaign Metadata'!B:B,"Notfound",0)</f>
        <v>45651</v>
      </c>
      <c r="O88" s="4">
        <f>_xlfn.XLOOKUP(Table1[[#This Row],[Campaign_Name]],'Campaign Metadata'!A:A,'Campaign Metadata'!C:C,"Not found",0)</f>
        <v>45667</v>
      </c>
      <c r="P88" t="str">
        <f>IF(AND(Table1[[#This Row],[Date]]&gt;=Table1[[#This Row],[Campaign Start Date]],Table1[[#This Row],[Date]]&lt;=Table1[[#This Row],[Campaign End Date]]),"During Campaign","Before Campaign")</f>
        <v>Before Campaign</v>
      </c>
    </row>
    <row r="89" spans="1:16" ht="15.75" customHeight="1" x14ac:dyDescent="0.3">
      <c r="A89" s="2" t="s">
        <v>227</v>
      </c>
      <c r="B89" s="2" t="s">
        <v>43</v>
      </c>
      <c r="C89" s="2" t="s">
        <v>228</v>
      </c>
      <c r="D89" s="2" t="s">
        <v>35</v>
      </c>
      <c r="E89" s="2" t="s">
        <v>71</v>
      </c>
      <c r="F89" s="2">
        <v>302</v>
      </c>
      <c r="G89" s="2">
        <v>47</v>
      </c>
      <c r="H89" s="2">
        <v>430</v>
      </c>
      <c r="I89" s="2">
        <v>5738</v>
      </c>
      <c r="J89" s="2">
        <v>4890</v>
      </c>
      <c r="K89" s="2">
        <v>25</v>
      </c>
      <c r="L89" s="2" t="s">
        <v>30</v>
      </c>
      <c r="M89" s="2" t="s">
        <v>38</v>
      </c>
      <c r="N89" s="4">
        <f>_xlfn.XLOOKUP(Table1[[#This Row],[Campaign_Name]],'Campaign Metadata'!A:A,'Campaign Metadata'!B:B,"Notfound",0)</f>
        <v>45717</v>
      </c>
      <c r="O89" s="4">
        <f>_xlfn.XLOOKUP(Table1[[#This Row],[Campaign_Name]],'Campaign Metadata'!A:A,'Campaign Metadata'!C:C,"Not found",0)</f>
        <v>45747</v>
      </c>
      <c r="P89" t="str">
        <f>IF(AND(Table1[[#This Row],[Date]]&gt;=Table1[[#This Row],[Campaign Start Date]],Table1[[#This Row],[Date]]&lt;=Table1[[#This Row],[Campaign End Date]]),"During Campaign","Before Campaign")</f>
        <v>Before Campaign</v>
      </c>
    </row>
    <row r="90" spans="1:16" ht="15.75" customHeight="1" x14ac:dyDescent="0.3">
      <c r="A90" s="2" t="s">
        <v>229</v>
      </c>
      <c r="B90" s="2" t="s">
        <v>14</v>
      </c>
      <c r="C90" s="2" t="s">
        <v>230</v>
      </c>
      <c r="D90" s="2" t="s">
        <v>52</v>
      </c>
      <c r="E90" s="2" t="s">
        <v>132</v>
      </c>
      <c r="F90" s="2">
        <v>2214</v>
      </c>
      <c r="G90" s="2">
        <v>249</v>
      </c>
      <c r="H90" s="2">
        <v>152</v>
      </c>
      <c r="I90" s="2">
        <v>15498</v>
      </c>
      <c r="J90" s="2">
        <v>14800</v>
      </c>
      <c r="K90" s="2">
        <v>180</v>
      </c>
      <c r="L90" s="2" t="s">
        <v>37</v>
      </c>
      <c r="N90" s="4">
        <f>_xlfn.XLOOKUP(Table1[[#This Row],[Campaign_Name]],'Campaign Metadata'!A:A,'Campaign Metadata'!B:B,"Notfound",0)</f>
        <v>0</v>
      </c>
      <c r="O90" s="4">
        <f>_xlfn.XLOOKUP(Table1[[#This Row],[Campaign_Name]],'Campaign Metadata'!A:A,'Campaign Metadata'!C:C,"Not found",0)</f>
        <v>0</v>
      </c>
      <c r="P90" t="str">
        <f>IF(AND(Table1[[#This Row],[Date]]&gt;=Table1[[#This Row],[Campaign Start Date]],Table1[[#This Row],[Date]]&lt;=Table1[[#This Row],[Campaign End Date]]),"During Campaign","Before Campaign")</f>
        <v>Before Campaign</v>
      </c>
    </row>
    <row r="91" spans="1:16" ht="15.75" customHeight="1" x14ac:dyDescent="0.3">
      <c r="A91" s="2" t="s">
        <v>231</v>
      </c>
      <c r="B91" s="2" t="s">
        <v>33</v>
      </c>
      <c r="C91" s="2" t="s">
        <v>232</v>
      </c>
      <c r="D91" s="2" t="s">
        <v>52</v>
      </c>
      <c r="E91" s="2" t="s">
        <v>215</v>
      </c>
      <c r="F91" s="2">
        <v>3861</v>
      </c>
      <c r="G91" s="2">
        <v>960</v>
      </c>
      <c r="H91" s="2">
        <v>101</v>
      </c>
      <c r="I91" s="2">
        <v>69498</v>
      </c>
      <c r="J91" s="2">
        <v>68817</v>
      </c>
      <c r="K91" s="2">
        <v>297</v>
      </c>
      <c r="L91" s="2" t="s">
        <v>30</v>
      </c>
      <c r="M91" s="2" t="s">
        <v>38</v>
      </c>
      <c r="N91" s="4">
        <f>_xlfn.XLOOKUP(Table1[[#This Row],[Campaign_Name]],'Campaign Metadata'!A:A,'Campaign Metadata'!B:B,"Notfound",0)</f>
        <v>45717</v>
      </c>
      <c r="O91" s="4">
        <f>_xlfn.XLOOKUP(Table1[[#This Row],[Campaign_Name]],'Campaign Metadata'!A:A,'Campaign Metadata'!C:C,"Not found",0)</f>
        <v>45747</v>
      </c>
      <c r="P91" t="str">
        <f>IF(AND(Table1[[#This Row],[Date]]&gt;=Table1[[#This Row],[Campaign Start Date]],Table1[[#This Row],[Date]]&lt;=Table1[[#This Row],[Campaign End Date]]),"During Campaign","Before Campaign")</f>
        <v>Before Campaign</v>
      </c>
    </row>
    <row r="92" spans="1:16" ht="15.75" customHeight="1" x14ac:dyDescent="0.3">
      <c r="A92" s="2" t="s">
        <v>233</v>
      </c>
      <c r="B92" s="2" t="s">
        <v>43</v>
      </c>
      <c r="C92" s="2" t="s">
        <v>234</v>
      </c>
      <c r="D92" s="2" t="s">
        <v>52</v>
      </c>
      <c r="E92" s="2" t="s">
        <v>59</v>
      </c>
      <c r="F92" s="2">
        <v>1263</v>
      </c>
      <c r="G92" s="2">
        <v>397</v>
      </c>
      <c r="H92" s="2">
        <v>357</v>
      </c>
      <c r="I92" s="2">
        <v>25260</v>
      </c>
      <c r="J92" s="2">
        <v>24615</v>
      </c>
      <c r="K92" s="2">
        <v>137</v>
      </c>
      <c r="L92" s="2" t="s">
        <v>37</v>
      </c>
      <c r="M92" s="2" t="s">
        <v>38</v>
      </c>
      <c r="N92" s="4">
        <f>_xlfn.XLOOKUP(Table1[[#This Row],[Campaign_Name]],'Campaign Metadata'!A:A,'Campaign Metadata'!B:B,"Notfound",0)</f>
        <v>45717</v>
      </c>
      <c r="O92" s="4">
        <f>_xlfn.XLOOKUP(Table1[[#This Row],[Campaign_Name]],'Campaign Metadata'!A:A,'Campaign Metadata'!C:C,"Not found",0)</f>
        <v>45747</v>
      </c>
      <c r="P92" t="str">
        <f>IF(AND(Table1[[#This Row],[Date]]&gt;=Table1[[#This Row],[Campaign Start Date]],Table1[[#This Row],[Date]]&lt;=Table1[[#This Row],[Campaign End Date]]),"During Campaign","Before Campaign")</f>
        <v>Before Campaign</v>
      </c>
    </row>
    <row r="93" spans="1:16" ht="15.75" customHeight="1" x14ac:dyDescent="0.3">
      <c r="A93" s="2" t="s">
        <v>235</v>
      </c>
      <c r="B93" s="2" t="s">
        <v>14</v>
      </c>
      <c r="C93" s="2" t="s">
        <v>168</v>
      </c>
      <c r="D93" s="2" t="s">
        <v>35</v>
      </c>
      <c r="E93" s="2" t="s">
        <v>149</v>
      </c>
      <c r="F93" s="2">
        <v>3801</v>
      </c>
      <c r="G93" s="2">
        <v>967</v>
      </c>
      <c r="H93" s="2">
        <v>401</v>
      </c>
      <c r="I93" s="2">
        <v>38010</v>
      </c>
      <c r="J93" s="2">
        <v>37625</v>
      </c>
      <c r="K93" s="2">
        <v>236</v>
      </c>
      <c r="L93" s="2" t="s">
        <v>62</v>
      </c>
      <c r="M93" s="2" t="s">
        <v>31</v>
      </c>
      <c r="N93" s="4">
        <f>_xlfn.XLOOKUP(Table1[[#This Row],[Campaign_Name]],'Campaign Metadata'!A:A,'Campaign Metadata'!B:B,"Notfound",0)</f>
        <v>45651</v>
      </c>
      <c r="O93" s="4">
        <f>_xlfn.XLOOKUP(Table1[[#This Row],[Campaign_Name]],'Campaign Metadata'!A:A,'Campaign Metadata'!C:C,"Not found",0)</f>
        <v>45667</v>
      </c>
      <c r="P93" t="str">
        <f>IF(AND(Table1[[#This Row],[Date]]&gt;=Table1[[#This Row],[Campaign Start Date]],Table1[[#This Row],[Date]]&lt;=Table1[[#This Row],[Campaign End Date]]),"During Campaign","Before Campaign")</f>
        <v>Before Campaign</v>
      </c>
    </row>
    <row r="94" spans="1:16" ht="15.75" customHeight="1" x14ac:dyDescent="0.3">
      <c r="A94" s="2" t="s">
        <v>236</v>
      </c>
      <c r="B94" s="2" t="s">
        <v>33</v>
      </c>
      <c r="C94" s="2" t="s">
        <v>237</v>
      </c>
      <c r="D94" s="2" t="s">
        <v>74</v>
      </c>
      <c r="E94" s="2" t="s">
        <v>85</v>
      </c>
      <c r="F94" s="2">
        <v>1431</v>
      </c>
      <c r="G94" s="2">
        <v>951</v>
      </c>
      <c r="H94" s="2">
        <v>26</v>
      </c>
      <c r="I94" s="2">
        <v>8586</v>
      </c>
      <c r="J94" s="2">
        <v>8396</v>
      </c>
      <c r="K94" s="2">
        <v>150</v>
      </c>
      <c r="L94" s="2" t="s">
        <v>37</v>
      </c>
      <c r="M94" s="2" t="s">
        <v>31</v>
      </c>
      <c r="N94" s="4">
        <f>_xlfn.XLOOKUP(Table1[[#This Row],[Campaign_Name]],'Campaign Metadata'!A:A,'Campaign Metadata'!B:B,"Notfound",0)</f>
        <v>45651</v>
      </c>
      <c r="O94" s="4">
        <f>_xlfn.XLOOKUP(Table1[[#This Row],[Campaign_Name]],'Campaign Metadata'!A:A,'Campaign Metadata'!C:C,"Not found",0)</f>
        <v>45667</v>
      </c>
      <c r="P94" t="str">
        <f>IF(AND(Table1[[#This Row],[Date]]&gt;=Table1[[#This Row],[Campaign Start Date]],Table1[[#This Row],[Date]]&lt;=Table1[[#This Row],[Campaign End Date]]),"During Campaign","Before Campaign")</f>
        <v>Before Campaign</v>
      </c>
    </row>
    <row r="95" spans="1:16" ht="15.75" customHeight="1" x14ac:dyDescent="0.3">
      <c r="A95" s="2" t="s">
        <v>238</v>
      </c>
      <c r="B95" s="2" t="s">
        <v>33</v>
      </c>
      <c r="C95" s="2" t="s">
        <v>205</v>
      </c>
      <c r="D95" s="2" t="s">
        <v>52</v>
      </c>
      <c r="E95" s="2" t="s">
        <v>215</v>
      </c>
      <c r="F95" s="2">
        <v>2647</v>
      </c>
      <c r="G95" s="2">
        <v>304</v>
      </c>
      <c r="H95" s="2">
        <v>170</v>
      </c>
      <c r="I95" s="2">
        <v>18529</v>
      </c>
      <c r="J95" s="2">
        <v>17841</v>
      </c>
      <c r="K95" s="2">
        <v>46</v>
      </c>
      <c r="L95" s="2" t="s">
        <v>62</v>
      </c>
      <c r="M95" s="2" t="s">
        <v>31</v>
      </c>
      <c r="N95" s="4">
        <f>_xlfn.XLOOKUP(Table1[[#This Row],[Campaign_Name]],'Campaign Metadata'!A:A,'Campaign Metadata'!B:B,"Notfound",0)</f>
        <v>45651</v>
      </c>
      <c r="O95" s="4">
        <f>_xlfn.XLOOKUP(Table1[[#This Row],[Campaign_Name]],'Campaign Metadata'!A:A,'Campaign Metadata'!C:C,"Not found",0)</f>
        <v>45667</v>
      </c>
      <c r="P95" t="str">
        <f>IF(AND(Table1[[#This Row],[Date]]&gt;=Table1[[#This Row],[Campaign Start Date]],Table1[[#This Row],[Date]]&lt;=Table1[[#This Row],[Campaign End Date]]),"During Campaign","Before Campaign")</f>
        <v>Before Campaign</v>
      </c>
    </row>
    <row r="96" spans="1:16" ht="15.75" customHeight="1" x14ac:dyDescent="0.3">
      <c r="A96" s="2" t="s">
        <v>239</v>
      </c>
      <c r="B96" s="2" t="s">
        <v>33</v>
      </c>
      <c r="C96" s="2" t="s">
        <v>240</v>
      </c>
      <c r="D96" s="2" t="s">
        <v>22</v>
      </c>
      <c r="E96" s="2" t="s">
        <v>113</v>
      </c>
      <c r="F96" s="2">
        <v>3182</v>
      </c>
      <c r="G96" s="2">
        <v>559</v>
      </c>
      <c r="H96" s="2">
        <v>160</v>
      </c>
      <c r="I96" s="2">
        <v>57276</v>
      </c>
      <c r="J96" s="2">
        <v>56890</v>
      </c>
      <c r="K96" s="2">
        <v>163</v>
      </c>
      <c r="L96" s="2" t="s">
        <v>62</v>
      </c>
      <c r="M96" s="2" t="s">
        <v>38</v>
      </c>
      <c r="N96" s="4">
        <f>_xlfn.XLOOKUP(Table1[[#This Row],[Campaign_Name]],'Campaign Metadata'!A:A,'Campaign Metadata'!B:B,"Notfound",0)</f>
        <v>45717</v>
      </c>
      <c r="O96" s="4">
        <f>_xlfn.XLOOKUP(Table1[[#This Row],[Campaign_Name]],'Campaign Metadata'!A:A,'Campaign Metadata'!C:C,"Not found",0)</f>
        <v>45747</v>
      </c>
      <c r="P96" t="str">
        <f>IF(AND(Table1[[#This Row],[Date]]&gt;=Table1[[#This Row],[Campaign Start Date]],Table1[[#This Row],[Date]]&lt;=Table1[[#This Row],[Campaign End Date]]),"During Campaign","Before Campaign")</f>
        <v>Before Campaign</v>
      </c>
    </row>
    <row r="97" spans="1:16" ht="15.75" customHeight="1" x14ac:dyDescent="0.3">
      <c r="A97" s="2" t="s">
        <v>241</v>
      </c>
      <c r="B97" s="2" t="s">
        <v>14</v>
      </c>
      <c r="C97" s="2" t="s">
        <v>242</v>
      </c>
      <c r="D97" s="2" t="s">
        <v>52</v>
      </c>
      <c r="E97" s="2" t="s">
        <v>132</v>
      </c>
      <c r="F97" s="2">
        <v>1238</v>
      </c>
      <c r="G97" s="2">
        <v>366</v>
      </c>
      <c r="H97" s="2">
        <v>444</v>
      </c>
      <c r="I97" s="2">
        <v>19808</v>
      </c>
      <c r="J97" s="2">
        <v>19334</v>
      </c>
      <c r="K97" s="2">
        <v>123</v>
      </c>
      <c r="L97" s="2" t="s">
        <v>62</v>
      </c>
      <c r="N97" s="4">
        <f>_xlfn.XLOOKUP(Table1[[#This Row],[Campaign_Name]],'Campaign Metadata'!A:A,'Campaign Metadata'!B:B,"Notfound",0)</f>
        <v>0</v>
      </c>
      <c r="O97" s="4">
        <f>_xlfn.XLOOKUP(Table1[[#This Row],[Campaign_Name]],'Campaign Metadata'!A:A,'Campaign Metadata'!C:C,"Not found",0)</f>
        <v>0</v>
      </c>
      <c r="P97" t="str">
        <f>IF(AND(Table1[[#This Row],[Date]]&gt;=Table1[[#This Row],[Campaign Start Date]],Table1[[#This Row],[Date]]&lt;=Table1[[#This Row],[Campaign End Date]]),"During Campaign","Before Campaign")</f>
        <v>Before Campaign</v>
      </c>
    </row>
    <row r="98" spans="1:16" ht="15.75" customHeight="1" x14ac:dyDescent="0.3">
      <c r="A98" s="2" t="s">
        <v>243</v>
      </c>
      <c r="B98" s="2" t="s">
        <v>33</v>
      </c>
      <c r="C98" s="2" t="s">
        <v>244</v>
      </c>
      <c r="D98" s="2" t="s">
        <v>52</v>
      </c>
      <c r="E98" s="2" t="s">
        <v>215</v>
      </c>
      <c r="F98" s="2">
        <v>4739</v>
      </c>
      <c r="G98" s="2">
        <v>527</v>
      </c>
      <c r="H98" s="2">
        <v>135</v>
      </c>
      <c r="I98" s="2">
        <v>61607</v>
      </c>
      <c r="J98" s="2">
        <v>61333</v>
      </c>
      <c r="K98" s="2">
        <v>36</v>
      </c>
      <c r="L98" s="2" t="s">
        <v>95</v>
      </c>
      <c r="M98" s="2" t="s">
        <v>25</v>
      </c>
      <c r="N98" s="4">
        <f>_xlfn.XLOOKUP(Table1[[#This Row],[Campaign_Name]],'Campaign Metadata'!A:A,'Campaign Metadata'!B:B,"Notfound",0)</f>
        <v>45566</v>
      </c>
      <c r="O98" s="4">
        <f>_xlfn.XLOOKUP(Table1[[#This Row],[Campaign_Name]],'Campaign Metadata'!A:A,'Campaign Metadata'!C:C,"Not found",0)</f>
        <v>45596</v>
      </c>
      <c r="P98" t="str">
        <f>IF(AND(Table1[[#This Row],[Date]]&gt;=Table1[[#This Row],[Campaign Start Date]],Table1[[#This Row],[Date]]&lt;=Table1[[#This Row],[Campaign End Date]]),"During Campaign","Before Campaign")</f>
        <v>Before Campaign</v>
      </c>
    </row>
    <row r="99" spans="1:16" ht="15.75" customHeight="1" x14ac:dyDescent="0.3">
      <c r="A99" s="2" t="s">
        <v>245</v>
      </c>
      <c r="B99" s="2" t="s">
        <v>14</v>
      </c>
      <c r="C99" s="2" t="s">
        <v>151</v>
      </c>
      <c r="D99" s="2" t="s">
        <v>35</v>
      </c>
      <c r="E99" s="2" t="s">
        <v>149</v>
      </c>
      <c r="F99" s="2">
        <v>1575</v>
      </c>
      <c r="G99" s="2">
        <v>771</v>
      </c>
      <c r="H99" s="2">
        <v>486</v>
      </c>
      <c r="I99" s="2">
        <v>25200</v>
      </c>
      <c r="J99" s="2">
        <v>24826</v>
      </c>
      <c r="K99" s="2">
        <v>17</v>
      </c>
      <c r="L99" s="2" t="s">
        <v>62</v>
      </c>
      <c r="M99" s="2" t="s">
        <v>38</v>
      </c>
      <c r="N99" s="4">
        <f>_xlfn.XLOOKUP(Table1[[#This Row],[Campaign_Name]],'Campaign Metadata'!A:A,'Campaign Metadata'!B:B,"Notfound",0)</f>
        <v>45717</v>
      </c>
      <c r="O99" s="4">
        <f>_xlfn.XLOOKUP(Table1[[#This Row],[Campaign_Name]],'Campaign Metadata'!A:A,'Campaign Metadata'!C:C,"Not found",0)</f>
        <v>45747</v>
      </c>
      <c r="P99" t="str">
        <f>IF(AND(Table1[[#This Row],[Date]]&gt;=Table1[[#This Row],[Campaign Start Date]],Table1[[#This Row],[Date]]&lt;=Table1[[#This Row],[Campaign End Date]]),"During Campaign","Before Campaign")</f>
        <v>Before Campaign</v>
      </c>
    </row>
    <row r="100" spans="1:16" ht="15.75" customHeight="1" x14ac:dyDescent="0.3">
      <c r="A100" s="2" t="s">
        <v>246</v>
      </c>
      <c r="B100" s="2" t="s">
        <v>27</v>
      </c>
      <c r="C100" s="2" t="s">
        <v>247</v>
      </c>
      <c r="D100" s="2" t="s">
        <v>45</v>
      </c>
      <c r="E100" s="2" t="s">
        <v>68</v>
      </c>
      <c r="F100" s="2">
        <v>4171</v>
      </c>
      <c r="G100" s="2">
        <v>548</v>
      </c>
      <c r="H100" s="2">
        <v>86</v>
      </c>
      <c r="I100" s="2">
        <v>66736</v>
      </c>
      <c r="J100" s="2">
        <v>66634</v>
      </c>
      <c r="K100" s="2">
        <v>173</v>
      </c>
      <c r="L100" s="2" t="s">
        <v>62</v>
      </c>
      <c r="M100" s="2" t="s">
        <v>31</v>
      </c>
      <c r="N100" s="4">
        <f>_xlfn.XLOOKUP(Table1[[#This Row],[Campaign_Name]],'Campaign Metadata'!A:A,'Campaign Metadata'!B:B,"Notfound",0)</f>
        <v>45651</v>
      </c>
      <c r="O100" s="4">
        <f>_xlfn.XLOOKUP(Table1[[#This Row],[Campaign_Name]],'Campaign Metadata'!A:A,'Campaign Metadata'!C:C,"Not found",0)</f>
        <v>45667</v>
      </c>
      <c r="P100" t="str">
        <f>IF(AND(Table1[[#This Row],[Date]]&gt;=Table1[[#This Row],[Campaign Start Date]],Table1[[#This Row],[Date]]&lt;=Table1[[#This Row],[Campaign End Date]]),"During Campaign","Before Campaign")</f>
        <v>Before Campaign</v>
      </c>
    </row>
    <row r="101" spans="1:16" ht="15.75" customHeight="1" x14ac:dyDescent="0.3">
      <c r="A101" s="2" t="s">
        <v>248</v>
      </c>
      <c r="B101" s="2" t="s">
        <v>27</v>
      </c>
      <c r="C101" s="2" t="s">
        <v>249</v>
      </c>
      <c r="D101" s="2" t="s">
        <v>74</v>
      </c>
      <c r="E101" s="2" t="s">
        <v>219</v>
      </c>
      <c r="F101" s="2">
        <v>1766</v>
      </c>
      <c r="G101" s="2">
        <v>92</v>
      </c>
      <c r="H101" s="2">
        <v>424</v>
      </c>
      <c r="I101" s="2">
        <v>24724</v>
      </c>
      <c r="J101" s="2">
        <v>24333</v>
      </c>
      <c r="K101" s="2">
        <v>52</v>
      </c>
      <c r="L101" s="2" t="s">
        <v>37</v>
      </c>
      <c r="N101" s="4">
        <f>_xlfn.XLOOKUP(Table1[[#This Row],[Campaign_Name]],'Campaign Metadata'!A:A,'Campaign Metadata'!B:B,"Notfound",0)</f>
        <v>0</v>
      </c>
      <c r="O101" s="4">
        <f>_xlfn.XLOOKUP(Table1[[#This Row],[Campaign_Name]],'Campaign Metadata'!A:A,'Campaign Metadata'!C:C,"Not found",0)</f>
        <v>0</v>
      </c>
      <c r="P101" t="str">
        <f>IF(AND(Table1[[#This Row],[Date]]&gt;=Table1[[#This Row],[Campaign Start Date]],Table1[[#This Row],[Date]]&lt;=Table1[[#This Row],[Campaign End Date]]),"During Campaign","Before Campaign")</f>
        <v>Before Campaign</v>
      </c>
    </row>
    <row r="102" spans="1:16" ht="15.75" customHeight="1" x14ac:dyDescent="0.3">
      <c r="A102" s="2" t="s">
        <v>250</v>
      </c>
      <c r="B102" s="2" t="s">
        <v>27</v>
      </c>
      <c r="C102" s="2" t="s">
        <v>199</v>
      </c>
      <c r="D102" s="2" t="s">
        <v>74</v>
      </c>
      <c r="E102" s="2" t="s">
        <v>219</v>
      </c>
      <c r="F102" s="2">
        <v>4450</v>
      </c>
      <c r="G102" s="2">
        <v>983</v>
      </c>
      <c r="H102" s="2">
        <v>143</v>
      </c>
      <c r="I102" s="2">
        <v>75650</v>
      </c>
      <c r="J102" s="2">
        <v>75008</v>
      </c>
      <c r="K102" s="2">
        <v>12</v>
      </c>
      <c r="L102" s="2" t="s">
        <v>62</v>
      </c>
      <c r="M102" s="2" t="s">
        <v>31</v>
      </c>
      <c r="N102" s="4">
        <f>_xlfn.XLOOKUP(Table1[[#This Row],[Campaign_Name]],'Campaign Metadata'!A:A,'Campaign Metadata'!B:B,"Notfound",0)</f>
        <v>45651</v>
      </c>
      <c r="O102" s="4">
        <f>_xlfn.XLOOKUP(Table1[[#This Row],[Campaign_Name]],'Campaign Metadata'!A:A,'Campaign Metadata'!C:C,"Not found",0)</f>
        <v>45667</v>
      </c>
      <c r="P102" t="str">
        <f>IF(AND(Table1[[#This Row],[Date]]&gt;=Table1[[#This Row],[Campaign Start Date]],Table1[[#This Row],[Date]]&lt;=Table1[[#This Row],[Campaign End Date]]),"During Campaign","Before Campaign")</f>
        <v>Before Campaign</v>
      </c>
    </row>
    <row r="103" spans="1:16" ht="15.75" customHeight="1" x14ac:dyDescent="0.3">
      <c r="A103" s="2" t="s">
        <v>251</v>
      </c>
      <c r="B103" s="2" t="s">
        <v>14</v>
      </c>
      <c r="C103" s="2" t="s">
        <v>252</v>
      </c>
      <c r="D103" s="2" t="s">
        <v>16</v>
      </c>
      <c r="E103" s="2" t="s">
        <v>17</v>
      </c>
      <c r="F103" s="2">
        <v>1000</v>
      </c>
      <c r="G103" s="2">
        <v>978</v>
      </c>
      <c r="H103" s="2">
        <v>162</v>
      </c>
      <c r="I103" s="2">
        <v>6000</v>
      </c>
      <c r="J103" s="2">
        <v>5221</v>
      </c>
      <c r="K103" s="2">
        <v>223</v>
      </c>
      <c r="L103" s="2" t="s">
        <v>37</v>
      </c>
      <c r="M103" s="2" t="s">
        <v>25</v>
      </c>
      <c r="N103" s="4">
        <f>_xlfn.XLOOKUP(Table1[[#This Row],[Campaign_Name]],'Campaign Metadata'!A:A,'Campaign Metadata'!B:B,"Notfound",0)</f>
        <v>45566</v>
      </c>
      <c r="O103" s="4">
        <f>_xlfn.XLOOKUP(Table1[[#This Row],[Campaign_Name]],'Campaign Metadata'!A:A,'Campaign Metadata'!C:C,"Not found",0)</f>
        <v>45596</v>
      </c>
      <c r="P103" t="str">
        <f>IF(AND(Table1[[#This Row],[Date]]&gt;=Table1[[#This Row],[Campaign Start Date]],Table1[[#This Row],[Date]]&lt;=Table1[[#This Row],[Campaign End Date]]),"During Campaign","Before Campaign")</f>
        <v>Before Campaign</v>
      </c>
    </row>
    <row r="104" spans="1:16" ht="15.75" customHeight="1" x14ac:dyDescent="0.3">
      <c r="A104" s="2" t="s">
        <v>253</v>
      </c>
      <c r="B104" s="2" t="s">
        <v>43</v>
      </c>
      <c r="C104" s="2" t="s">
        <v>254</v>
      </c>
      <c r="D104" s="2" t="s">
        <v>52</v>
      </c>
      <c r="E104" s="2" t="s">
        <v>59</v>
      </c>
      <c r="F104" s="2">
        <v>3689</v>
      </c>
      <c r="G104" s="2">
        <v>48</v>
      </c>
      <c r="H104" s="2">
        <v>306</v>
      </c>
      <c r="I104" s="2">
        <v>40579</v>
      </c>
      <c r="J104" s="2">
        <v>39588</v>
      </c>
      <c r="K104" s="2">
        <v>212</v>
      </c>
      <c r="L104" s="2" t="s">
        <v>37</v>
      </c>
      <c r="M104" s="2" t="s">
        <v>25</v>
      </c>
      <c r="N104" s="4">
        <f>_xlfn.XLOOKUP(Table1[[#This Row],[Campaign_Name]],'Campaign Metadata'!A:A,'Campaign Metadata'!B:B,"Notfound",0)</f>
        <v>45566</v>
      </c>
      <c r="O104" s="4">
        <f>_xlfn.XLOOKUP(Table1[[#This Row],[Campaign_Name]],'Campaign Metadata'!A:A,'Campaign Metadata'!C:C,"Not found",0)</f>
        <v>45596</v>
      </c>
      <c r="P104" t="str">
        <f>IF(AND(Table1[[#This Row],[Date]]&gt;=Table1[[#This Row],[Campaign Start Date]],Table1[[#This Row],[Date]]&lt;=Table1[[#This Row],[Campaign End Date]]),"During Campaign","Before Campaign")</f>
        <v>Before Campaign</v>
      </c>
    </row>
    <row r="105" spans="1:16" ht="15.75" customHeight="1" x14ac:dyDescent="0.3">
      <c r="A105" s="2" t="s">
        <v>255</v>
      </c>
      <c r="B105" s="2" t="s">
        <v>27</v>
      </c>
      <c r="C105" s="2" t="s">
        <v>256</v>
      </c>
      <c r="D105" s="2" t="s">
        <v>35</v>
      </c>
      <c r="E105" s="2" t="s">
        <v>154</v>
      </c>
      <c r="F105" s="2">
        <v>3655</v>
      </c>
      <c r="G105" s="2">
        <v>568</v>
      </c>
      <c r="H105" s="2">
        <v>286</v>
      </c>
      <c r="I105" s="2">
        <v>32895</v>
      </c>
      <c r="J105" s="2">
        <v>32015</v>
      </c>
      <c r="K105" s="2">
        <v>199</v>
      </c>
      <c r="L105" s="2" t="s">
        <v>30</v>
      </c>
      <c r="M105" s="2" t="s">
        <v>31</v>
      </c>
      <c r="N105" s="4">
        <f>_xlfn.XLOOKUP(Table1[[#This Row],[Campaign_Name]],'Campaign Metadata'!A:A,'Campaign Metadata'!B:B,"Notfound",0)</f>
        <v>45651</v>
      </c>
      <c r="O105" s="4">
        <f>_xlfn.XLOOKUP(Table1[[#This Row],[Campaign_Name]],'Campaign Metadata'!A:A,'Campaign Metadata'!C:C,"Not found",0)</f>
        <v>45667</v>
      </c>
      <c r="P105" t="str">
        <f>IF(AND(Table1[[#This Row],[Date]]&gt;=Table1[[#This Row],[Campaign Start Date]],Table1[[#This Row],[Date]]&lt;=Table1[[#This Row],[Campaign End Date]]),"During Campaign","Before Campaign")</f>
        <v>Before Campaign</v>
      </c>
    </row>
    <row r="106" spans="1:16" ht="15.75" customHeight="1" x14ac:dyDescent="0.3">
      <c r="A106" s="2" t="s">
        <v>257</v>
      </c>
      <c r="B106" s="2" t="s">
        <v>33</v>
      </c>
      <c r="C106" s="2" t="s">
        <v>258</v>
      </c>
      <c r="D106" s="2" t="s">
        <v>45</v>
      </c>
      <c r="E106" s="2" t="s">
        <v>88</v>
      </c>
      <c r="F106" s="2">
        <v>498</v>
      </c>
      <c r="G106" s="2">
        <v>38</v>
      </c>
      <c r="H106" s="2">
        <v>42</v>
      </c>
      <c r="I106" s="2">
        <v>4482</v>
      </c>
      <c r="J106" s="2">
        <v>3647</v>
      </c>
      <c r="K106" s="2">
        <v>32</v>
      </c>
      <c r="L106" s="2" t="s">
        <v>62</v>
      </c>
      <c r="M106" s="2" t="s">
        <v>19</v>
      </c>
      <c r="N106" s="4">
        <f>_xlfn.XLOOKUP(Table1[[#This Row],[Campaign_Name]],'Campaign Metadata'!A:A,'Campaign Metadata'!B:B,"Notfound",0)</f>
        <v>45458</v>
      </c>
      <c r="O106" s="4">
        <f>_xlfn.XLOOKUP(Table1[[#This Row],[Campaign_Name]],'Campaign Metadata'!A:A,'Campaign Metadata'!C:C,"Not found",0)</f>
        <v>45488</v>
      </c>
      <c r="P106" t="str">
        <f>IF(AND(Table1[[#This Row],[Date]]&gt;=Table1[[#This Row],[Campaign Start Date]],Table1[[#This Row],[Date]]&lt;=Table1[[#This Row],[Campaign End Date]]),"During Campaign","Before Campaign")</f>
        <v>Before Campaign</v>
      </c>
    </row>
    <row r="107" spans="1:16" ht="15.75" customHeight="1" x14ac:dyDescent="0.3">
      <c r="A107" s="2" t="s">
        <v>259</v>
      </c>
      <c r="B107" s="2" t="s">
        <v>33</v>
      </c>
      <c r="C107" s="2" t="s">
        <v>260</v>
      </c>
      <c r="D107" s="2" t="s">
        <v>52</v>
      </c>
      <c r="E107" s="2" t="s">
        <v>215</v>
      </c>
      <c r="F107" s="2">
        <v>4619</v>
      </c>
      <c r="G107" s="2">
        <v>821</v>
      </c>
      <c r="H107" s="2">
        <v>499</v>
      </c>
      <c r="I107" s="2">
        <v>69285</v>
      </c>
      <c r="J107" s="2">
        <v>69141</v>
      </c>
      <c r="K107" s="2">
        <v>298</v>
      </c>
      <c r="L107" s="2" t="s">
        <v>30</v>
      </c>
      <c r="M107" s="2" t="s">
        <v>38</v>
      </c>
      <c r="N107" s="4">
        <f>_xlfn.XLOOKUP(Table1[[#This Row],[Campaign_Name]],'Campaign Metadata'!A:A,'Campaign Metadata'!B:B,"Notfound",0)</f>
        <v>45717</v>
      </c>
      <c r="O107" s="4">
        <f>_xlfn.XLOOKUP(Table1[[#This Row],[Campaign_Name]],'Campaign Metadata'!A:A,'Campaign Metadata'!C:C,"Not found",0)</f>
        <v>45747</v>
      </c>
      <c r="P107" t="str">
        <f>IF(AND(Table1[[#This Row],[Date]]&gt;=Table1[[#This Row],[Campaign Start Date]],Table1[[#This Row],[Date]]&lt;=Table1[[#This Row],[Campaign End Date]]),"During Campaign","Before Campaign")</f>
        <v>Before Campaign</v>
      </c>
    </row>
    <row r="108" spans="1:16" ht="15.75" customHeight="1" x14ac:dyDescent="0.3">
      <c r="A108" s="2" t="s">
        <v>261</v>
      </c>
      <c r="B108" s="2" t="s">
        <v>27</v>
      </c>
      <c r="C108" s="2" t="s">
        <v>262</v>
      </c>
      <c r="D108" s="2" t="s">
        <v>52</v>
      </c>
      <c r="E108" s="2" t="s">
        <v>53</v>
      </c>
      <c r="F108" s="2">
        <v>4832</v>
      </c>
      <c r="G108" s="2">
        <v>893</v>
      </c>
      <c r="H108" s="2">
        <v>10</v>
      </c>
      <c r="I108" s="2">
        <v>91808</v>
      </c>
      <c r="J108" s="2">
        <v>91296</v>
      </c>
      <c r="K108" s="2">
        <v>182</v>
      </c>
      <c r="L108" s="2" t="s">
        <v>30</v>
      </c>
      <c r="N108" s="4">
        <f>_xlfn.XLOOKUP(Table1[[#This Row],[Campaign_Name]],'Campaign Metadata'!A:A,'Campaign Metadata'!B:B,"Notfound",0)</f>
        <v>0</v>
      </c>
      <c r="O108" s="4">
        <f>_xlfn.XLOOKUP(Table1[[#This Row],[Campaign_Name]],'Campaign Metadata'!A:A,'Campaign Metadata'!C:C,"Not found",0)</f>
        <v>0</v>
      </c>
      <c r="P108" t="str">
        <f>IF(AND(Table1[[#This Row],[Date]]&gt;=Table1[[#This Row],[Campaign Start Date]],Table1[[#This Row],[Date]]&lt;=Table1[[#This Row],[Campaign End Date]]),"During Campaign","Before Campaign")</f>
        <v>Before Campaign</v>
      </c>
    </row>
    <row r="109" spans="1:16" ht="15.75" customHeight="1" x14ac:dyDescent="0.3">
      <c r="A109" s="2" t="s">
        <v>263</v>
      </c>
      <c r="B109" s="2" t="s">
        <v>14</v>
      </c>
      <c r="C109" s="2" t="s">
        <v>264</v>
      </c>
      <c r="D109" s="2" t="s">
        <v>74</v>
      </c>
      <c r="E109" s="2" t="s">
        <v>145</v>
      </c>
      <c r="F109" s="2">
        <v>4050</v>
      </c>
      <c r="G109" s="2">
        <v>871</v>
      </c>
      <c r="H109" s="2">
        <v>347</v>
      </c>
      <c r="I109" s="2">
        <v>52650</v>
      </c>
      <c r="J109" s="2">
        <v>51755</v>
      </c>
      <c r="K109" s="2">
        <v>209</v>
      </c>
      <c r="L109" s="2" t="s">
        <v>30</v>
      </c>
      <c r="M109" s="2" t="s">
        <v>25</v>
      </c>
      <c r="N109" s="4">
        <f>_xlfn.XLOOKUP(Table1[[#This Row],[Campaign_Name]],'Campaign Metadata'!A:A,'Campaign Metadata'!B:B,"Notfound",0)</f>
        <v>45566</v>
      </c>
      <c r="O109" s="4">
        <f>_xlfn.XLOOKUP(Table1[[#This Row],[Campaign_Name]],'Campaign Metadata'!A:A,'Campaign Metadata'!C:C,"Not found",0)</f>
        <v>45596</v>
      </c>
      <c r="P109" t="str">
        <f>IF(AND(Table1[[#This Row],[Date]]&gt;=Table1[[#This Row],[Campaign Start Date]],Table1[[#This Row],[Date]]&lt;=Table1[[#This Row],[Campaign End Date]]),"During Campaign","Before Campaign")</f>
        <v>Before Campaign</v>
      </c>
    </row>
    <row r="110" spans="1:16" ht="15.75" customHeight="1" x14ac:dyDescent="0.3">
      <c r="A110" s="2" t="s">
        <v>265</v>
      </c>
      <c r="B110" s="2" t="s">
        <v>14</v>
      </c>
      <c r="C110" s="2" t="s">
        <v>266</v>
      </c>
      <c r="D110" s="2" t="s">
        <v>35</v>
      </c>
      <c r="E110" s="2" t="s">
        <v>149</v>
      </c>
      <c r="F110" s="2">
        <v>3649</v>
      </c>
      <c r="G110" s="2">
        <v>215</v>
      </c>
      <c r="H110" s="2">
        <v>413</v>
      </c>
      <c r="I110" s="2">
        <v>25543</v>
      </c>
      <c r="J110" s="2">
        <v>24963</v>
      </c>
      <c r="K110" s="2">
        <v>167</v>
      </c>
      <c r="L110" s="2" t="s">
        <v>62</v>
      </c>
      <c r="M110" s="2" t="s">
        <v>31</v>
      </c>
      <c r="N110" s="4">
        <f>_xlfn.XLOOKUP(Table1[[#This Row],[Campaign_Name]],'Campaign Metadata'!A:A,'Campaign Metadata'!B:B,"Notfound",0)</f>
        <v>45651</v>
      </c>
      <c r="O110" s="4">
        <f>_xlfn.XLOOKUP(Table1[[#This Row],[Campaign_Name]],'Campaign Metadata'!A:A,'Campaign Metadata'!C:C,"Not found",0)</f>
        <v>45667</v>
      </c>
      <c r="P110" t="str">
        <f>IF(AND(Table1[[#This Row],[Date]]&gt;=Table1[[#This Row],[Campaign Start Date]],Table1[[#This Row],[Date]]&lt;=Table1[[#This Row],[Campaign End Date]]),"During Campaign","Before Campaign")</f>
        <v>Before Campaign</v>
      </c>
    </row>
    <row r="111" spans="1:16" ht="15.75" customHeight="1" x14ac:dyDescent="0.3">
      <c r="A111" s="2" t="s">
        <v>267</v>
      </c>
      <c r="B111" s="2" t="s">
        <v>33</v>
      </c>
      <c r="C111" s="2" t="s">
        <v>268</v>
      </c>
      <c r="D111" s="2" t="s">
        <v>16</v>
      </c>
      <c r="E111" s="2" t="s">
        <v>82</v>
      </c>
      <c r="F111" s="2">
        <v>3523</v>
      </c>
      <c r="G111" s="2">
        <v>753</v>
      </c>
      <c r="H111" s="2">
        <v>482</v>
      </c>
      <c r="I111" s="2">
        <v>38753</v>
      </c>
      <c r="J111" s="2">
        <v>38579</v>
      </c>
      <c r="K111" s="2">
        <v>270</v>
      </c>
      <c r="L111" s="2" t="s">
        <v>37</v>
      </c>
      <c r="M111" s="2" t="s">
        <v>25</v>
      </c>
      <c r="N111" s="4">
        <f>_xlfn.XLOOKUP(Table1[[#This Row],[Campaign_Name]],'Campaign Metadata'!A:A,'Campaign Metadata'!B:B,"Notfound",0)</f>
        <v>45566</v>
      </c>
      <c r="O111" s="4">
        <f>_xlfn.XLOOKUP(Table1[[#This Row],[Campaign_Name]],'Campaign Metadata'!A:A,'Campaign Metadata'!C:C,"Not found",0)</f>
        <v>45596</v>
      </c>
      <c r="P111" t="str">
        <f>IF(AND(Table1[[#This Row],[Date]]&gt;=Table1[[#This Row],[Campaign Start Date]],Table1[[#This Row],[Date]]&lt;=Table1[[#This Row],[Campaign End Date]]),"During Campaign","Before Campaign")</f>
        <v>Before Campaign</v>
      </c>
    </row>
    <row r="112" spans="1:16" ht="15.75" customHeight="1" x14ac:dyDescent="0.3">
      <c r="A112" s="2" t="s">
        <v>269</v>
      </c>
      <c r="B112" s="2" t="s">
        <v>27</v>
      </c>
      <c r="C112" s="2" t="s">
        <v>270</v>
      </c>
      <c r="D112" s="2" t="s">
        <v>52</v>
      </c>
      <c r="E112" s="2" t="s">
        <v>53</v>
      </c>
      <c r="F112" s="2">
        <v>2719</v>
      </c>
      <c r="G112" s="2">
        <v>17</v>
      </c>
      <c r="H112" s="2">
        <v>285</v>
      </c>
      <c r="I112" s="2">
        <v>40785</v>
      </c>
      <c r="J112" s="2">
        <v>40281</v>
      </c>
      <c r="K112" s="2">
        <v>40</v>
      </c>
      <c r="L112" s="2" t="s">
        <v>30</v>
      </c>
      <c r="M112" s="2" t="s">
        <v>25</v>
      </c>
      <c r="N112" s="4">
        <f>_xlfn.XLOOKUP(Table1[[#This Row],[Campaign_Name]],'Campaign Metadata'!A:A,'Campaign Metadata'!B:B,"Notfound",0)</f>
        <v>45566</v>
      </c>
      <c r="O112" s="4">
        <f>_xlfn.XLOOKUP(Table1[[#This Row],[Campaign_Name]],'Campaign Metadata'!A:A,'Campaign Metadata'!C:C,"Not found",0)</f>
        <v>45596</v>
      </c>
      <c r="P112" t="str">
        <f>IF(AND(Table1[[#This Row],[Date]]&gt;=Table1[[#This Row],[Campaign Start Date]],Table1[[#This Row],[Date]]&lt;=Table1[[#This Row],[Campaign End Date]]),"During Campaign","Before Campaign")</f>
        <v>Before Campaign</v>
      </c>
    </row>
    <row r="113" spans="1:16" ht="15.75" customHeight="1" x14ac:dyDescent="0.3">
      <c r="A113" s="2" t="s">
        <v>271</v>
      </c>
      <c r="B113" s="2" t="s">
        <v>14</v>
      </c>
      <c r="C113" s="2" t="s">
        <v>272</v>
      </c>
      <c r="D113" s="2" t="s">
        <v>35</v>
      </c>
      <c r="E113" s="2" t="s">
        <v>149</v>
      </c>
      <c r="F113" s="2">
        <v>1957</v>
      </c>
      <c r="G113" s="2">
        <v>877</v>
      </c>
      <c r="H113" s="2">
        <v>238</v>
      </c>
      <c r="I113" s="2">
        <v>17613</v>
      </c>
      <c r="J113" s="2">
        <v>16865</v>
      </c>
      <c r="K113" s="2">
        <v>297</v>
      </c>
      <c r="L113" s="2" t="s">
        <v>62</v>
      </c>
      <c r="M113" s="2" t="s">
        <v>31</v>
      </c>
      <c r="N113" s="4">
        <f>_xlfn.XLOOKUP(Table1[[#This Row],[Campaign_Name]],'Campaign Metadata'!A:A,'Campaign Metadata'!B:B,"Notfound",0)</f>
        <v>45651</v>
      </c>
      <c r="O113" s="4">
        <f>_xlfn.XLOOKUP(Table1[[#This Row],[Campaign_Name]],'Campaign Metadata'!A:A,'Campaign Metadata'!C:C,"Not found",0)</f>
        <v>45667</v>
      </c>
      <c r="P113" t="str">
        <f>IF(AND(Table1[[#This Row],[Date]]&gt;=Table1[[#This Row],[Campaign Start Date]],Table1[[#This Row],[Date]]&lt;=Table1[[#This Row],[Campaign End Date]]),"During Campaign","Before Campaign")</f>
        <v>Before Campaign</v>
      </c>
    </row>
    <row r="114" spans="1:16" ht="15.75" customHeight="1" x14ac:dyDescent="0.3">
      <c r="A114" s="2" t="s">
        <v>273</v>
      </c>
      <c r="B114" s="2" t="s">
        <v>14</v>
      </c>
      <c r="C114" s="2" t="s">
        <v>274</v>
      </c>
      <c r="D114" s="2" t="s">
        <v>45</v>
      </c>
      <c r="E114" s="2" t="s">
        <v>49</v>
      </c>
      <c r="F114" s="2">
        <v>4419</v>
      </c>
      <c r="G114" s="2">
        <v>236</v>
      </c>
      <c r="H114" s="2">
        <v>369</v>
      </c>
      <c r="I114" s="2">
        <v>44190</v>
      </c>
      <c r="J114" s="2">
        <v>43582</v>
      </c>
      <c r="K114" s="2">
        <v>10</v>
      </c>
      <c r="L114" s="2" t="s">
        <v>37</v>
      </c>
      <c r="M114" s="2" t="s">
        <v>19</v>
      </c>
      <c r="N114" s="4">
        <f>_xlfn.XLOOKUP(Table1[[#This Row],[Campaign_Name]],'Campaign Metadata'!A:A,'Campaign Metadata'!B:B,"Notfound",0)</f>
        <v>45458</v>
      </c>
      <c r="O114" s="4">
        <f>_xlfn.XLOOKUP(Table1[[#This Row],[Campaign_Name]],'Campaign Metadata'!A:A,'Campaign Metadata'!C:C,"Not found",0)</f>
        <v>45488</v>
      </c>
      <c r="P114" t="str">
        <f>IF(AND(Table1[[#This Row],[Date]]&gt;=Table1[[#This Row],[Campaign Start Date]],Table1[[#This Row],[Date]]&lt;=Table1[[#This Row],[Campaign End Date]]),"During Campaign","Before Campaign")</f>
        <v>Before Campaign</v>
      </c>
    </row>
    <row r="115" spans="1:16" ht="15.75" customHeight="1" x14ac:dyDescent="0.3">
      <c r="A115" s="2" t="s">
        <v>275</v>
      </c>
      <c r="B115" s="2" t="s">
        <v>14</v>
      </c>
      <c r="C115" s="2" t="s">
        <v>276</v>
      </c>
      <c r="D115" s="2" t="s">
        <v>35</v>
      </c>
      <c r="E115" s="2" t="s">
        <v>149</v>
      </c>
      <c r="F115" s="2">
        <v>4000</v>
      </c>
      <c r="G115" s="2">
        <v>689</v>
      </c>
      <c r="H115" s="2">
        <v>488</v>
      </c>
      <c r="I115" s="2">
        <v>40000</v>
      </c>
      <c r="J115" s="2">
        <v>39569</v>
      </c>
      <c r="K115" s="2">
        <v>44</v>
      </c>
      <c r="L115" s="2" t="s">
        <v>62</v>
      </c>
      <c r="M115" s="2" t="s">
        <v>19</v>
      </c>
      <c r="N115" s="4">
        <f>_xlfn.XLOOKUP(Table1[[#This Row],[Campaign_Name]],'Campaign Metadata'!A:A,'Campaign Metadata'!B:B,"Notfound",0)</f>
        <v>45458</v>
      </c>
      <c r="O115" s="4">
        <f>_xlfn.XLOOKUP(Table1[[#This Row],[Campaign_Name]],'Campaign Metadata'!A:A,'Campaign Metadata'!C:C,"Not found",0)</f>
        <v>45488</v>
      </c>
      <c r="P115" t="str">
        <f>IF(AND(Table1[[#This Row],[Date]]&gt;=Table1[[#This Row],[Campaign Start Date]],Table1[[#This Row],[Date]]&lt;=Table1[[#This Row],[Campaign End Date]]),"During Campaign","Before Campaign")</f>
        <v>Before Campaign</v>
      </c>
    </row>
    <row r="116" spans="1:16" ht="15.75" customHeight="1" x14ac:dyDescent="0.3">
      <c r="A116" s="2" t="s">
        <v>277</v>
      </c>
      <c r="B116" s="2" t="s">
        <v>14</v>
      </c>
      <c r="C116" s="2" t="s">
        <v>278</v>
      </c>
      <c r="D116" s="2" t="s">
        <v>52</v>
      </c>
      <c r="E116" s="2" t="s">
        <v>132</v>
      </c>
      <c r="F116" s="2">
        <v>2493</v>
      </c>
      <c r="G116" s="2">
        <v>97</v>
      </c>
      <c r="H116" s="2">
        <v>44</v>
      </c>
      <c r="I116" s="2">
        <v>42381</v>
      </c>
      <c r="J116" s="2">
        <v>41991</v>
      </c>
      <c r="K116" s="2">
        <v>242</v>
      </c>
      <c r="L116" s="2" t="s">
        <v>95</v>
      </c>
      <c r="M116" s="2" t="s">
        <v>38</v>
      </c>
      <c r="N116" s="4">
        <f>_xlfn.XLOOKUP(Table1[[#This Row],[Campaign_Name]],'Campaign Metadata'!A:A,'Campaign Metadata'!B:B,"Notfound",0)</f>
        <v>45717</v>
      </c>
      <c r="O116" s="4">
        <f>_xlfn.XLOOKUP(Table1[[#This Row],[Campaign_Name]],'Campaign Metadata'!A:A,'Campaign Metadata'!C:C,"Not found",0)</f>
        <v>45747</v>
      </c>
      <c r="P116" t="str">
        <f>IF(AND(Table1[[#This Row],[Date]]&gt;=Table1[[#This Row],[Campaign Start Date]],Table1[[#This Row],[Date]]&lt;=Table1[[#This Row],[Campaign End Date]]),"During Campaign","Before Campaign")</f>
        <v>Before Campaign</v>
      </c>
    </row>
    <row r="117" spans="1:16" ht="15.75" customHeight="1" x14ac:dyDescent="0.3">
      <c r="A117" s="2" t="s">
        <v>279</v>
      </c>
      <c r="B117" s="2" t="s">
        <v>27</v>
      </c>
      <c r="C117" s="2" t="s">
        <v>280</v>
      </c>
      <c r="D117" s="2" t="s">
        <v>16</v>
      </c>
      <c r="E117" s="2" t="s">
        <v>29</v>
      </c>
      <c r="F117" s="2">
        <v>3704</v>
      </c>
      <c r="G117" s="2">
        <v>186</v>
      </c>
      <c r="H117" s="2">
        <v>458</v>
      </c>
      <c r="I117" s="2">
        <v>25928</v>
      </c>
      <c r="J117" s="2">
        <v>25081</v>
      </c>
      <c r="K117" s="2">
        <v>131</v>
      </c>
      <c r="L117" s="2" t="s">
        <v>30</v>
      </c>
      <c r="N117" s="4">
        <f>_xlfn.XLOOKUP(Table1[[#This Row],[Campaign_Name]],'Campaign Metadata'!A:A,'Campaign Metadata'!B:B,"Notfound",0)</f>
        <v>0</v>
      </c>
      <c r="O117" s="4">
        <f>_xlfn.XLOOKUP(Table1[[#This Row],[Campaign_Name]],'Campaign Metadata'!A:A,'Campaign Metadata'!C:C,"Not found",0)</f>
        <v>0</v>
      </c>
      <c r="P117" t="str">
        <f>IF(AND(Table1[[#This Row],[Date]]&gt;=Table1[[#This Row],[Campaign Start Date]],Table1[[#This Row],[Date]]&lt;=Table1[[#This Row],[Campaign End Date]]),"During Campaign","Before Campaign")</f>
        <v>Before Campaign</v>
      </c>
    </row>
    <row r="118" spans="1:16" ht="15.75" customHeight="1" x14ac:dyDescent="0.3">
      <c r="A118" s="2" t="s">
        <v>281</v>
      </c>
      <c r="B118" s="2" t="s">
        <v>14</v>
      </c>
      <c r="C118" s="2" t="s">
        <v>282</v>
      </c>
      <c r="D118" s="2" t="s">
        <v>52</v>
      </c>
      <c r="E118" s="2" t="s">
        <v>132</v>
      </c>
      <c r="F118" s="2">
        <v>1606</v>
      </c>
      <c r="G118" s="2">
        <v>451</v>
      </c>
      <c r="H118" s="2">
        <v>405</v>
      </c>
      <c r="I118" s="2">
        <v>20878</v>
      </c>
      <c r="J118" s="2">
        <v>20190</v>
      </c>
      <c r="K118" s="2">
        <v>219</v>
      </c>
      <c r="L118" s="2" t="s">
        <v>37</v>
      </c>
      <c r="M118" s="2" t="s">
        <v>38</v>
      </c>
      <c r="N118" s="4">
        <f>_xlfn.XLOOKUP(Table1[[#This Row],[Campaign_Name]],'Campaign Metadata'!A:A,'Campaign Metadata'!B:B,"Notfound",0)</f>
        <v>45717</v>
      </c>
      <c r="O118" s="4">
        <f>_xlfn.XLOOKUP(Table1[[#This Row],[Campaign_Name]],'Campaign Metadata'!A:A,'Campaign Metadata'!C:C,"Not found",0)</f>
        <v>45747</v>
      </c>
      <c r="P118" t="str">
        <f>IF(AND(Table1[[#This Row],[Date]]&gt;=Table1[[#This Row],[Campaign Start Date]],Table1[[#This Row],[Date]]&lt;=Table1[[#This Row],[Campaign End Date]]),"During Campaign","Before Campaign")</f>
        <v>Before Campaign</v>
      </c>
    </row>
    <row r="119" spans="1:16" ht="15.75" customHeight="1" x14ac:dyDescent="0.3">
      <c r="A119" s="2" t="s">
        <v>283</v>
      </c>
      <c r="B119" s="2" t="s">
        <v>43</v>
      </c>
      <c r="C119" s="2" t="s">
        <v>282</v>
      </c>
      <c r="D119" s="2" t="s">
        <v>52</v>
      </c>
      <c r="E119" s="2" t="s">
        <v>59</v>
      </c>
      <c r="F119" s="2">
        <v>4551</v>
      </c>
      <c r="G119" s="2">
        <v>714</v>
      </c>
      <c r="H119" s="2">
        <v>207</v>
      </c>
      <c r="I119" s="2">
        <v>68265</v>
      </c>
      <c r="J119" s="2">
        <v>67754</v>
      </c>
      <c r="K119" s="2">
        <v>57</v>
      </c>
      <c r="L119" s="2" t="s">
        <v>62</v>
      </c>
      <c r="M119" s="2" t="s">
        <v>31</v>
      </c>
      <c r="N119" s="4">
        <f>_xlfn.XLOOKUP(Table1[[#This Row],[Campaign_Name]],'Campaign Metadata'!A:A,'Campaign Metadata'!B:B,"Notfound",0)</f>
        <v>45651</v>
      </c>
      <c r="O119" s="4">
        <f>_xlfn.XLOOKUP(Table1[[#This Row],[Campaign_Name]],'Campaign Metadata'!A:A,'Campaign Metadata'!C:C,"Not found",0)</f>
        <v>45667</v>
      </c>
      <c r="P119" t="str">
        <f>IF(AND(Table1[[#This Row],[Date]]&gt;=Table1[[#This Row],[Campaign Start Date]],Table1[[#This Row],[Date]]&lt;=Table1[[#This Row],[Campaign End Date]]),"During Campaign","Before Campaign")</f>
        <v>Before Campaign</v>
      </c>
    </row>
    <row r="120" spans="1:16" ht="15.75" customHeight="1" x14ac:dyDescent="0.3">
      <c r="A120" s="2" t="s">
        <v>284</v>
      </c>
      <c r="B120" s="2" t="s">
        <v>33</v>
      </c>
      <c r="C120" s="2" t="s">
        <v>285</v>
      </c>
      <c r="D120" s="2" t="s">
        <v>16</v>
      </c>
      <c r="E120" s="2" t="s">
        <v>82</v>
      </c>
      <c r="F120" s="2">
        <v>1970</v>
      </c>
      <c r="G120" s="2">
        <v>675</v>
      </c>
      <c r="H120" s="2">
        <v>478</v>
      </c>
      <c r="I120" s="2">
        <v>9850</v>
      </c>
      <c r="J120" s="2">
        <v>8924</v>
      </c>
      <c r="K120" s="2">
        <v>117</v>
      </c>
      <c r="L120" s="2" t="s">
        <v>62</v>
      </c>
      <c r="N120" s="4">
        <f>_xlfn.XLOOKUP(Table1[[#This Row],[Campaign_Name]],'Campaign Metadata'!A:A,'Campaign Metadata'!B:B,"Notfound",0)</f>
        <v>0</v>
      </c>
      <c r="O120" s="4">
        <f>_xlfn.XLOOKUP(Table1[[#This Row],[Campaign_Name]],'Campaign Metadata'!A:A,'Campaign Metadata'!C:C,"Not found",0)</f>
        <v>0</v>
      </c>
      <c r="P120" t="str">
        <f>IF(AND(Table1[[#This Row],[Date]]&gt;=Table1[[#This Row],[Campaign Start Date]],Table1[[#This Row],[Date]]&lt;=Table1[[#This Row],[Campaign End Date]]),"During Campaign","Before Campaign")</f>
        <v>Before Campaign</v>
      </c>
    </row>
    <row r="121" spans="1:16" ht="15.75" customHeight="1" x14ac:dyDescent="0.3">
      <c r="A121" s="2" t="s">
        <v>286</v>
      </c>
      <c r="B121" s="2" t="s">
        <v>43</v>
      </c>
      <c r="C121" s="2" t="s">
        <v>168</v>
      </c>
      <c r="D121" s="2" t="s">
        <v>35</v>
      </c>
      <c r="E121" s="2" t="s">
        <v>71</v>
      </c>
      <c r="F121" s="2">
        <v>780</v>
      </c>
      <c r="G121" s="2">
        <v>928</v>
      </c>
      <c r="H121" s="2">
        <v>301</v>
      </c>
      <c r="I121" s="2">
        <v>8580</v>
      </c>
      <c r="J121" s="2">
        <v>8081</v>
      </c>
      <c r="K121" s="2">
        <v>91</v>
      </c>
      <c r="L121" s="2" t="s">
        <v>37</v>
      </c>
      <c r="M121" s="2" t="s">
        <v>31</v>
      </c>
      <c r="N121" s="4">
        <f>_xlfn.XLOOKUP(Table1[[#This Row],[Campaign_Name]],'Campaign Metadata'!A:A,'Campaign Metadata'!B:B,"Notfound",0)</f>
        <v>45651</v>
      </c>
      <c r="O121" s="4">
        <f>_xlfn.XLOOKUP(Table1[[#This Row],[Campaign_Name]],'Campaign Metadata'!A:A,'Campaign Metadata'!C:C,"Not found",0)</f>
        <v>45667</v>
      </c>
      <c r="P121" t="str">
        <f>IF(AND(Table1[[#This Row],[Date]]&gt;=Table1[[#This Row],[Campaign Start Date]],Table1[[#This Row],[Date]]&lt;=Table1[[#This Row],[Campaign End Date]]),"During Campaign","Before Campaign")</f>
        <v>Before Campaign</v>
      </c>
    </row>
    <row r="122" spans="1:16" ht="15.75" customHeight="1" x14ac:dyDescent="0.3">
      <c r="A122" s="2" t="s">
        <v>287</v>
      </c>
      <c r="B122" s="2" t="s">
        <v>33</v>
      </c>
      <c r="C122" s="2" t="s">
        <v>268</v>
      </c>
      <c r="D122" s="2" t="s">
        <v>35</v>
      </c>
      <c r="E122" s="2" t="s">
        <v>36</v>
      </c>
      <c r="F122" s="2">
        <v>498</v>
      </c>
      <c r="G122" s="2">
        <v>701</v>
      </c>
      <c r="H122" s="2">
        <v>412</v>
      </c>
      <c r="I122" s="2">
        <v>4980</v>
      </c>
      <c r="J122" s="2">
        <v>4185</v>
      </c>
      <c r="K122" s="2">
        <v>185</v>
      </c>
      <c r="L122" s="2" t="s">
        <v>62</v>
      </c>
      <c r="N122" s="4">
        <f>_xlfn.XLOOKUP(Table1[[#This Row],[Campaign_Name]],'Campaign Metadata'!A:A,'Campaign Metadata'!B:B,"Notfound",0)</f>
        <v>0</v>
      </c>
      <c r="O122" s="4">
        <f>_xlfn.XLOOKUP(Table1[[#This Row],[Campaign_Name]],'Campaign Metadata'!A:A,'Campaign Metadata'!C:C,"Not found",0)</f>
        <v>0</v>
      </c>
      <c r="P122" t="str">
        <f>IF(AND(Table1[[#This Row],[Date]]&gt;=Table1[[#This Row],[Campaign Start Date]],Table1[[#This Row],[Date]]&lt;=Table1[[#This Row],[Campaign End Date]]),"During Campaign","Before Campaign")</f>
        <v>Before Campaign</v>
      </c>
    </row>
    <row r="123" spans="1:16" ht="15.75" customHeight="1" x14ac:dyDescent="0.3">
      <c r="A123" s="2" t="s">
        <v>288</v>
      </c>
      <c r="B123" s="2" t="s">
        <v>33</v>
      </c>
      <c r="C123" s="2" t="s">
        <v>274</v>
      </c>
      <c r="D123" s="2" t="s">
        <v>22</v>
      </c>
      <c r="E123" s="2" t="s">
        <v>113</v>
      </c>
      <c r="F123" s="2">
        <v>3432</v>
      </c>
      <c r="G123" s="2">
        <v>869</v>
      </c>
      <c r="H123" s="2">
        <v>123</v>
      </c>
      <c r="I123" s="2">
        <v>54912</v>
      </c>
      <c r="J123" s="2">
        <v>53916</v>
      </c>
      <c r="K123" s="2">
        <v>264</v>
      </c>
      <c r="L123" s="2" t="s">
        <v>37</v>
      </c>
      <c r="M123" s="2" t="s">
        <v>25</v>
      </c>
      <c r="N123" s="4">
        <f>_xlfn.XLOOKUP(Table1[[#This Row],[Campaign_Name]],'Campaign Metadata'!A:A,'Campaign Metadata'!B:B,"Notfound",0)</f>
        <v>45566</v>
      </c>
      <c r="O123" s="4">
        <f>_xlfn.XLOOKUP(Table1[[#This Row],[Campaign_Name]],'Campaign Metadata'!A:A,'Campaign Metadata'!C:C,"Not found",0)</f>
        <v>45596</v>
      </c>
      <c r="P123" t="str">
        <f>IF(AND(Table1[[#This Row],[Date]]&gt;=Table1[[#This Row],[Campaign Start Date]],Table1[[#This Row],[Date]]&lt;=Table1[[#This Row],[Campaign End Date]]),"During Campaign","Before Campaign")</f>
        <v>Before Campaign</v>
      </c>
    </row>
    <row r="124" spans="1:16" ht="15.75" customHeight="1" x14ac:dyDescent="0.3">
      <c r="A124" s="2" t="s">
        <v>289</v>
      </c>
      <c r="B124" s="2" t="s">
        <v>33</v>
      </c>
      <c r="C124" s="2" t="s">
        <v>258</v>
      </c>
      <c r="D124" s="2" t="s">
        <v>35</v>
      </c>
      <c r="E124" s="2" t="s">
        <v>36</v>
      </c>
      <c r="F124" s="2">
        <v>4363</v>
      </c>
      <c r="G124" s="2">
        <v>649</v>
      </c>
      <c r="H124" s="2">
        <v>140</v>
      </c>
      <c r="I124" s="2">
        <v>21815</v>
      </c>
      <c r="J124" s="2">
        <v>21481</v>
      </c>
      <c r="K124" s="2">
        <v>157</v>
      </c>
      <c r="L124" s="2" t="s">
        <v>37</v>
      </c>
      <c r="M124" s="2" t="s">
        <v>19</v>
      </c>
      <c r="N124" s="4">
        <f>_xlfn.XLOOKUP(Table1[[#This Row],[Campaign_Name]],'Campaign Metadata'!A:A,'Campaign Metadata'!B:B,"Notfound",0)</f>
        <v>45458</v>
      </c>
      <c r="O124" s="4">
        <f>_xlfn.XLOOKUP(Table1[[#This Row],[Campaign_Name]],'Campaign Metadata'!A:A,'Campaign Metadata'!C:C,"Not found",0)</f>
        <v>45488</v>
      </c>
      <c r="P124" t="str">
        <f>IF(AND(Table1[[#This Row],[Date]]&gt;=Table1[[#This Row],[Campaign Start Date]],Table1[[#This Row],[Date]]&lt;=Table1[[#This Row],[Campaign End Date]]),"During Campaign","Before Campaign")</f>
        <v>Before Campaign</v>
      </c>
    </row>
    <row r="125" spans="1:16" ht="15.75" customHeight="1" x14ac:dyDescent="0.3">
      <c r="A125" s="2" t="s">
        <v>290</v>
      </c>
      <c r="B125" s="2" t="s">
        <v>27</v>
      </c>
      <c r="C125" s="2" t="s">
        <v>291</v>
      </c>
      <c r="D125" s="2" t="s">
        <v>45</v>
      </c>
      <c r="E125" s="2" t="s">
        <v>68</v>
      </c>
      <c r="F125" s="2">
        <v>736</v>
      </c>
      <c r="G125" s="2">
        <v>771</v>
      </c>
      <c r="H125" s="2">
        <v>225</v>
      </c>
      <c r="I125" s="2">
        <v>5152</v>
      </c>
      <c r="J125" s="2">
        <v>4706</v>
      </c>
      <c r="K125" s="2">
        <v>19</v>
      </c>
      <c r="L125" s="2" t="s">
        <v>37</v>
      </c>
      <c r="M125" s="2" t="s">
        <v>19</v>
      </c>
      <c r="N125" s="4">
        <f>_xlfn.XLOOKUP(Table1[[#This Row],[Campaign_Name]],'Campaign Metadata'!A:A,'Campaign Metadata'!B:B,"Notfound",0)</f>
        <v>45458</v>
      </c>
      <c r="O125" s="4">
        <f>_xlfn.XLOOKUP(Table1[[#This Row],[Campaign_Name]],'Campaign Metadata'!A:A,'Campaign Metadata'!C:C,"Not found",0)</f>
        <v>45488</v>
      </c>
      <c r="P125" t="str">
        <f>IF(AND(Table1[[#This Row],[Date]]&gt;=Table1[[#This Row],[Campaign Start Date]],Table1[[#This Row],[Date]]&lt;=Table1[[#This Row],[Campaign End Date]]),"During Campaign","Before Campaign")</f>
        <v>Before Campaign</v>
      </c>
    </row>
    <row r="126" spans="1:16" ht="15.75" customHeight="1" x14ac:dyDescent="0.3">
      <c r="A126" s="2" t="s">
        <v>292</v>
      </c>
      <c r="B126" s="2" t="s">
        <v>14</v>
      </c>
      <c r="C126" s="2" t="s">
        <v>293</v>
      </c>
      <c r="D126" s="2" t="s">
        <v>45</v>
      </c>
      <c r="E126" s="2" t="s">
        <v>49</v>
      </c>
      <c r="F126" s="2">
        <v>3811</v>
      </c>
      <c r="G126" s="2">
        <v>866</v>
      </c>
      <c r="H126" s="2">
        <v>216</v>
      </c>
      <c r="I126" s="2">
        <v>34299</v>
      </c>
      <c r="J126" s="2">
        <v>34088</v>
      </c>
      <c r="K126" s="2">
        <v>233</v>
      </c>
      <c r="L126" s="2" t="s">
        <v>30</v>
      </c>
      <c r="M126" s="2" t="s">
        <v>38</v>
      </c>
      <c r="N126" s="4">
        <f>_xlfn.XLOOKUP(Table1[[#This Row],[Campaign_Name]],'Campaign Metadata'!A:A,'Campaign Metadata'!B:B,"Notfound",0)</f>
        <v>45717</v>
      </c>
      <c r="O126" s="4">
        <f>_xlfn.XLOOKUP(Table1[[#This Row],[Campaign_Name]],'Campaign Metadata'!A:A,'Campaign Metadata'!C:C,"Not found",0)</f>
        <v>45747</v>
      </c>
      <c r="P126" t="str">
        <f>IF(AND(Table1[[#This Row],[Date]]&gt;=Table1[[#This Row],[Campaign Start Date]],Table1[[#This Row],[Date]]&lt;=Table1[[#This Row],[Campaign End Date]]),"During Campaign","Before Campaign")</f>
        <v>Before Campaign</v>
      </c>
    </row>
    <row r="127" spans="1:16" ht="15.75" customHeight="1" x14ac:dyDescent="0.3">
      <c r="A127" s="2" t="s">
        <v>294</v>
      </c>
      <c r="B127" s="2" t="s">
        <v>33</v>
      </c>
      <c r="C127" s="2" t="s">
        <v>184</v>
      </c>
      <c r="D127" s="2" t="s">
        <v>45</v>
      </c>
      <c r="E127" s="2" t="s">
        <v>88</v>
      </c>
      <c r="F127" s="2">
        <v>4158</v>
      </c>
      <c r="G127" s="2">
        <v>167</v>
      </c>
      <c r="H127" s="2">
        <v>241</v>
      </c>
      <c r="I127" s="2">
        <v>45738</v>
      </c>
      <c r="J127" s="2">
        <v>45183</v>
      </c>
      <c r="K127" s="2">
        <v>142</v>
      </c>
      <c r="L127" s="2" t="s">
        <v>62</v>
      </c>
      <c r="N127" s="4">
        <f>_xlfn.XLOOKUP(Table1[[#This Row],[Campaign_Name]],'Campaign Metadata'!A:A,'Campaign Metadata'!B:B,"Notfound",0)</f>
        <v>0</v>
      </c>
      <c r="O127" s="4">
        <f>_xlfn.XLOOKUP(Table1[[#This Row],[Campaign_Name]],'Campaign Metadata'!A:A,'Campaign Metadata'!C:C,"Not found",0)</f>
        <v>0</v>
      </c>
      <c r="P127" t="str">
        <f>IF(AND(Table1[[#This Row],[Date]]&gt;=Table1[[#This Row],[Campaign Start Date]],Table1[[#This Row],[Date]]&lt;=Table1[[#This Row],[Campaign End Date]]),"During Campaign","Before Campaign")</f>
        <v>Before Campaign</v>
      </c>
    </row>
    <row r="128" spans="1:16" ht="15.75" customHeight="1" x14ac:dyDescent="0.3">
      <c r="A128" s="2" t="s">
        <v>295</v>
      </c>
      <c r="B128" s="2" t="s">
        <v>43</v>
      </c>
      <c r="C128" s="2" t="s">
        <v>224</v>
      </c>
      <c r="D128" s="2" t="s">
        <v>16</v>
      </c>
      <c r="E128" s="2" t="s">
        <v>65</v>
      </c>
      <c r="F128" s="2">
        <v>3452</v>
      </c>
      <c r="G128" s="2">
        <v>652</v>
      </c>
      <c r="H128" s="2">
        <v>442</v>
      </c>
      <c r="I128" s="2">
        <v>65588</v>
      </c>
      <c r="J128" s="2">
        <v>65049</v>
      </c>
      <c r="K128" s="2">
        <v>158</v>
      </c>
      <c r="L128" s="2" t="s">
        <v>62</v>
      </c>
      <c r="M128" s="2" t="s">
        <v>31</v>
      </c>
      <c r="N128" s="4">
        <f>_xlfn.XLOOKUP(Table1[[#This Row],[Campaign_Name]],'Campaign Metadata'!A:A,'Campaign Metadata'!B:B,"Notfound",0)</f>
        <v>45651</v>
      </c>
      <c r="O128" s="4">
        <f>_xlfn.XLOOKUP(Table1[[#This Row],[Campaign_Name]],'Campaign Metadata'!A:A,'Campaign Metadata'!C:C,"Not found",0)</f>
        <v>45667</v>
      </c>
      <c r="P128" t="str">
        <f>IF(AND(Table1[[#This Row],[Date]]&gt;=Table1[[#This Row],[Campaign Start Date]],Table1[[#This Row],[Date]]&lt;=Table1[[#This Row],[Campaign End Date]]),"During Campaign","Before Campaign")</f>
        <v>Before Campaign</v>
      </c>
    </row>
    <row r="129" spans="1:16" ht="15.75" customHeight="1" x14ac:dyDescent="0.3">
      <c r="A129" s="2" t="s">
        <v>296</v>
      </c>
      <c r="B129" s="2" t="s">
        <v>14</v>
      </c>
      <c r="C129" s="2" t="s">
        <v>230</v>
      </c>
      <c r="D129" s="2" t="s">
        <v>52</v>
      </c>
      <c r="E129" s="2" t="s">
        <v>132</v>
      </c>
      <c r="F129" s="2">
        <v>3092</v>
      </c>
      <c r="G129" s="2">
        <v>106</v>
      </c>
      <c r="H129" s="2">
        <v>291</v>
      </c>
      <c r="I129" s="2">
        <v>27828</v>
      </c>
      <c r="J129" s="2">
        <v>27217</v>
      </c>
      <c r="K129" s="2">
        <v>102</v>
      </c>
      <c r="L129" s="2" t="s">
        <v>62</v>
      </c>
      <c r="N129" s="4">
        <f>_xlfn.XLOOKUP(Table1[[#This Row],[Campaign_Name]],'Campaign Metadata'!A:A,'Campaign Metadata'!B:B,"Notfound",0)</f>
        <v>0</v>
      </c>
      <c r="O129" s="4">
        <f>_xlfn.XLOOKUP(Table1[[#This Row],[Campaign_Name]],'Campaign Metadata'!A:A,'Campaign Metadata'!C:C,"Not found",0)</f>
        <v>0</v>
      </c>
      <c r="P129" t="str">
        <f>IF(AND(Table1[[#This Row],[Date]]&gt;=Table1[[#This Row],[Campaign Start Date]],Table1[[#This Row],[Date]]&lt;=Table1[[#This Row],[Campaign End Date]]),"During Campaign","Before Campaign")</f>
        <v>Before Campaign</v>
      </c>
    </row>
    <row r="130" spans="1:16" ht="15.75" customHeight="1" x14ac:dyDescent="0.3">
      <c r="A130" s="2" t="s">
        <v>297</v>
      </c>
      <c r="B130" s="2" t="s">
        <v>14</v>
      </c>
      <c r="C130" s="2" t="s">
        <v>64</v>
      </c>
      <c r="D130" s="2" t="s">
        <v>22</v>
      </c>
      <c r="E130" s="2" t="s">
        <v>23</v>
      </c>
      <c r="F130" s="2">
        <v>2147</v>
      </c>
      <c r="G130" s="2">
        <v>430</v>
      </c>
      <c r="H130" s="2">
        <v>393</v>
      </c>
      <c r="I130" s="2">
        <v>17176</v>
      </c>
      <c r="J130" s="2">
        <v>16483</v>
      </c>
      <c r="K130" s="2">
        <v>170</v>
      </c>
      <c r="L130" s="2" t="s">
        <v>30</v>
      </c>
      <c r="N130" s="4">
        <f>_xlfn.XLOOKUP(Table1[[#This Row],[Campaign_Name]],'Campaign Metadata'!A:A,'Campaign Metadata'!B:B,"Notfound",0)</f>
        <v>0</v>
      </c>
      <c r="O130" s="4">
        <f>_xlfn.XLOOKUP(Table1[[#This Row],[Campaign_Name]],'Campaign Metadata'!A:A,'Campaign Metadata'!C:C,"Not found",0)</f>
        <v>0</v>
      </c>
      <c r="P130" t="str">
        <f>IF(AND(Table1[[#This Row],[Date]]&gt;=Table1[[#This Row],[Campaign Start Date]],Table1[[#This Row],[Date]]&lt;=Table1[[#This Row],[Campaign End Date]]),"During Campaign","Before Campaign")</f>
        <v>Before Campaign</v>
      </c>
    </row>
    <row r="131" spans="1:16" ht="15.75" customHeight="1" x14ac:dyDescent="0.3">
      <c r="A131" s="2" t="s">
        <v>298</v>
      </c>
      <c r="B131" s="2" t="s">
        <v>27</v>
      </c>
      <c r="C131" s="2" t="s">
        <v>299</v>
      </c>
      <c r="D131" s="2" t="s">
        <v>16</v>
      </c>
      <c r="E131" s="2" t="s">
        <v>29</v>
      </c>
      <c r="F131" s="2">
        <v>2936</v>
      </c>
      <c r="G131" s="2">
        <v>439</v>
      </c>
      <c r="H131" s="2">
        <v>44</v>
      </c>
      <c r="I131" s="2">
        <v>38168</v>
      </c>
      <c r="J131" s="2">
        <v>37571</v>
      </c>
      <c r="K131" s="2">
        <v>22</v>
      </c>
      <c r="L131" s="2" t="s">
        <v>37</v>
      </c>
      <c r="M131" s="2" t="s">
        <v>38</v>
      </c>
      <c r="N131" s="4">
        <f>_xlfn.XLOOKUP(Table1[[#This Row],[Campaign_Name]],'Campaign Metadata'!A:A,'Campaign Metadata'!B:B,"Notfound",0)</f>
        <v>45717</v>
      </c>
      <c r="O131" s="4">
        <f>_xlfn.XLOOKUP(Table1[[#This Row],[Campaign_Name]],'Campaign Metadata'!A:A,'Campaign Metadata'!C:C,"Not found",0)</f>
        <v>45747</v>
      </c>
      <c r="P131" t="str">
        <f>IF(AND(Table1[[#This Row],[Date]]&gt;=Table1[[#This Row],[Campaign Start Date]],Table1[[#This Row],[Date]]&lt;=Table1[[#This Row],[Campaign End Date]]),"During Campaign","Before Campaign")</f>
        <v>Before Campaign</v>
      </c>
    </row>
    <row r="132" spans="1:16" ht="15.75" customHeight="1" x14ac:dyDescent="0.3">
      <c r="A132" s="2" t="s">
        <v>300</v>
      </c>
      <c r="B132" s="2" t="s">
        <v>33</v>
      </c>
      <c r="C132" s="2" t="s">
        <v>168</v>
      </c>
      <c r="D132" s="2" t="s">
        <v>16</v>
      </c>
      <c r="E132" s="2" t="s">
        <v>82</v>
      </c>
      <c r="F132" s="2">
        <v>4840</v>
      </c>
      <c r="G132" s="2">
        <v>658</v>
      </c>
      <c r="H132" s="2">
        <v>211</v>
      </c>
      <c r="I132" s="2">
        <v>43560</v>
      </c>
      <c r="J132" s="2">
        <v>43225</v>
      </c>
      <c r="K132" s="2">
        <v>57</v>
      </c>
      <c r="L132" s="2" t="s">
        <v>62</v>
      </c>
      <c r="M132" s="2" t="s">
        <v>31</v>
      </c>
      <c r="N132" s="4">
        <f>_xlfn.XLOOKUP(Table1[[#This Row],[Campaign_Name]],'Campaign Metadata'!A:A,'Campaign Metadata'!B:B,"Notfound",0)</f>
        <v>45651</v>
      </c>
      <c r="O132" s="4">
        <f>_xlfn.XLOOKUP(Table1[[#This Row],[Campaign_Name]],'Campaign Metadata'!A:A,'Campaign Metadata'!C:C,"Not found",0)</f>
        <v>45667</v>
      </c>
      <c r="P132" t="str">
        <f>IF(AND(Table1[[#This Row],[Date]]&gt;=Table1[[#This Row],[Campaign Start Date]],Table1[[#This Row],[Date]]&lt;=Table1[[#This Row],[Campaign End Date]]),"During Campaign","Before Campaign")</f>
        <v>Before Campaign</v>
      </c>
    </row>
    <row r="133" spans="1:16" ht="15.75" customHeight="1" x14ac:dyDescent="0.3">
      <c r="A133" s="2" t="s">
        <v>301</v>
      </c>
      <c r="B133" s="2" t="s">
        <v>33</v>
      </c>
      <c r="C133" s="2" t="s">
        <v>106</v>
      </c>
      <c r="D133" s="2" t="s">
        <v>35</v>
      </c>
      <c r="E133" s="2" t="s">
        <v>36</v>
      </c>
      <c r="F133" s="2">
        <v>1947</v>
      </c>
      <c r="G133" s="2">
        <v>842</v>
      </c>
      <c r="H133" s="2">
        <v>101</v>
      </c>
      <c r="I133" s="2">
        <v>21417</v>
      </c>
      <c r="J133" s="2">
        <v>20967</v>
      </c>
      <c r="K133" s="2">
        <v>186</v>
      </c>
      <c r="L133" s="2" t="s">
        <v>62</v>
      </c>
      <c r="M133" s="2" t="s">
        <v>25</v>
      </c>
      <c r="N133" s="4">
        <f>_xlfn.XLOOKUP(Table1[[#This Row],[Campaign_Name]],'Campaign Metadata'!A:A,'Campaign Metadata'!B:B,"Notfound",0)</f>
        <v>45566</v>
      </c>
      <c r="O133" s="4">
        <f>_xlfn.XLOOKUP(Table1[[#This Row],[Campaign_Name]],'Campaign Metadata'!A:A,'Campaign Metadata'!C:C,"Not found",0)</f>
        <v>45596</v>
      </c>
      <c r="P133" t="str">
        <f>IF(AND(Table1[[#This Row],[Date]]&gt;=Table1[[#This Row],[Campaign Start Date]],Table1[[#This Row],[Date]]&lt;=Table1[[#This Row],[Campaign End Date]]),"During Campaign","Before Campaign")</f>
        <v>Before Campaign</v>
      </c>
    </row>
    <row r="134" spans="1:16" ht="15.75" customHeight="1" x14ac:dyDescent="0.3">
      <c r="A134" s="2" t="s">
        <v>302</v>
      </c>
      <c r="B134" s="2" t="s">
        <v>43</v>
      </c>
      <c r="C134" s="2" t="s">
        <v>303</v>
      </c>
      <c r="D134" s="2" t="s">
        <v>52</v>
      </c>
      <c r="E134" s="2" t="s">
        <v>59</v>
      </c>
      <c r="F134" s="2">
        <v>2072</v>
      </c>
      <c r="G134" s="2">
        <v>532</v>
      </c>
      <c r="H134" s="2">
        <v>71</v>
      </c>
      <c r="I134" s="2">
        <v>37296</v>
      </c>
      <c r="J134" s="2">
        <v>36467</v>
      </c>
      <c r="K134" s="2">
        <v>25</v>
      </c>
      <c r="L134" s="2" t="s">
        <v>30</v>
      </c>
      <c r="M134" s="2" t="s">
        <v>38</v>
      </c>
      <c r="N134" s="4">
        <f>_xlfn.XLOOKUP(Table1[[#This Row],[Campaign_Name]],'Campaign Metadata'!A:A,'Campaign Metadata'!B:B,"Notfound",0)</f>
        <v>45717</v>
      </c>
      <c r="O134" s="4">
        <f>_xlfn.XLOOKUP(Table1[[#This Row],[Campaign_Name]],'Campaign Metadata'!A:A,'Campaign Metadata'!C:C,"Not found",0)</f>
        <v>45747</v>
      </c>
      <c r="P134" t="str">
        <f>IF(AND(Table1[[#This Row],[Date]]&gt;=Table1[[#This Row],[Campaign Start Date]],Table1[[#This Row],[Date]]&lt;=Table1[[#This Row],[Campaign End Date]]),"During Campaign","Before Campaign")</f>
        <v>Before Campaign</v>
      </c>
    </row>
    <row r="135" spans="1:16" ht="15.75" customHeight="1" x14ac:dyDescent="0.3">
      <c r="A135" s="2" t="s">
        <v>304</v>
      </c>
      <c r="B135" s="2" t="s">
        <v>14</v>
      </c>
      <c r="C135" s="2" t="s">
        <v>305</v>
      </c>
      <c r="D135" s="2" t="s">
        <v>16</v>
      </c>
      <c r="E135" s="2" t="s">
        <v>17</v>
      </c>
      <c r="F135" s="2">
        <v>3731</v>
      </c>
      <c r="G135" s="2">
        <v>115</v>
      </c>
      <c r="H135" s="2">
        <v>135</v>
      </c>
      <c r="I135" s="2">
        <v>55965</v>
      </c>
      <c r="J135" s="2">
        <v>55436</v>
      </c>
      <c r="K135" s="2">
        <v>103</v>
      </c>
      <c r="L135" s="2" t="s">
        <v>30</v>
      </c>
      <c r="M135" s="2" t="s">
        <v>19</v>
      </c>
      <c r="N135" s="4">
        <f>_xlfn.XLOOKUP(Table1[[#This Row],[Campaign_Name]],'Campaign Metadata'!A:A,'Campaign Metadata'!B:B,"Notfound",0)</f>
        <v>45458</v>
      </c>
      <c r="O135" s="4">
        <f>_xlfn.XLOOKUP(Table1[[#This Row],[Campaign_Name]],'Campaign Metadata'!A:A,'Campaign Metadata'!C:C,"Not found",0)</f>
        <v>45488</v>
      </c>
      <c r="P135" t="str">
        <f>IF(AND(Table1[[#This Row],[Date]]&gt;=Table1[[#This Row],[Campaign Start Date]],Table1[[#This Row],[Date]]&lt;=Table1[[#This Row],[Campaign End Date]]),"During Campaign","Before Campaign")</f>
        <v>Before Campaign</v>
      </c>
    </row>
    <row r="136" spans="1:16" ht="15.75" customHeight="1" x14ac:dyDescent="0.3">
      <c r="A136" s="2" t="s">
        <v>306</v>
      </c>
      <c r="B136" s="2" t="s">
        <v>43</v>
      </c>
      <c r="C136" s="2" t="s">
        <v>307</v>
      </c>
      <c r="D136" s="2" t="s">
        <v>22</v>
      </c>
      <c r="E136" s="2" t="s">
        <v>56</v>
      </c>
      <c r="F136" s="2">
        <v>4213</v>
      </c>
      <c r="G136" s="2">
        <v>253</v>
      </c>
      <c r="H136" s="2">
        <v>434</v>
      </c>
      <c r="I136" s="2">
        <v>75834</v>
      </c>
      <c r="J136" s="2">
        <v>75437</v>
      </c>
      <c r="K136" s="2">
        <v>272</v>
      </c>
      <c r="L136" s="2" t="s">
        <v>62</v>
      </c>
      <c r="M136" s="2" t="s">
        <v>38</v>
      </c>
      <c r="N136" s="4">
        <f>_xlfn.XLOOKUP(Table1[[#This Row],[Campaign_Name]],'Campaign Metadata'!A:A,'Campaign Metadata'!B:B,"Notfound",0)</f>
        <v>45717</v>
      </c>
      <c r="O136" s="4">
        <f>_xlfn.XLOOKUP(Table1[[#This Row],[Campaign_Name]],'Campaign Metadata'!A:A,'Campaign Metadata'!C:C,"Not found",0)</f>
        <v>45747</v>
      </c>
      <c r="P136" t="str">
        <f>IF(AND(Table1[[#This Row],[Date]]&gt;=Table1[[#This Row],[Campaign Start Date]],Table1[[#This Row],[Date]]&lt;=Table1[[#This Row],[Campaign End Date]]),"During Campaign","Before Campaign")</f>
        <v>Before Campaign</v>
      </c>
    </row>
    <row r="137" spans="1:16" ht="15.75" customHeight="1" x14ac:dyDescent="0.3">
      <c r="A137" s="2" t="s">
        <v>308</v>
      </c>
      <c r="B137" s="2" t="s">
        <v>33</v>
      </c>
      <c r="C137" s="2" t="s">
        <v>309</v>
      </c>
      <c r="D137" s="2" t="s">
        <v>22</v>
      </c>
      <c r="E137" s="2" t="s">
        <v>113</v>
      </c>
      <c r="F137" s="2">
        <v>3134</v>
      </c>
      <c r="G137" s="2">
        <v>888</v>
      </c>
      <c r="H137" s="2">
        <v>444</v>
      </c>
      <c r="I137" s="2">
        <v>21938</v>
      </c>
      <c r="J137" s="2">
        <v>21337</v>
      </c>
      <c r="K137" s="2">
        <v>130</v>
      </c>
      <c r="L137" s="2" t="s">
        <v>37</v>
      </c>
      <c r="M137" s="2" t="s">
        <v>38</v>
      </c>
      <c r="N137" s="4">
        <f>_xlfn.XLOOKUP(Table1[[#This Row],[Campaign_Name]],'Campaign Metadata'!A:A,'Campaign Metadata'!B:B,"Notfound",0)</f>
        <v>45717</v>
      </c>
      <c r="O137" s="4">
        <f>_xlfn.XLOOKUP(Table1[[#This Row],[Campaign_Name]],'Campaign Metadata'!A:A,'Campaign Metadata'!C:C,"Not found",0)</f>
        <v>45747</v>
      </c>
      <c r="P137" t="str">
        <f>IF(AND(Table1[[#This Row],[Date]]&gt;=Table1[[#This Row],[Campaign Start Date]],Table1[[#This Row],[Date]]&lt;=Table1[[#This Row],[Campaign End Date]]),"During Campaign","Before Campaign")</f>
        <v>Before Campaign</v>
      </c>
    </row>
    <row r="138" spans="1:16" ht="15.75" customHeight="1" x14ac:dyDescent="0.3">
      <c r="A138" s="2" t="s">
        <v>310</v>
      </c>
      <c r="B138" s="2" t="s">
        <v>43</v>
      </c>
      <c r="C138" s="2" t="s">
        <v>115</v>
      </c>
      <c r="D138" s="2" t="s">
        <v>74</v>
      </c>
      <c r="E138" s="2" t="s">
        <v>75</v>
      </c>
      <c r="F138" s="2">
        <v>3008</v>
      </c>
      <c r="G138" s="2">
        <v>94</v>
      </c>
      <c r="H138" s="2">
        <v>37</v>
      </c>
      <c r="I138" s="2">
        <v>15040</v>
      </c>
      <c r="J138" s="2">
        <v>14639</v>
      </c>
      <c r="K138" s="2">
        <v>277</v>
      </c>
      <c r="L138" s="2" t="s">
        <v>62</v>
      </c>
      <c r="N138" s="4">
        <f>_xlfn.XLOOKUP(Table1[[#This Row],[Campaign_Name]],'Campaign Metadata'!A:A,'Campaign Metadata'!B:B,"Notfound",0)</f>
        <v>0</v>
      </c>
      <c r="O138" s="4">
        <f>_xlfn.XLOOKUP(Table1[[#This Row],[Campaign_Name]],'Campaign Metadata'!A:A,'Campaign Metadata'!C:C,"Not found",0)</f>
        <v>0</v>
      </c>
      <c r="P138" t="str">
        <f>IF(AND(Table1[[#This Row],[Date]]&gt;=Table1[[#This Row],[Campaign Start Date]],Table1[[#This Row],[Date]]&lt;=Table1[[#This Row],[Campaign End Date]]),"During Campaign","Before Campaign")</f>
        <v>Before Campaign</v>
      </c>
    </row>
    <row r="139" spans="1:16" ht="15.75" customHeight="1" x14ac:dyDescent="0.3">
      <c r="A139" s="2" t="s">
        <v>311</v>
      </c>
      <c r="B139" s="2" t="s">
        <v>14</v>
      </c>
      <c r="C139" s="2" t="s">
        <v>188</v>
      </c>
      <c r="D139" s="2" t="s">
        <v>52</v>
      </c>
      <c r="E139" s="2" t="s">
        <v>132</v>
      </c>
      <c r="F139" s="2">
        <v>305</v>
      </c>
      <c r="G139" s="2">
        <v>187</v>
      </c>
      <c r="H139" s="2">
        <v>243</v>
      </c>
      <c r="I139" s="2">
        <v>4575</v>
      </c>
      <c r="J139" s="2">
        <v>3704</v>
      </c>
      <c r="K139" s="2">
        <v>234</v>
      </c>
      <c r="L139" s="2" t="s">
        <v>62</v>
      </c>
      <c r="M139" s="2" t="s">
        <v>31</v>
      </c>
      <c r="N139" s="4">
        <f>_xlfn.XLOOKUP(Table1[[#This Row],[Campaign_Name]],'Campaign Metadata'!A:A,'Campaign Metadata'!B:B,"Notfound",0)</f>
        <v>45651</v>
      </c>
      <c r="O139" s="4">
        <f>_xlfn.XLOOKUP(Table1[[#This Row],[Campaign_Name]],'Campaign Metadata'!A:A,'Campaign Metadata'!C:C,"Not found",0)</f>
        <v>45667</v>
      </c>
      <c r="P139" t="str">
        <f>IF(AND(Table1[[#This Row],[Date]]&gt;=Table1[[#This Row],[Campaign Start Date]],Table1[[#This Row],[Date]]&lt;=Table1[[#This Row],[Campaign End Date]]),"During Campaign","Before Campaign")</f>
        <v>Before Campaign</v>
      </c>
    </row>
    <row r="140" spans="1:16" ht="15.75" customHeight="1" x14ac:dyDescent="0.3">
      <c r="A140" s="2" t="s">
        <v>312</v>
      </c>
      <c r="B140" s="2" t="s">
        <v>27</v>
      </c>
      <c r="C140" s="2" t="s">
        <v>313</v>
      </c>
      <c r="D140" s="2" t="s">
        <v>22</v>
      </c>
      <c r="E140" s="2" t="s">
        <v>104</v>
      </c>
      <c r="F140" s="2">
        <v>2746</v>
      </c>
      <c r="G140" s="2">
        <v>156</v>
      </c>
      <c r="H140" s="2">
        <v>203</v>
      </c>
      <c r="I140" s="2">
        <v>32952</v>
      </c>
      <c r="J140" s="2">
        <v>32147</v>
      </c>
      <c r="K140" s="2">
        <v>147</v>
      </c>
      <c r="L140" s="2" t="s">
        <v>37</v>
      </c>
      <c r="M140" s="2" t="s">
        <v>19</v>
      </c>
      <c r="N140" s="4">
        <f>_xlfn.XLOOKUP(Table1[[#This Row],[Campaign_Name]],'Campaign Metadata'!A:A,'Campaign Metadata'!B:B,"Notfound",0)</f>
        <v>45458</v>
      </c>
      <c r="O140" s="4">
        <f>_xlfn.XLOOKUP(Table1[[#This Row],[Campaign_Name]],'Campaign Metadata'!A:A,'Campaign Metadata'!C:C,"Not found",0)</f>
        <v>45488</v>
      </c>
      <c r="P140" t="str">
        <f>IF(AND(Table1[[#This Row],[Date]]&gt;=Table1[[#This Row],[Campaign Start Date]],Table1[[#This Row],[Date]]&lt;=Table1[[#This Row],[Campaign End Date]]),"During Campaign","Before Campaign")</f>
        <v>Before Campaign</v>
      </c>
    </row>
    <row r="141" spans="1:16" ht="15.75" customHeight="1" x14ac:dyDescent="0.3">
      <c r="A141" s="2" t="s">
        <v>314</v>
      </c>
      <c r="B141" s="2" t="s">
        <v>43</v>
      </c>
      <c r="C141" s="2" t="s">
        <v>315</v>
      </c>
      <c r="D141" s="2" t="s">
        <v>52</v>
      </c>
      <c r="E141" s="2" t="s">
        <v>59</v>
      </c>
      <c r="F141" s="2">
        <v>2291</v>
      </c>
      <c r="G141" s="2">
        <v>78</v>
      </c>
      <c r="H141" s="2">
        <v>485</v>
      </c>
      <c r="I141" s="2">
        <v>18328</v>
      </c>
      <c r="J141" s="2">
        <v>18101</v>
      </c>
      <c r="K141" s="2">
        <v>10</v>
      </c>
      <c r="L141" s="2" t="s">
        <v>316</v>
      </c>
      <c r="M141" s="2" t="s">
        <v>25</v>
      </c>
      <c r="N141" s="4">
        <f>_xlfn.XLOOKUP(Table1[[#This Row],[Campaign_Name]],'Campaign Metadata'!A:A,'Campaign Metadata'!B:B,"Notfound",0)</f>
        <v>45566</v>
      </c>
      <c r="O141" s="4">
        <f>_xlfn.XLOOKUP(Table1[[#This Row],[Campaign_Name]],'Campaign Metadata'!A:A,'Campaign Metadata'!C:C,"Not found",0)</f>
        <v>45596</v>
      </c>
      <c r="P141" t="str">
        <f>IF(AND(Table1[[#This Row],[Date]]&gt;=Table1[[#This Row],[Campaign Start Date]],Table1[[#This Row],[Date]]&lt;=Table1[[#This Row],[Campaign End Date]]),"During Campaign","Before Campaign")</f>
        <v>Before Campaign</v>
      </c>
    </row>
    <row r="142" spans="1:16" ht="15.75" customHeight="1" x14ac:dyDescent="0.3">
      <c r="A142" s="2" t="s">
        <v>317</v>
      </c>
      <c r="B142" s="2" t="s">
        <v>14</v>
      </c>
      <c r="C142" s="2" t="s">
        <v>318</v>
      </c>
      <c r="D142" s="2" t="s">
        <v>52</v>
      </c>
      <c r="E142" s="2" t="s">
        <v>132</v>
      </c>
      <c r="F142" s="2">
        <v>3170</v>
      </c>
      <c r="G142" s="2">
        <v>857</v>
      </c>
      <c r="H142" s="2">
        <v>379</v>
      </c>
      <c r="I142" s="2">
        <v>19020</v>
      </c>
      <c r="J142" s="2">
        <v>18559</v>
      </c>
      <c r="K142" s="2">
        <v>240</v>
      </c>
      <c r="L142" s="2" t="s">
        <v>62</v>
      </c>
      <c r="N142" s="4">
        <f>_xlfn.XLOOKUP(Table1[[#This Row],[Campaign_Name]],'Campaign Metadata'!A:A,'Campaign Metadata'!B:B,"Notfound",0)</f>
        <v>0</v>
      </c>
      <c r="O142" s="4">
        <f>_xlfn.XLOOKUP(Table1[[#This Row],[Campaign_Name]],'Campaign Metadata'!A:A,'Campaign Metadata'!C:C,"Not found",0)</f>
        <v>0</v>
      </c>
      <c r="P142" t="str">
        <f>IF(AND(Table1[[#This Row],[Date]]&gt;=Table1[[#This Row],[Campaign Start Date]],Table1[[#This Row],[Date]]&lt;=Table1[[#This Row],[Campaign End Date]]),"During Campaign","Before Campaign")</f>
        <v>Before Campaign</v>
      </c>
    </row>
    <row r="143" spans="1:16" ht="15.75" customHeight="1" x14ac:dyDescent="0.3">
      <c r="A143" s="2" t="s">
        <v>319</v>
      </c>
      <c r="B143" s="2" t="s">
        <v>27</v>
      </c>
      <c r="C143" s="2" t="s">
        <v>264</v>
      </c>
      <c r="D143" s="2" t="s">
        <v>35</v>
      </c>
      <c r="E143" s="2" t="s">
        <v>154</v>
      </c>
      <c r="F143" s="2">
        <v>2070</v>
      </c>
      <c r="G143" s="2">
        <v>275</v>
      </c>
      <c r="H143" s="2">
        <v>386</v>
      </c>
      <c r="I143" s="2">
        <v>39330</v>
      </c>
      <c r="J143" s="2">
        <v>38627</v>
      </c>
      <c r="K143" s="2">
        <v>114</v>
      </c>
      <c r="L143" s="2" t="s">
        <v>62</v>
      </c>
      <c r="M143" s="2" t="s">
        <v>38</v>
      </c>
      <c r="N143" s="4">
        <f>_xlfn.XLOOKUP(Table1[[#This Row],[Campaign_Name]],'Campaign Metadata'!A:A,'Campaign Metadata'!B:B,"Notfound",0)</f>
        <v>45717</v>
      </c>
      <c r="O143" s="4">
        <f>_xlfn.XLOOKUP(Table1[[#This Row],[Campaign_Name]],'Campaign Metadata'!A:A,'Campaign Metadata'!C:C,"Not found",0)</f>
        <v>45747</v>
      </c>
      <c r="P143" t="str">
        <f>IF(AND(Table1[[#This Row],[Date]]&gt;=Table1[[#This Row],[Campaign Start Date]],Table1[[#This Row],[Date]]&lt;=Table1[[#This Row],[Campaign End Date]]),"During Campaign","Before Campaign")</f>
        <v>Before Campaign</v>
      </c>
    </row>
    <row r="144" spans="1:16" ht="15.75" customHeight="1" x14ac:dyDescent="0.3">
      <c r="A144" s="2" t="s">
        <v>320</v>
      </c>
      <c r="B144" s="2" t="s">
        <v>27</v>
      </c>
      <c r="C144" s="2" t="s">
        <v>274</v>
      </c>
      <c r="D144" s="2" t="s">
        <v>45</v>
      </c>
      <c r="E144" s="2" t="s">
        <v>68</v>
      </c>
      <c r="F144" s="2">
        <v>80</v>
      </c>
      <c r="G144" s="2">
        <v>362</v>
      </c>
      <c r="H144" s="2">
        <v>80</v>
      </c>
      <c r="I144" s="2">
        <v>1040</v>
      </c>
      <c r="J144" s="2">
        <v>349</v>
      </c>
      <c r="K144" s="2">
        <v>117</v>
      </c>
      <c r="L144" s="2" t="s">
        <v>30</v>
      </c>
      <c r="M144" s="2" t="s">
        <v>31</v>
      </c>
      <c r="N144" s="4">
        <f>_xlfn.XLOOKUP(Table1[[#This Row],[Campaign_Name]],'Campaign Metadata'!A:A,'Campaign Metadata'!B:B,"Notfound",0)</f>
        <v>45651</v>
      </c>
      <c r="O144" s="4">
        <f>_xlfn.XLOOKUP(Table1[[#This Row],[Campaign_Name]],'Campaign Metadata'!A:A,'Campaign Metadata'!C:C,"Not found",0)</f>
        <v>45667</v>
      </c>
      <c r="P144" t="str">
        <f>IF(AND(Table1[[#This Row],[Date]]&gt;=Table1[[#This Row],[Campaign Start Date]],Table1[[#This Row],[Date]]&lt;=Table1[[#This Row],[Campaign End Date]]),"During Campaign","Before Campaign")</f>
        <v>Before Campaign</v>
      </c>
    </row>
    <row r="145" spans="1:16" ht="15.75" customHeight="1" x14ac:dyDescent="0.3">
      <c r="A145" s="2" t="s">
        <v>321</v>
      </c>
      <c r="B145" s="2" t="s">
        <v>27</v>
      </c>
      <c r="C145" s="2" t="s">
        <v>201</v>
      </c>
      <c r="D145" s="2" t="s">
        <v>35</v>
      </c>
      <c r="E145" s="2" t="s">
        <v>154</v>
      </c>
      <c r="F145" s="2">
        <v>4929</v>
      </c>
      <c r="G145" s="2">
        <v>749</v>
      </c>
      <c r="H145" s="2">
        <v>452</v>
      </c>
      <c r="I145" s="2">
        <v>93651</v>
      </c>
      <c r="J145" s="2">
        <v>92810</v>
      </c>
      <c r="K145" s="2">
        <v>66</v>
      </c>
      <c r="L145" s="2" t="s">
        <v>37</v>
      </c>
      <c r="M145" s="2" t="s">
        <v>38</v>
      </c>
      <c r="N145" s="4">
        <f>_xlfn.XLOOKUP(Table1[[#This Row],[Campaign_Name]],'Campaign Metadata'!A:A,'Campaign Metadata'!B:B,"Notfound",0)</f>
        <v>45717</v>
      </c>
      <c r="O145" s="4">
        <f>_xlfn.XLOOKUP(Table1[[#This Row],[Campaign_Name]],'Campaign Metadata'!A:A,'Campaign Metadata'!C:C,"Not found",0)</f>
        <v>45747</v>
      </c>
      <c r="P145" t="str">
        <f>IF(AND(Table1[[#This Row],[Date]]&gt;=Table1[[#This Row],[Campaign Start Date]],Table1[[#This Row],[Date]]&lt;=Table1[[#This Row],[Campaign End Date]]),"During Campaign","Before Campaign")</f>
        <v>Before Campaign</v>
      </c>
    </row>
    <row r="146" spans="1:16" ht="15.75" customHeight="1" x14ac:dyDescent="0.3">
      <c r="A146" s="2" t="s">
        <v>322</v>
      </c>
      <c r="B146" s="2" t="s">
        <v>33</v>
      </c>
      <c r="C146" s="2" t="s">
        <v>34</v>
      </c>
      <c r="D146" s="2" t="s">
        <v>45</v>
      </c>
      <c r="E146" s="2" t="s">
        <v>88</v>
      </c>
      <c r="F146" s="2">
        <v>1878</v>
      </c>
      <c r="G146" s="2">
        <v>62</v>
      </c>
      <c r="H146" s="2">
        <v>179</v>
      </c>
      <c r="I146" s="2">
        <v>37560</v>
      </c>
      <c r="J146" s="2">
        <v>36874</v>
      </c>
      <c r="K146" s="2">
        <v>142</v>
      </c>
      <c r="L146" s="2" t="s">
        <v>30</v>
      </c>
      <c r="M146" s="2" t="s">
        <v>38</v>
      </c>
      <c r="N146" s="4">
        <f>_xlfn.XLOOKUP(Table1[[#This Row],[Campaign_Name]],'Campaign Metadata'!A:A,'Campaign Metadata'!B:B,"Notfound",0)</f>
        <v>45717</v>
      </c>
      <c r="O146" s="4">
        <f>_xlfn.XLOOKUP(Table1[[#This Row],[Campaign_Name]],'Campaign Metadata'!A:A,'Campaign Metadata'!C:C,"Not found",0)</f>
        <v>45747</v>
      </c>
      <c r="P146" t="str">
        <f>IF(AND(Table1[[#This Row],[Date]]&gt;=Table1[[#This Row],[Campaign Start Date]],Table1[[#This Row],[Date]]&lt;=Table1[[#This Row],[Campaign End Date]]),"During Campaign","Before Campaign")</f>
        <v>Before Campaign</v>
      </c>
    </row>
    <row r="147" spans="1:16" ht="15.75" customHeight="1" x14ac:dyDescent="0.3">
      <c r="A147" s="2" t="s">
        <v>323</v>
      </c>
      <c r="B147" s="2" t="s">
        <v>27</v>
      </c>
      <c r="C147" s="2" t="s">
        <v>324</v>
      </c>
      <c r="D147" s="2" t="s">
        <v>16</v>
      </c>
      <c r="E147" s="2" t="s">
        <v>29</v>
      </c>
      <c r="F147" s="2">
        <v>3065</v>
      </c>
      <c r="G147" s="2">
        <v>772</v>
      </c>
      <c r="H147" s="2">
        <v>142</v>
      </c>
      <c r="I147" s="2">
        <v>18390</v>
      </c>
      <c r="J147" s="2">
        <v>17875</v>
      </c>
      <c r="K147" s="2">
        <v>200</v>
      </c>
      <c r="L147" s="2" t="s">
        <v>325</v>
      </c>
      <c r="N147" s="4">
        <f>_xlfn.XLOOKUP(Table1[[#This Row],[Campaign_Name]],'Campaign Metadata'!A:A,'Campaign Metadata'!B:B,"Notfound",0)</f>
        <v>0</v>
      </c>
      <c r="O147" s="4">
        <f>_xlfn.XLOOKUP(Table1[[#This Row],[Campaign_Name]],'Campaign Metadata'!A:A,'Campaign Metadata'!C:C,"Not found",0)</f>
        <v>0</v>
      </c>
      <c r="P147" t="str">
        <f>IF(AND(Table1[[#This Row],[Date]]&gt;=Table1[[#This Row],[Campaign Start Date]],Table1[[#This Row],[Date]]&lt;=Table1[[#This Row],[Campaign End Date]]),"During Campaign","Before Campaign")</f>
        <v>Before Campaign</v>
      </c>
    </row>
    <row r="148" spans="1:16" ht="15.75" customHeight="1" x14ac:dyDescent="0.3">
      <c r="A148" s="2" t="s">
        <v>326</v>
      </c>
      <c r="B148" s="2" t="s">
        <v>33</v>
      </c>
      <c r="C148" s="2" t="s">
        <v>168</v>
      </c>
      <c r="D148" s="2" t="s">
        <v>16</v>
      </c>
      <c r="E148" s="2" t="s">
        <v>82</v>
      </c>
      <c r="F148" s="2">
        <v>3256</v>
      </c>
      <c r="G148" s="2">
        <v>459</v>
      </c>
      <c r="H148" s="2">
        <v>266</v>
      </c>
      <c r="I148" s="2">
        <v>26048</v>
      </c>
      <c r="J148" s="2">
        <v>25529</v>
      </c>
      <c r="K148" s="2">
        <v>143</v>
      </c>
      <c r="L148" s="2" t="s">
        <v>30</v>
      </c>
      <c r="M148" s="2" t="s">
        <v>25</v>
      </c>
      <c r="N148" s="4">
        <f>_xlfn.XLOOKUP(Table1[[#This Row],[Campaign_Name]],'Campaign Metadata'!A:A,'Campaign Metadata'!B:B,"Notfound",0)</f>
        <v>45566</v>
      </c>
      <c r="O148" s="4">
        <f>_xlfn.XLOOKUP(Table1[[#This Row],[Campaign_Name]],'Campaign Metadata'!A:A,'Campaign Metadata'!C:C,"Not found",0)</f>
        <v>45596</v>
      </c>
      <c r="P148" t="str">
        <f>IF(AND(Table1[[#This Row],[Date]]&gt;=Table1[[#This Row],[Campaign Start Date]],Table1[[#This Row],[Date]]&lt;=Table1[[#This Row],[Campaign End Date]]),"During Campaign","Before Campaign")</f>
        <v>Before Campaign</v>
      </c>
    </row>
    <row r="149" spans="1:16" ht="15.75" customHeight="1" x14ac:dyDescent="0.3">
      <c r="A149" s="2" t="s">
        <v>327</v>
      </c>
      <c r="B149" s="2" t="s">
        <v>33</v>
      </c>
      <c r="C149" s="2" t="s">
        <v>170</v>
      </c>
      <c r="D149" s="2" t="s">
        <v>74</v>
      </c>
      <c r="E149" s="2" t="s">
        <v>85</v>
      </c>
      <c r="F149" s="2">
        <v>4133</v>
      </c>
      <c r="G149" s="2">
        <v>466</v>
      </c>
      <c r="H149" s="2">
        <v>327</v>
      </c>
      <c r="I149" s="2">
        <v>24798</v>
      </c>
      <c r="J149" s="2">
        <v>24620</v>
      </c>
      <c r="K149" s="2">
        <v>176</v>
      </c>
      <c r="L149" s="2" t="s">
        <v>37</v>
      </c>
      <c r="M149" s="2" t="s">
        <v>38</v>
      </c>
      <c r="N149" s="4">
        <f>_xlfn.XLOOKUP(Table1[[#This Row],[Campaign_Name]],'Campaign Metadata'!A:A,'Campaign Metadata'!B:B,"Notfound",0)</f>
        <v>45717</v>
      </c>
      <c r="O149" s="4">
        <f>_xlfn.XLOOKUP(Table1[[#This Row],[Campaign_Name]],'Campaign Metadata'!A:A,'Campaign Metadata'!C:C,"Not found",0)</f>
        <v>45747</v>
      </c>
      <c r="P149" t="str">
        <f>IF(AND(Table1[[#This Row],[Date]]&gt;=Table1[[#This Row],[Campaign Start Date]],Table1[[#This Row],[Date]]&lt;=Table1[[#This Row],[Campaign End Date]]),"During Campaign","Before Campaign")</f>
        <v>Before Campaign</v>
      </c>
    </row>
    <row r="150" spans="1:16" ht="15.75" customHeight="1" x14ac:dyDescent="0.3">
      <c r="A150" s="2" t="s">
        <v>328</v>
      </c>
      <c r="B150" s="2" t="s">
        <v>14</v>
      </c>
      <c r="C150" s="2" t="s">
        <v>329</v>
      </c>
      <c r="D150" s="2" t="s">
        <v>74</v>
      </c>
      <c r="E150" s="2" t="s">
        <v>145</v>
      </c>
      <c r="F150" s="2">
        <v>1702</v>
      </c>
      <c r="G150" s="2">
        <v>750</v>
      </c>
      <c r="H150" s="2">
        <v>179</v>
      </c>
      <c r="I150" s="2">
        <v>34040</v>
      </c>
      <c r="J150" s="2">
        <v>33174</v>
      </c>
      <c r="K150" s="2">
        <v>76</v>
      </c>
      <c r="L150" s="2" t="s">
        <v>37</v>
      </c>
      <c r="M150" s="2" t="s">
        <v>19</v>
      </c>
      <c r="N150" s="4">
        <f>_xlfn.XLOOKUP(Table1[[#This Row],[Campaign_Name]],'Campaign Metadata'!A:A,'Campaign Metadata'!B:B,"Notfound",0)</f>
        <v>45458</v>
      </c>
      <c r="O150" s="4">
        <f>_xlfn.XLOOKUP(Table1[[#This Row],[Campaign_Name]],'Campaign Metadata'!A:A,'Campaign Metadata'!C:C,"Not found",0)</f>
        <v>45488</v>
      </c>
      <c r="P150" t="str">
        <f>IF(AND(Table1[[#This Row],[Date]]&gt;=Table1[[#This Row],[Campaign Start Date]],Table1[[#This Row],[Date]]&lt;=Table1[[#This Row],[Campaign End Date]]),"During Campaign","Before Campaign")</f>
        <v>Before Campaign</v>
      </c>
    </row>
    <row r="151" spans="1:16" ht="15.75" customHeight="1" x14ac:dyDescent="0.3">
      <c r="A151" s="2" t="s">
        <v>330</v>
      </c>
      <c r="B151" s="2" t="s">
        <v>27</v>
      </c>
      <c r="C151" s="2" t="s">
        <v>331</v>
      </c>
      <c r="D151" s="2" t="s">
        <v>45</v>
      </c>
      <c r="E151" s="2" t="s">
        <v>68</v>
      </c>
      <c r="F151" s="2">
        <v>4295</v>
      </c>
      <c r="G151" s="2">
        <v>853</v>
      </c>
      <c r="H151" s="2">
        <v>325</v>
      </c>
      <c r="I151" s="2">
        <v>85900</v>
      </c>
      <c r="J151" s="2">
        <v>85788</v>
      </c>
      <c r="K151" s="2">
        <v>290</v>
      </c>
      <c r="L151" s="2" t="s">
        <v>30</v>
      </c>
      <c r="M151" s="2" t="s">
        <v>38</v>
      </c>
      <c r="N151" s="4">
        <f>_xlfn.XLOOKUP(Table1[[#This Row],[Campaign_Name]],'Campaign Metadata'!A:A,'Campaign Metadata'!B:B,"Notfound",0)</f>
        <v>45717</v>
      </c>
      <c r="O151" s="4">
        <f>_xlfn.XLOOKUP(Table1[[#This Row],[Campaign_Name]],'Campaign Metadata'!A:A,'Campaign Metadata'!C:C,"Not found",0)</f>
        <v>45747</v>
      </c>
      <c r="P151" t="str">
        <f>IF(AND(Table1[[#This Row],[Date]]&gt;=Table1[[#This Row],[Campaign Start Date]],Table1[[#This Row],[Date]]&lt;=Table1[[#This Row],[Campaign End Date]]),"During Campaign","Before Campaign")</f>
        <v>Before Campaign</v>
      </c>
    </row>
    <row r="152" spans="1:16" ht="15.75" customHeight="1" x14ac:dyDescent="0.3">
      <c r="A152" s="2" t="s">
        <v>332</v>
      </c>
      <c r="B152" s="2" t="s">
        <v>33</v>
      </c>
      <c r="C152" s="2" t="s">
        <v>186</v>
      </c>
      <c r="D152" s="2" t="s">
        <v>52</v>
      </c>
      <c r="E152" s="2" t="s">
        <v>215</v>
      </c>
      <c r="F152" s="2">
        <v>3559</v>
      </c>
      <c r="G152" s="2">
        <v>59</v>
      </c>
      <c r="H152" s="2">
        <v>289</v>
      </c>
      <c r="I152" s="2">
        <v>35590</v>
      </c>
      <c r="J152" s="2">
        <v>35105</v>
      </c>
      <c r="K152" s="2">
        <v>122</v>
      </c>
      <c r="L152" s="2" t="s">
        <v>37</v>
      </c>
      <c r="M152" s="2" t="s">
        <v>19</v>
      </c>
      <c r="N152" s="4">
        <f>_xlfn.XLOOKUP(Table1[[#This Row],[Campaign_Name]],'Campaign Metadata'!A:A,'Campaign Metadata'!B:B,"Notfound",0)</f>
        <v>45458</v>
      </c>
      <c r="O152" s="4">
        <f>_xlfn.XLOOKUP(Table1[[#This Row],[Campaign_Name]],'Campaign Metadata'!A:A,'Campaign Metadata'!C:C,"Not found",0)</f>
        <v>45488</v>
      </c>
      <c r="P152" t="str">
        <f>IF(AND(Table1[[#This Row],[Date]]&gt;=Table1[[#This Row],[Campaign Start Date]],Table1[[#This Row],[Date]]&lt;=Table1[[#This Row],[Campaign End Date]]),"During Campaign","Before Campaign")</f>
        <v>Before Campaign</v>
      </c>
    </row>
    <row r="153" spans="1:16" ht="15.75" customHeight="1" x14ac:dyDescent="0.3">
      <c r="A153" s="2" t="s">
        <v>333</v>
      </c>
      <c r="B153" s="2" t="s">
        <v>43</v>
      </c>
      <c r="C153" s="2" t="s">
        <v>334</v>
      </c>
      <c r="D153" s="2" t="s">
        <v>52</v>
      </c>
      <c r="E153" s="2" t="s">
        <v>59</v>
      </c>
      <c r="F153" s="2">
        <v>4804</v>
      </c>
      <c r="G153" s="2">
        <v>550</v>
      </c>
      <c r="H153" s="2">
        <v>270</v>
      </c>
      <c r="I153" s="2">
        <v>28824</v>
      </c>
      <c r="J153" s="2">
        <v>28370</v>
      </c>
      <c r="K153" s="2">
        <v>47</v>
      </c>
      <c r="L153" s="2" t="s">
        <v>37</v>
      </c>
      <c r="M153" s="2" t="s">
        <v>38</v>
      </c>
      <c r="N153" s="4">
        <f>_xlfn.XLOOKUP(Table1[[#This Row],[Campaign_Name]],'Campaign Metadata'!A:A,'Campaign Metadata'!B:B,"Notfound",0)</f>
        <v>45717</v>
      </c>
      <c r="O153" s="4">
        <f>_xlfn.XLOOKUP(Table1[[#This Row],[Campaign_Name]],'Campaign Metadata'!A:A,'Campaign Metadata'!C:C,"Not found",0)</f>
        <v>45747</v>
      </c>
      <c r="P153" t="str">
        <f>IF(AND(Table1[[#This Row],[Date]]&gt;=Table1[[#This Row],[Campaign Start Date]],Table1[[#This Row],[Date]]&lt;=Table1[[#This Row],[Campaign End Date]]),"During Campaign","Before Campaign")</f>
        <v>Before Campaign</v>
      </c>
    </row>
    <row r="154" spans="1:16" ht="15.75" customHeight="1" x14ac:dyDescent="0.3">
      <c r="A154" s="2" t="s">
        <v>335</v>
      </c>
      <c r="B154" s="2" t="s">
        <v>14</v>
      </c>
      <c r="C154" s="2" t="s">
        <v>336</v>
      </c>
      <c r="D154" s="2" t="s">
        <v>74</v>
      </c>
      <c r="E154" s="2" t="s">
        <v>145</v>
      </c>
      <c r="F154" s="2">
        <v>754</v>
      </c>
      <c r="G154" s="2">
        <v>197</v>
      </c>
      <c r="H154" s="2">
        <v>257</v>
      </c>
      <c r="I154" s="2">
        <v>6786</v>
      </c>
      <c r="J154" s="2">
        <v>6221</v>
      </c>
      <c r="K154" s="2">
        <v>212</v>
      </c>
      <c r="L154" s="2" t="s">
        <v>30</v>
      </c>
      <c r="M154" s="2" t="s">
        <v>31</v>
      </c>
      <c r="N154" s="4">
        <f>_xlfn.XLOOKUP(Table1[[#This Row],[Campaign_Name]],'Campaign Metadata'!A:A,'Campaign Metadata'!B:B,"Notfound",0)</f>
        <v>45651</v>
      </c>
      <c r="O154" s="4">
        <f>_xlfn.XLOOKUP(Table1[[#This Row],[Campaign_Name]],'Campaign Metadata'!A:A,'Campaign Metadata'!C:C,"Not found",0)</f>
        <v>45667</v>
      </c>
      <c r="P154" t="str">
        <f>IF(AND(Table1[[#This Row],[Date]]&gt;=Table1[[#This Row],[Campaign Start Date]],Table1[[#This Row],[Date]]&lt;=Table1[[#This Row],[Campaign End Date]]),"During Campaign","Before Campaign")</f>
        <v>Before Campaign</v>
      </c>
    </row>
    <row r="155" spans="1:16" ht="15.75" customHeight="1" x14ac:dyDescent="0.3">
      <c r="A155" s="2" t="s">
        <v>337</v>
      </c>
      <c r="B155" s="2" t="s">
        <v>33</v>
      </c>
      <c r="C155" s="2" t="s">
        <v>209</v>
      </c>
      <c r="D155" s="2" t="s">
        <v>45</v>
      </c>
      <c r="E155" s="2" t="s">
        <v>88</v>
      </c>
      <c r="F155" s="2">
        <v>985</v>
      </c>
      <c r="G155" s="2">
        <v>932</v>
      </c>
      <c r="H155" s="2">
        <v>287</v>
      </c>
      <c r="I155" s="2">
        <v>6895</v>
      </c>
      <c r="J155" s="2">
        <v>6757</v>
      </c>
      <c r="K155" s="2">
        <v>64</v>
      </c>
      <c r="L155" s="2" t="s">
        <v>62</v>
      </c>
      <c r="M155" s="2" t="s">
        <v>38</v>
      </c>
      <c r="N155" s="4">
        <f>_xlfn.XLOOKUP(Table1[[#This Row],[Campaign_Name]],'Campaign Metadata'!A:A,'Campaign Metadata'!B:B,"Notfound",0)</f>
        <v>45717</v>
      </c>
      <c r="O155" s="4">
        <f>_xlfn.XLOOKUP(Table1[[#This Row],[Campaign_Name]],'Campaign Metadata'!A:A,'Campaign Metadata'!C:C,"Not found",0)</f>
        <v>45747</v>
      </c>
      <c r="P155" t="str">
        <f>IF(AND(Table1[[#This Row],[Date]]&gt;=Table1[[#This Row],[Campaign Start Date]],Table1[[#This Row],[Date]]&lt;=Table1[[#This Row],[Campaign End Date]]),"During Campaign","Before Campaign")</f>
        <v>Before Campaign</v>
      </c>
    </row>
    <row r="156" spans="1:16" ht="15.75" customHeight="1" x14ac:dyDescent="0.3">
      <c r="A156" s="2" t="s">
        <v>338</v>
      </c>
      <c r="B156" s="2" t="s">
        <v>27</v>
      </c>
      <c r="C156" s="2" t="s">
        <v>339</v>
      </c>
      <c r="D156" s="2" t="s">
        <v>52</v>
      </c>
      <c r="E156" s="2" t="s">
        <v>53</v>
      </c>
      <c r="F156" s="2">
        <v>2283</v>
      </c>
      <c r="G156" s="2">
        <v>210</v>
      </c>
      <c r="H156" s="2">
        <v>130</v>
      </c>
      <c r="I156" s="2">
        <v>22830</v>
      </c>
      <c r="J156" s="2">
        <v>22617</v>
      </c>
      <c r="K156" s="2">
        <v>143</v>
      </c>
      <c r="L156" s="2" t="s">
        <v>62</v>
      </c>
      <c r="M156" s="2" t="s">
        <v>25</v>
      </c>
      <c r="N156" s="4">
        <f>_xlfn.XLOOKUP(Table1[[#This Row],[Campaign_Name]],'Campaign Metadata'!A:A,'Campaign Metadata'!B:B,"Notfound",0)</f>
        <v>45566</v>
      </c>
      <c r="O156" s="4">
        <f>_xlfn.XLOOKUP(Table1[[#This Row],[Campaign_Name]],'Campaign Metadata'!A:A,'Campaign Metadata'!C:C,"Not found",0)</f>
        <v>45596</v>
      </c>
      <c r="P156" t="str">
        <f>IF(AND(Table1[[#This Row],[Date]]&gt;=Table1[[#This Row],[Campaign Start Date]],Table1[[#This Row],[Date]]&lt;=Table1[[#This Row],[Campaign End Date]]),"During Campaign","Before Campaign")</f>
        <v>Before Campaign</v>
      </c>
    </row>
    <row r="157" spans="1:16" ht="15.75" customHeight="1" x14ac:dyDescent="0.3">
      <c r="A157" s="2" t="s">
        <v>340</v>
      </c>
      <c r="B157" s="2" t="s">
        <v>43</v>
      </c>
      <c r="C157" s="2" t="s">
        <v>341</v>
      </c>
      <c r="D157" s="2" t="s">
        <v>45</v>
      </c>
      <c r="E157" s="2" t="s">
        <v>46</v>
      </c>
      <c r="F157" s="2">
        <v>3352</v>
      </c>
      <c r="G157" s="2">
        <v>941</v>
      </c>
      <c r="H157" s="2">
        <v>482</v>
      </c>
      <c r="I157" s="2">
        <v>43576</v>
      </c>
      <c r="J157" s="2">
        <v>43338</v>
      </c>
      <c r="K157" s="2">
        <v>240</v>
      </c>
      <c r="L157" s="2" t="s">
        <v>62</v>
      </c>
      <c r="M157" s="2" t="s">
        <v>25</v>
      </c>
      <c r="N157" s="4">
        <f>_xlfn.XLOOKUP(Table1[[#This Row],[Campaign_Name]],'Campaign Metadata'!A:A,'Campaign Metadata'!B:B,"Notfound",0)</f>
        <v>45566</v>
      </c>
      <c r="O157" s="4">
        <f>_xlfn.XLOOKUP(Table1[[#This Row],[Campaign_Name]],'Campaign Metadata'!A:A,'Campaign Metadata'!C:C,"Not found",0)</f>
        <v>45596</v>
      </c>
      <c r="P157" t="str">
        <f>IF(AND(Table1[[#This Row],[Date]]&gt;=Table1[[#This Row],[Campaign Start Date]],Table1[[#This Row],[Date]]&lt;=Table1[[#This Row],[Campaign End Date]]),"During Campaign","Before Campaign")</f>
        <v>Before Campaign</v>
      </c>
    </row>
    <row r="158" spans="1:16" ht="15.75" customHeight="1" x14ac:dyDescent="0.3">
      <c r="A158" s="2" t="s">
        <v>342</v>
      </c>
      <c r="B158" s="2" t="s">
        <v>27</v>
      </c>
      <c r="C158" s="2" t="s">
        <v>343</v>
      </c>
      <c r="D158" s="2" t="s">
        <v>35</v>
      </c>
      <c r="E158" s="2" t="s">
        <v>154</v>
      </c>
      <c r="F158" s="2">
        <v>4775</v>
      </c>
      <c r="G158" s="2">
        <v>173</v>
      </c>
      <c r="H158" s="2">
        <v>206</v>
      </c>
      <c r="I158" s="2">
        <v>47750</v>
      </c>
      <c r="J158" s="2">
        <v>47544</v>
      </c>
      <c r="K158" s="2">
        <v>187</v>
      </c>
      <c r="L158" s="2" t="s">
        <v>62</v>
      </c>
      <c r="M158" s="2" t="s">
        <v>25</v>
      </c>
      <c r="N158" s="4">
        <f>_xlfn.XLOOKUP(Table1[[#This Row],[Campaign_Name]],'Campaign Metadata'!A:A,'Campaign Metadata'!B:B,"Notfound",0)</f>
        <v>45566</v>
      </c>
      <c r="O158" s="4">
        <f>_xlfn.XLOOKUP(Table1[[#This Row],[Campaign_Name]],'Campaign Metadata'!A:A,'Campaign Metadata'!C:C,"Not found",0)</f>
        <v>45596</v>
      </c>
      <c r="P158" t="str">
        <f>IF(AND(Table1[[#This Row],[Date]]&gt;=Table1[[#This Row],[Campaign Start Date]],Table1[[#This Row],[Date]]&lt;=Table1[[#This Row],[Campaign End Date]]),"During Campaign","Before Campaign")</f>
        <v>Before Campaign</v>
      </c>
    </row>
    <row r="159" spans="1:16" ht="15.75" customHeight="1" x14ac:dyDescent="0.3">
      <c r="A159" s="2" t="s">
        <v>344</v>
      </c>
      <c r="B159" s="2" t="s">
        <v>33</v>
      </c>
      <c r="C159" s="2" t="s">
        <v>345</v>
      </c>
      <c r="D159" s="2" t="s">
        <v>35</v>
      </c>
      <c r="E159" s="2" t="s">
        <v>36</v>
      </c>
      <c r="F159" s="2">
        <v>1762</v>
      </c>
      <c r="G159" s="2">
        <v>405</v>
      </c>
      <c r="H159" s="2">
        <v>423</v>
      </c>
      <c r="I159" s="2">
        <v>22906</v>
      </c>
      <c r="J159" s="2">
        <v>21925</v>
      </c>
      <c r="K159" s="2">
        <v>25</v>
      </c>
      <c r="L159" s="2" t="s">
        <v>30</v>
      </c>
      <c r="M159" s="2" t="s">
        <v>19</v>
      </c>
      <c r="N159" s="4">
        <f>_xlfn.XLOOKUP(Table1[[#This Row],[Campaign_Name]],'Campaign Metadata'!A:A,'Campaign Metadata'!B:B,"Notfound",0)</f>
        <v>45458</v>
      </c>
      <c r="O159" s="4">
        <f>_xlfn.XLOOKUP(Table1[[#This Row],[Campaign_Name]],'Campaign Metadata'!A:A,'Campaign Metadata'!C:C,"Not found",0)</f>
        <v>45488</v>
      </c>
      <c r="P159" t="str">
        <f>IF(AND(Table1[[#This Row],[Date]]&gt;=Table1[[#This Row],[Campaign Start Date]],Table1[[#This Row],[Date]]&lt;=Table1[[#This Row],[Campaign End Date]]),"During Campaign","Before Campaign")</f>
        <v>Before Campaign</v>
      </c>
    </row>
    <row r="160" spans="1:16" ht="15.75" customHeight="1" x14ac:dyDescent="0.3">
      <c r="A160" s="2" t="s">
        <v>346</v>
      </c>
      <c r="B160" s="2" t="s">
        <v>43</v>
      </c>
      <c r="C160" s="2" t="s">
        <v>129</v>
      </c>
      <c r="D160" s="2" t="s">
        <v>35</v>
      </c>
      <c r="E160" s="2" t="s">
        <v>71</v>
      </c>
      <c r="F160" s="2">
        <v>2120</v>
      </c>
      <c r="G160" s="2">
        <v>158</v>
      </c>
      <c r="H160" s="2">
        <v>488</v>
      </c>
      <c r="I160" s="2">
        <v>12720</v>
      </c>
      <c r="J160" s="2">
        <v>12085</v>
      </c>
      <c r="K160" s="2">
        <v>17</v>
      </c>
      <c r="L160" s="2" t="s">
        <v>62</v>
      </c>
      <c r="M160" s="2" t="s">
        <v>25</v>
      </c>
      <c r="N160" s="4">
        <f>_xlfn.XLOOKUP(Table1[[#This Row],[Campaign_Name]],'Campaign Metadata'!A:A,'Campaign Metadata'!B:B,"Notfound",0)</f>
        <v>45566</v>
      </c>
      <c r="O160" s="4">
        <f>_xlfn.XLOOKUP(Table1[[#This Row],[Campaign_Name]],'Campaign Metadata'!A:A,'Campaign Metadata'!C:C,"Not found",0)</f>
        <v>45596</v>
      </c>
      <c r="P160" t="str">
        <f>IF(AND(Table1[[#This Row],[Date]]&gt;=Table1[[#This Row],[Campaign Start Date]],Table1[[#This Row],[Date]]&lt;=Table1[[#This Row],[Campaign End Date]]),"During Campaign","Before Campaign")</f>
        <v>Before Campaign</v>
      </c>
    </row>
    <row r="161" spans="1:16" ht="15.75" customHeight="1" x14ac:dyDescent="0.3">
      <c r="A161" s="2" t="s">
        <v>347</v>
      </c>
      <c r="B161" s="2" t="s">
        <v>14</v>
      </c>
      <c r="C161" s="2" t="s">
        <v>348</v>
      </c>
      <c r="D161" s="2" t="s">
        <v>74</v>
      </c>
      <c r="E161" s="2" t="s">
        <v>145</v>
      </c>
      <c r="F161" s="2">
        <v>1082</v>
      </c>
      <c r="G161" s="2">
        <v>209</v>
      </c>
      <c r="H161" s="2">
        <v>484</v>
      </c>
      <c r="I161" s="2">
        <v>19476</v>
      </c>
      <c r="J161" s="2">
        <v>18654</v>
      </c>
      <c r="K161" s="2">
        <v>20</v>
      </c>
      <c r="L161" s="2" t="s">
        <v>30</v>
      </c>
      <c r="N161" s="4">
        <f>_xlfn.XLOOKUP(Table1[[#This Row],[Campaign_Name]],'Campaign Metadata'!A:A,'Campaign Metadata'!B:B,"Notfound",0)</f>
        <v>0</v>
      </c>
      <c r="O161" s="4">
        <f>_xlfn.XLOOKUP(Table1[[#This Row],[Campaign_Name]],'Campaign Metadata'!A:A,'Campaign Metadata'!C:C,"Not found",0)</f>
        <v>0</v>
      </c>
      <c r="P161" t="str">
        <f>IF(AND(Table1[[#This Row],[Date]]&gt;=Table1[[#This Row],[Campaign Start Date]],Table1[[#This Row],[Date]]&lt;=Table1[[#This Row],[Campaign End Date]]),"During Campaign","Before Campaign")</f>
        <v>Before Campaign</v>
      </c>
    </row>
    <row r="162" spans="1:16" ht="15.75" customHeight="1" x14ac:dyDescent="0.3">
      <c r="A162" s="2" t="s">
        <v>349</v>
      </c>
      <c r="B162" s="2" t="s">
        <v>14</v>
      </c>
      <c r="C162" s="2" t="s">
        <v>350</v>
      </c>
      <c r="D162" s="2" t="s">
        <v>22</v>
      </c>
      <c r="E162" s="2" t="s">
        <v>23</v>
      </c>
      <c r="F162" s="2">
        <v>4671</v>
      </c>
      <c r="G162" s="2">
        <v>876</v>
      </c>
      <c r="H162" s="2">
        <v>366</v>
      </c>
      <c r="I162" s="2">
        <v>51381</v>
      </c>
      <c r="J162" s="2">
        <v>50565</v>
      </c>
      <c r="K162" s="2">
        <v>245</v>
      </c>
      <c r="L162" s="2" t="s">
        <v>30</v>
      </c>
      <c r="M162" s="2" t="s">
        <v>38</v>
      </c>
      <c r="N162" s="4">
        <f>_xlfn.XLOOKUP(Table1[[#This Row],[Campaign_Name]],'Campaign Metadata'!A:A,'Campaign Metadata'!B:B,"Notfound",0)</f>
        <v>45717</v>
      </c>
      <c r="O162" s="4">
        <f>_xlfn.XLOOKUP(Table1[[#This Row],[Campaign_Name]],'Campaign Metadata'!A:A,'Campaign Metadata'!C:C,"Not found",0)</f>
        <v>45747</v>
      </c>
      <c r="P162" t="str">
        <f>IF(AND(Table1[[#This Row],[Date]]&gt;=Table1[[#This Row],[Campaign Start Date]],Table1[[#This Row],[Date]]&lt;=Table1[[#This Row],[Campaign End Date]]),"During Campaign","Before Campaign")</f>
        <v>Before Campaign</v>
      </c>
    </row>
    <row r="163" spans="1:16" ht="15.75" customHeight="1" x14ac:dyDescent="0.3">
      <c r="A163" s="2" t="s">
        <v>351</v>
      </c>
      <c r="B163" s="2" t="s">
        <v>43</v>
      </c>
      <c r="C163" s="2" t="s">
        <v>352</v>
      </c>
      <c r="D163" s="2" t="s">
        <v>35</v>
      </c>
      <c r="E163" s="2" t="s">
        <v>71</v>
      </c>
      <c r="F163" s="2">
        <v>3430</v>
      </c>
      <c r="G163" s="2">
        <v>566</v>
      </c>
      <c r="H163" s="2">
        <v>164</v>
      </c>
      <c r="I163" s="2">
        <v>48020</v>
      </c>
      <c r="J163" s="2">
        <v>47305</v>
      </c>
      <c r="K163" s="2">
        <v>120</v>
      </c>
      <c r="L163" s="2" t="s">
        <v>62</v>
      </c>
      <c r="N163" s="4">
        <f>_xlfn.XLOOKUP(Table1[[#This Row],[Campaign_Name]],'Campaign Metadata'!A:A,'Campaign Metadata'!B:B,"Notfound",0)</f>
        <v>0</v>
      </c>
      <c r="O163" s="4">
        <f>_xlfn.XLOOKUP(Table1[[#This Row],[Campaign_Name]],'Campaign Metadata'!A:A,'Campaign Metadata'!C:C,"Not found",0)</f>
        <v>0</v>
      </c>
      <c r="P163" t="str">
        <f>IF(AND(Table1[[#This Row],[Date]]&gt;=Table1[[#This Row],[Campaign Start Date]],Table1[[#This Row],[Date]]&lt;=Table1[[#This Row],[Campaign End Date]]),"During Campaign","Before Campaign")</f>
        <v>Before Campaign</v>
      </c>
    </row>
    <row r="164" spans="1:16" ht="15.75" customHeight="1" x14ac:dyDescent="0.3">
      <c r="A164" s="2" t="s">
        <v>353</v>
      </c>
      <c r="B164" s="2" t="s">
        <v>33</v>
      </c>
      <c r="C164" s="2" t="s">
        <v>354</v>
      </c>
      <c r="D164" s="2" t="s">
        <v>52</v>
      </c>
      <c r="E164" s="2" t="s">
        <v>215</v>
      </c>
      <c r="F164" s="2">
        <v>4501</v>
      </c>
      <c r="G164" s="2">
        <v>375</v>
      </c>
      <c r="H164" s="2">
        <v>323</v>
      </c>
      <c r="I164" s="2">
        <v>22505</v>
      </c>
      <c r="J164" s="2">
        <v>21836</v>
      </c>
      <c r="K164" s="2">
        <v>132</v>
      </c>
      <c r="L164" s="2" t="s">
        <v>30</v>
      </c>
      <c r="M164" s="2" t="s">
        <v>25</v>
      </c>
      <c r="N164" s="4">
        <f>_xlfn.XLOOKUP(Table1[[#This Row],[Campaign_Name]],'Campaign Metadata'!A:A,'Campaign Metadata'!B:B,"Notfound",0)</f>
        <v>45566</v>
      </c>
      <c r="O164" s="4">
        <f>_xlfn.XLOOKUP(Table1[[#This Row],[Campaign_Name]],'Campaign Metadata'!A:A,'Campaign Metadata'!C:C,"Not found",0)</f>
        <v>45596</v>
      </c>
      <c r="P164" t="str">
        <f>IF(AND(Table1[[#This Row],[Date]]&gt;=Table1[[#This Row],[Campaign Start Date]],Table1[[#This Row],[Date]]&lt;=Table1[[#This Row],[Campaign End Date]]),"During Campaign","Before Campaign")</f>
        <v>Before Campaign</v>
      </c>
    </row>
    <row r="165" spans="1:16" ht="15.75" customHeight="1" x14ac:dyDescent="0.3">
      <c r="A165" s="2" t="s">
        <v>355</v>
      </c>
      <c r="B165" s="2" t="s">
        <v>27</v>
      </c>
      <c r="C165" s="2" t="s">
        <v>92</v>
      </c>
      <c r="D165" s="2" t="s">
        <v>22</v>
      </c>
      <c r="E165" s="2" t="s">
        <v>104</v>
      </c>
      <c r="F165" s="2">
        <v>4934</v>
      </c>
      <c r="G165" s="2">
        <v>971</v>
      </c>
      <c r="H165" s="2">
        <v>156</v>
      </c>
      <c r="I165" s="2">
        <v>39472</v>
      </c>
      <c r="J165" s="2">
        <v>39025</v>
      </c>
      <c r="K165" s="2">
        <v>169</v>
      </c>
      <c r="L165" s="2" t="s">
        <v>95</v>
      </c>
      <c r="M165" s="2" t="s">
        <v>38</v>
      </c>
      <c r="N165" s="4">
        <f>_xlfn.XLOOKUP(Table1[[#This Row],[Campaign_Name]],'Campaign Metadata'!A:A,'Campaign Metadata'!B:B,"Notfound",0)</f>
        <v>45717</v>
      </c>
      <c r="O165" s="4">
        <f>_xlfn.XLOOKUP(Table1[[#This Row],[Campaign_Name]],'Campaign Metadata'!A:A,'Campaign Metadata'!C:C,"Not found",0)</f>
        <v>45747</v>
      </c>
      <c r="P165" t="str">
        <f>IF(AND(Table1[[#This Row],[Date]]&gt;=Table1[[#This Row],[Campaign Start Date]],Table1[[#This Row],[Date]]&lt;=Table1[[#This Row],[Campaign End Date]]),"During Campaign","Before Campaign")</f>
        <v>Before Campaign</v>
      </c>
    </row>
    <row r="166" spans="1:16" ht="15.75" customHeight="1" x14ac:dyDescent="0.3">
      <c r="A166" s="2" t="s">
        <v>356</v>
      </c>
      <c r="B166" s="2" t="s">
        <v>14</v>
      </c>
      <c r="C166" s="2" t="s">
        <v>237</v>
      </c>
      <c r="D166" s="2" t="s">
        <v>22</v>
      </c>
      <c r="E166" s="2" t="s">
        <v>23</v>
      </c>
      <c r="F166" s="2">
        <v>3239</v>
      </c>
      <c r="G166" s="2">
        <v>43</v>
      </c>
      <c r="H166" s="2">
        <v>211</v>
      </c>
      <c r="I166" s="2">
        <v>22673</v>
      </c>
      <c r="J166" s="2">
        <v>22171</v>
      </c>
      <c r="K166" s="2">
        <v>230</v>
      </c>
      <c r="L166" s="2" t="s">
        <v>30</v>
      </c>
      <c r="M166" s="2" t="s">
        <v>25</v>
      </c>
      <c r="N166" s="4">
        <f>_xlfn.XLOOKUP(Table1[[#This Row],[Campaign_Name]],'Campaign Metadata'!A:A,'Campaign Metadata'!B:B,"Notfound",0)</f>
        <v>45566</v>
      </c>
      <c r="O166" s="4">
        <f>_xlfn.XLOOKUP(Table1[[#This Row],[Campaign_Name]],'Campaign Metadata'!A:A,'Campaign Metadata'!C:C,"Not found",0)</f>
        <v>45596</v>
      </c>
      <c r="P166" t="str">
        <f>IF(AND(Table1[[#This Row],[Date]]&gt;=Table1[[#This Row],[Campaign Start Date]],Table1[[#This Row],[Date]]&lt;=Table1[[#This Row],[Campaign End Date]]),"During Campaign","Before Campaign")</f>
        <v>Before Campaign</v>
      </c>
    </row>
    <row r="167" spans="1:16" ht="15.75" customHeight="1" x14ac:dyDescent="0.3">
      <c r="A167" s="2" t="s">
        <v>357</v>
      </c>
      <c r="B167" s="2" t="s">
        <v>14</v>
      </c>
      <c r="C167" s="2" t="s">
        <v>70</v>
      </c>
      <c r="D167" s="2" t="s">
        <v>16</v>
      </c>
      <c r="E167" s="2" t="s">
        <v>17</v>
      </c>
      <c r="F167" s="2">
        <v>1076</v>
      </c>
      <c r="G167" s="2">
        <v>313</v>
      </c>
      <c r="H167" s="2">
        <v>306</v>
      </c>
      <c r="I167" s="2">
        <v>11836</v>
      </c>
      <c r="J167" s="2">
        <v>11596</v>
      </c>
      <c r="K167" s="2">
        <v>104</v>
      </c>
      <c r="L167" s="2" t="s">
        <v>62</v>
      </c>
      <c r="M167" s="2" t="s">
        <v>19</v>
      </c>
      <c r="N167" s="4">
        <f>_xlfn.XLOOKUP(Table1[[#This Row],[Campaign_Name]],'Campaign Metadata'!A:A,'Campaign Metadata'!B:B,"Notfound",0)</f>
        <v>45458</v>
      </c>
      <c r="O167" s="4">
        <f>_xlfn.XLOOKUP(Table1[[#This Row],[Campaign_Name]],'Campaign Metadata'!A:A,'Campaign Metadata'!C:C,"Not found",0)</f>
        <v>45488</v>
      </c>
      <c r="P167" t="str">
        <f>IF(AND(Table1[[#This Row],[Date]]&gt;=Table1[[#This Row],[Campaign Start Date]],Table1[[#This Row],[Date]]&lt;=Table1[[#This Row],[Campaign End Date]]),"During Campaign","Before Campaign")</f>
        <v>Before Campaign</v>
      </c>
    </row>
    <row r="168" spans="1:16" ht="15.75" customHeight="1" x14ac:dyDescent="0.3">
      <c r="A168" s="2" t="s">
        <v>358</v>
      </c>
      <c r="B168" s="2" t="s">
        <v>33</v>
      </c>
      <c r="C168" s="2" t="s">
        <v>307</v>
      </c>
      <c r="D168" s="2" t="s">
        <v>22</v>
      </c>
      <c r="E168" s="2" t="s">
        <v>113</v>
      </c>
      <c r="F168" s="2">
        <v>4771</v>
      </c>
      <c r="G168" s="2">
        <v>818</v>
      </c>
      <c r="H168" s="2">
        <v>56</v>
      </c>
      <c r="I168" s="2">
        <v>57252</v>
      </c>
      <c r="J168" s="2">
        <v>56378</v>
      </c>
      <c r="K168" s="2">
        <v>150</v>
      </c>
      <c r="L168" s="2" t="s">
        <v>62</v>
      </c>
      <c r="N168" s="4">
        <f>_xlfn.XLOOKUP(Table1[[#This Row],[Campaign_Name]],'Campaign Metadata'!A:A,'Campaign Metadata'!B:B,"Notfound",0)</f>
        <v>0</v>
      </c>
      <c r="O168" s="4">
        <f>_xlfn.XLOOKUP(Table1[[#This Row],[Campaign_Name]],'Campaign Metadata'!A:A,'Campaign Metadata'!C:C,"Not found",0)</f>
        <v>0</v>
      </c>
      <c r="P168" t="str">
        <f>IF(AND(Table1[[#This Row],[Date]]&gt;=Table1[[#This Row],[Campaign Start Date]],Table1[[#This Row],[Date]]&lt;=Table1[[#This Row],[Campaign End Date]]),"During Campaign","Before Campaign")</f>
        <v>Before Campaign</v>
      </c>
    </row>
    <row r="169" spans="1:16" ht="15.75" customHeight="1" x14ac:dyDescent="0.3">
      <c r="A169" s="2" t="s">
        <v>359</v>
      </c>
      <c r="B169" s="2" t="s">
        <v>43</v>
      </c>
      <c r="C169" s="2" t="s">
        <v>360</v>
      </c>
      <c r="D169" s="2" t="s">
        <v>22</v>
      </c>
      <c r="E169" s="2" t="s">
        <v>56</v>
      </c>
      <c r="F169" s="2">
        <v>2418</v>
      </c>
      <c r="G169" s="2">
        <v>754</v>
      </c>
      <c r="H169" s="2">
        <v>54</v>
      </c>
      <c r="I169" s="2">
        <v>43524</v>
      </c>
      <c r="J169" s="2">
        <v>42743</v>
      </c>
      <c r="K169" s="2">
        <v>182</v>
      </c>
      <c r="L169" s="2" t="s">
        <v>37</v>
      </c>
      <c r="M169" s="2" t="s">
        <v>19</v>
      </c>
      <c r="N169" s="4">
        <f>_xlfn.XLOOKUP(Table1[[#This Row],[Campaign_Name]],'Campaign Metadata'!A:A,'Campaign Metadata'!B:B,"Notfound",0)</f>
        <v>45458</v>
      </c>
      <c r="O169" s="4">
        <f>_xlfn.XLOOKUP(Table1[[#This Row],[Campaign_Name]],'Campaign Metadata'!A:A,'Campaign Metadata'!C:C,"Not found",0)</f>
        <v>45488</v>
      </c>
      <c r="P169" t="str">
        <f>IF(AND(Table1[[#This Row],[Date]]&gt;=Table1[[#This Row],[Campaign Start Date]],Table1[[#This Row],[Date]]&lt;=Table1[[#This Row],[Campaign End Date]]),"During Campaign","Before Campaign")</f>
        <v>Before Campaign</v>
      </c>
    </row>
    <row r="170" spans="1:16" ht="15.75" customHeight="1" x14ac:dyDescent="0.3">
      <c r="A170" s="2" t="s">
        <v>361</v>
      </c>
      <c r="B170" s="2" t="s">
        <v>27</v>
      </c>
      <c r="C170" s="2" t="s">
        <v>362</v>
      </c>
      <c r="D170" s="2" t="s">
        <v>74</v>
      </c>
      <c r="E170" s="2" t="s">
        <v>219</v>
      </c>
      <c r="F170" s="2">
        <v>3809</v>
      </c>
      <c r="G170" s="2">
        <v>273</v>
      </c>
      <c r="H170" s="2">
        <v>200</v>
      </c>
      <c r="I170" s="2">
        <v>34281</v>
      </c>
      <c r="J170" s="2">
        <v>33534</v>
      </c>
      <c r="K170" s="2">
        <v>83</v>
      </c>
      <c r="L170" s="2" t="s">
        <v>37</v>
      </c>
      <c r="M170" s="2" t="s">
        <v>19</v>
      </c>
      <c r="N170" s="4">
        <f>_xlfn.XLOOKUP(Table1[[#This Row],[Campaign_Name]],'Campaign Metadata'!A:A,'Campaign Metadata'!B:B,"Notfound",0)</f>
        <v>45458</v>
      </c>
      <c r="O170" s="4">
        <f>_xlfn.XLOOKUP(Table1[[#This Row],[Campaign_Name]],'Campaign Metadata'!A:A,'Campaign Metadata'!C:C,"Not found",0)</f>
        <v>45488</v>
      </c>
      <c r="P170" t="str">
        <f>IF(AND(Table1[[#This Row],[Date]]&gt;=Table1[[#This Row],[Campaign Start Date]],Table1[[#This Row],[Date]]&lt;=Table1[[#This Row],[Campaign End Date]]),"During Campaign","Before Campaign")</f>
        <v>Before Campaign</v>
      </c>
    </row>
    <row r="171" spans="1:16" ht="15.75" customHeight="1" x14ac:dyDescent="0.3">
      <c r="A171" s="2" t="s">
        <v>363</v>
      </c>
      <c r="B171" s="2" t="s">
        <v>14</v>
      </c>
      <c r="C171" s="2" t="s">
        <v>364</v>
      </c>
      <c r="D171" s="2" t="s">
        <v>22</v>
      </c>
      <c r="E171" s="2" t="s">
        <v>23</v>
      </c>
      <c r="F171" s="2">
        <v>3577</v>
      </c>
      <c r="G171" s="2">
        <v>596</v>
      </c>
      <c r="H171" s="2">
        <v>493</v>
      </c>
      <c r="I171" s="2">
        <v>67963</v>
      </c>
      <c r="J171" s="2">
        <v>67839</v>
      </c>
      <c r="K171" s="2">
        <v>53</v>
      </c>
      <c r="L171" s="2" t="s">
        <v>30</v>
      </c>
      <c r="M171" s="2" t="s">
        <v>31</v>
      </c>
      <c r="N171" s="4">
        <f>_xlfn.XLOOKUP(Table1[[#This Row],[Campaign_Name]],'Campaign Metadata'!A:A,'Campaign Metadata'!B:B,"Notfound",0)</f>
        <v>45651</v>
      </c>
      <c r="O171" s="4">
        <f>_xlfn.XLOOKUP(Table1[[#This Row],[Campaign_Name]],'Campaign Metadata'!A:A,'Campaign Metadata'!C:C,"Not found",0)</f>
        <v>45667</v>
      </c>
      <c r="P171" t="str">
        <f>IF(AND(Table1[[#This Row],[Date]]&gt;=Table1[[#This Row],[Campaign Start Date]],Table1[[#This Row],[Date]]&lt;=Table1[[#This Row],[Campaign End Date]]),"During Campaign","Before Campaign")</f>
        <v>Before Campaign</v>
      </c>
    </row>
    <row r="172" spans="1:16" ht="15.75" customHeight="1" x14ac:dyDescent="0.3">
      <c r="A172" s="2" t="s">
        <v>365</v>
      </c>
      <c r="B172" s="2" t="s">
        <v>27</v>
      </c>
      <c r="C172" s="2" t="s">
        <v>366</v>
      </c>
      <c r="D172" s="2" t="s">
        <v>74</v>
      </c>
      <c r="E172" s="2" t="s">
        <v>219</v>
      </c>
      <c r="F172" s="2">
        <v>1018</v>
      </c>
      <c r="G172" s="2">
        <v>447</v>
      </c>
      <c r="H172" s="2">
        <v>332</v>
      </c>
      <c r="I172" s="2">
        <v>18324</v>
      </c>
      <c r="J172" s="2">
        <v>18164</v>
      </c>
      <c r="K172" s="2">
        <v>38</v>
      </c>
      <c r="L172" s="2" t="s">
        <v>62</v>
      </c>
      <c r="M172" s="2" t="s">
        <v>25</v>
      </c>
      <c r="N172" s="4">
        <f>_xlfn.XLOOKUP(Table1[[#This Row],[Campaign_Name]],'Campaign Metadata'!A:A,'Campaign Metadata'!B:B,"Notfound",0)</f>
        <v>45566</v>
      </c>
      <c r="O172" s="4">
        <f>_xlfn.XLOOKUP(Table1[[#This Row],[Campaign_Name]],'Campaign Metadata'!A:A,'Campaign Metadata'!C:C,"Not found",0)</f>
        <v>45596</v>
      </c>
      <c r="P172" t="str">
        <f>IF(AND(Table1[[#This Row],[Date]]&gt;=Table1[[#This Row],[Campaign Start Date]],Table1[[#This Row],[Date]]&lt;=Table1[[#This Row],[Campaign End Date]]),"During Campaign","Before Campaign")</f>
        <v>Before Campaign</v>
      </c>
    </row>
    <row r="173" spans="1:16" ht="15.75" customHeight="1" x14ac:dyDescent="0.3">
      <c r="A173" s="2" t="s">
        <v>367</v>
      </c>
      <c r="B173" s="2" t="s">
        <v>43</v>
      </c>
      <c r="C173" s="2" t="s">
        <v>368</v>
      </c>
      <c r="D173" s="2" t="s">
        <v>45</v>
      </c>
      <c r="E173" s="2" t="s">
        <v>46</v>
      </c>
      <c r="F173" s="2">
        <v>3073</v>
      </c>
      <c r="G173" s="2">
        <v>553</v>
      </c>
      <c r="H173" s="2">
        <v>174</v>
      </c>
      <c r="I173" s="2">
        <v>52241</v>
      </c>
      <c r="J173" s="2">
        <v>51605</v>
      </c>
      <c r="K173" s="2">
        <v>246</v>
      </c>
      <c r="L173" s="2" t="s">
        <v>37</v>
      </c>
      <c r="M173" s="2" t="s">
        <v>31</v>
      </c>
      <c r="N173" s="4">
        <f>_xlfn.XLOOKUP(Table1[[#This Row],[Campaign_Name]],'Campaign Metadata'!A:A,'Campaign Metadata'!B:B,"Notfound",0)</f>
        <v>45651</v>
      </c>
      <c r="O173" s="4">
        <f>_xlfn.XLOOKUP(Table1[[#This Row],[Campaign_Name]],'Campaign Metadata'!A:A,'Campaign Metadata'!C:C,"Not found",0)</f>
        <v>45667</v>
      </c>
      <c r="P173" t="str">
        <f>IF(AND(Table1[[#This Row],[Date]]&gt;=Table1[[#This Row],[Campaign Start Date]],Table1[[#This Row],[Date]]&lt;=Table1[[#This Row],[Campaign End Date]]),"During Campaign","Before Campaign")</f>
        <v>Before Campaign</v>
      </c>
    </row>
    <row r="174" spans="1:16" ht="15.75" customHeight="1" x14ac:dyDescent="0.3">
      <c r="A174" s="2" t="s">
        <v>369</v>
      </c>
      <c r="B174" s="2" t="s">
        <v>14</v>
      </c>
      <c r="C174" s="2" t="s">
        <v>370</v>
      </c>
      <c r="D174" s="2" t="s">
        <v>74</v>
      </c>
      <c r="E174" s="2" t="s">
        <v>145</v>
      </c>
      <c r="F174" s="2">
        <v>1330</v>
      </c>
      <c r="G174" s="2">
        <v>925</v>
      </c>
      <c r="H174" s="2">
        <v>35</v>
      </c>
      <c r="I174" s="2">
        <v>15960</v>
      </c>
      <c r="J174" s="2">
        <v>15379</v>
      </c>
      <c r="K174" s="2">
        <v>229</v>
      </c>
      <c r="L174" s="2" t="s">
        <v>62</v>
      </c>
      <c r="M174" s="2" t="s">
        <v>31</v>
      </c>
      <c r="N174" s="4">
        <f>_xlfn.XLOOKUP(Table1[[#This Row],[Campaign_Name]],'Campaign Metadata'!A:A,'Campaign Metadata'!B:B,"Notfound",0)</f>
        <v>45651</v>
      </c>
      <c r="O174" s="4">
        <f>_xlfn.XLOOKUP(Table1[[#This Row],[Campaign_Name]],'Campaign Metadata'!A:A,'Campaign Metadata'!C:C,"Not found",0)</f>
        <v>45667</v>
      </c>
      <c r="P174" t="str">
        <f>IF(AND(Table1[[#This Row],[Date]]&gt;=Table1[[#This Row],[Campaign Start Date]],Table1[[#This Row],[Date]]&lt;=Table1[[#This Row],[Campaign End Date]]),"During Campaign","Before Campaign")</f>
        <v>Before Campaign</v>
      </c>
    </row>
    <row r="175" spans="1:16" ht="15.75" customHeight="1" x14ac:dyDescent="0.3">
      <c r="A175" s="2" t="s">
        <v>371</v>
      </c>
      <c r="B175" s="2" t="s">
        <v>43</v>
      </c>
      <c r="C175" s="2" t="s">
        <v>172</v>
      </c>
      <c r="D175" s="2" t="s">
        <v>22</v>
      </c>
      <c r="E175" s="2" t="s">
        <v>56</v>
      </c>
      <c r="F175" s="2">
        <v>3828</v>
      </c>
      <c r="G175" s="2">
        <v>148</v>
      </c>
      <c r="H175" s="2">
        <v>253</v>
      </c>
      <c r="I175" s="2">
        <v>30624</v>
      </c>
      <c r="J175" s="2">
        <v>30229</v>
      </c>
      <c r="K175" s="2">
        <v>235</v>
      </c>
      <c r="L175" s="2" t="s">
        <v>37</v>
      </c>
      <c r="N175" s="4">
        <f>_xlfn.XLOOKUP(Table1[[#This Row],[Campaign_Name]],'Campaign Metadata'!A:A,'Campaign Metadata'!B:B,"Notfound",0)</f>
        <v>0</v>
      </c>
      <c r="O175" s="4">
        <f>_xlfn.XLOOKUP(Table1[[#This Row],[Campaign_Name]],'Campaign Metadata'!A:A,'Campaign Metadata'!C:C,"Not found",0)</f>
        <v>0</v>
      </c>
      <c r="P175" t="str">
        <f>IF(AND(Table1[[#This Row],[Date]]&gt;=Table1[[#This Row],[Campaign Start Date]],Table1[[#This Row],[Date]]&lt;=Table1[[#This Row],[Campaign End Date]]),"During Campaign","Before Campaign")</f>
        <v>Before Campaign</v>
      </c>
    </row>
    <row r="176" spans="1:16" ht="15.75" customHeight="1" x14ac:dyDescent="0.3">
      <c r="A176" s="2" t="s">
        <v>372</v>
      </c>
      <c r="B176" s="2" t="s">
        <v>33</v>
      </c>
      <c r="C176" s="2" t="s">
        <v>373</v>
      </c>
      <c r="D176" s="2" t="s">
        <v>16</v>
      </c>
      <c r="E176" s="2" t="s">
        <v>82</v>
      </c>
      <c r="F176" s="2">
        <v>142</v>
      </c>
      <c r="G176" s="2">
        <v>784</v>
      </c>
      <c r="H176" s="2">
        <v>183</v>
      </c>
      <c r="I176" s="2">
        <v>1704</v>
      </c>
      <c r="J176" s="2">
        <v>995</v>
      </c>
      <c r="K176" s="2">
        <v>154</v>
      </c>
      <c r="L176" s="2" t="s">
        <v>62</v>
      </c>
      <c r="M176" s="2" t="s">
        <v>38</v>
      </c>
      <c r="N176" s="4">
        <f>_xlfn.XLOOKUP(Table1[[#This Row],[Campaign_Name]],'Campaign Metadata'!A:A,'Campaign Metadata'!B:B,"Notfound",0)</f>
        <v>45717</v>
      </c>
      <c r="O176" s="4">
        <f>_xlfn.XLOOKUP(Table1[[#This Row],[Campaign_Name]],'Campaign Metadata'!A:A,'Campaign Metadata'!C:C,"Not found",0)</f>
        <v>45747</v>
      </c>
      <c r="P176" t="str">
        <f>IF(AND(Table1[[#This Row],[Date]]&gt;=Table1[[#This Row],[Campaign Start Date]],Table1[[#This Row],[Date]]&lt;=Table1[[#This Row],[Campaign End Date]]),"During Campaign","Before Campaign")</f>
        <v>Before Campaign</v>
      </c>
    </row>
    <row r="177" spans="1:16" ht="15.75" customHeight="1" x14ac:dyDescent="0.3">
      <c r="A177" s="2" t="s">
        <v>374</v>
      </c>
      <c r="B177" s="2" t="s">
        <v>43</v>
      </c>
      <c r="C177" s="2" t="s">
        <v>375</v>
      </c>
      <c r="D177" s="2" t="s">
        <v>74</v>
      </c>
      <c r="E177" s="2" t="s">
        <v>75</v>
      </c>
      <c r="F177" s="2">
        <v>3798</v>
      </c>
      <c r="G177" s="2">
        <v>31</v>
      </c>
      <c r="H177" s="2">
        <v>279</v>
      </c>
      <c r="I177" s="2">
        <v>75960</v>
      </c>
      <c r="J177" s="2">
        <v>75813</v>
      </c>
      <c r="K177" s="2">
        <v>266</v>
      </c>
      <c r="L177" s="2" t="s">
        <v>30</v>
      </c>
      <c r="M177" s="2" t="s">
        <v>19</v>
      </c>
      <c r="N177" s="4">
        <f>_xlfn.XLOOKUP(Table1[[#This Row],[Campaign_Name]],'Campaign Metadata'!A:A,'Campaign Metadata'!B:B,"Notfound",0)</f>
        <v>45458</v>
      </c>
      <c r="O177" s="4">
        <f>_xlfn.XLOOKUP(Table1[[#This Row],[Campaign_Name]],'Campaign Metadata'!A:A,'Campaign Metadata'!C:C,"Not found",0)</f>
        <v>45488</v>
      </c>
      <c r="P177" t="str">
        <f>IF(AND(Table1[[#This Row],[Date]]&gt;=Table1[[#This Row],[Campaign Start Date]],Table1[[#This Row],[Date]]&lt;=Table1[[#This Row],[Campaign End Date]]),"During Campaign","Before Campaign")</f>
        <v>Before Campaign</v>
      </c>
    </row>
    <row r="178" spans="1:16" ht="15.75" customHeight="1" x14ac:dyDescent="0.3">
      <c r="A178" s="2" t="s">
        <v>376</v>
      </c>
      <c r="B178" s="2" t="s">
        <v>33</v>
      </c>
      <c r="C178" s="2" t="s">
        <v>377</v>
      </c>
      <c r="D178" s="2" t="s">
        <v>45</v>
      </c>
      <c r="E178" s="2" t="s">
        <v>88</v>
      </c>
      <c r="F178" s="2">
        <v>3099</v>
      </c>
      <c r="G178" s="2">
        <v>694</v>
      </c>
      <c r="H178" s="2">
        <v>171</v>
      </c>
      <c r="I178" s="2">
        <v>43386</v>
      </c>
      <c r="J178" s="2">
        <v>42921</v>
      </c>
      <c r="K178" s="2">
        <v>52</v>
      </c>
      <c r="L178" s="2" t="s">
        <v>30</v>
      </c>
      <c r="M178" s="2" t="s">
        <v>31</v>
      </c>
      <c r="N178" s="4">
        <f>_xlfn.XLOOKUP(Table1[[#This Row],[Campaign_Name]],'Campaign Metadata'!A:A,'Campaign Metadata'!B:B,"Notfound",0)</f>
        <v>45651</v>
      </c>
      <c r="O178" s="4">
        <f>_xlfn.XLOOKUP(Table1[[#This Row],[Campaign_Name]],'Campaign Metadata'!A:A,'Campaign Metadata'!C:C,"Not found",0)</f>
        <v>45667</v>
      </c>
      <c r="P178" t="str">
        <f>IF(AND(Table1[[#This Row],[Date]]&gt;=Table1[[#This Row],[Campaign Start Date]],Table1[[#This Row],[Date]]&lt;=Table1[[#This Row],[Campaign End Date]]),"During Campaign","Before Campaign")</f>
        <v>Before Campaign</v>
      </c>
    </row>
    <row r="179" spans="1:16" ht="15.75" customHeight="1" x14ac:dyDescent="0.3">
      <c r="A179" s="2" t="s">
        <v>378</v>
      </c>
      <c r="B179" s="2" t="s">
        <v>33</v>
      </c>
      <c r="C179" s="2" t="s">
        <v>205</v>
      </c>
      <c r="D179" s="2" t="s">
        <v>74</v>
      </c>
      <c r="E179" s="2" t="s">
        <v>85</v>
      </c>
      <c r="F179" s="2">
        <v>129</v>
      </c>
      <c r="G179" s="2">
        <v>643</v>
      </c>
      <c r="H179" s="2">
        <v>136</v>
      </c>
      <c r="I179" s="2">
        <v>1290</v>
      </c>
      <c r="J179" s="2">
        <v>839</v>
      </c>
      <c r="K179" s="2">
        <v>238</v>
      </c>
      <c r="L179" s="2" t="s">
        <v>30</v>
      </c>
      <c r="M179" s="2" t="s">
        <v>38</v>
      </c>
      <c r="N179" s="4">
        <f>_xlfn.XLOOKUP(Table1[[#This Row],[Campaign_Name]],'Campaign Metadata'!A:A,'Campaign Metadata'!B:B,"Notfound",0)</f>
        <v>45717</v>
      </c>
      <c r="O179" s="4">
        <f>_xlfn.XLOOKUP(Table1[[#This Row],[Campaign_Name]],'Campaign Metadata'!A:A,'Campaign Metadata'!C:C,"Not found",0)</f>
        <v>45747</v>
      </c>
      <c r="P179" t="str">
        <f>IF(AND(Table1[[#This Row],[Date]]&gt;=Table1[[#This Row],[Campaign Start Date]],Table1[[#This Row],[Date]]&lt;=Table1[[#This Row],[Campaign End Date]]),"During Campaign","Before Campaign")</f>
        <v>Before Campaign</v>
      </c>
    </row>
    <row r="180" spans="1:16" ht="15.75" customHeight="1" x14ac:dyDescent="0.3">
      <c r="A180" s="2" t="s">
        <v>379</v>
      </c>
      <c r="B180" s="2" t="s">
        <v>43</v>
      </c>
      <c r="C180" s="2" t="s">
        <v>315</v>
      </c>
      <c r="D180" s="2" t="s">
        <v>45</v>
      </c>
      <c r="E180" s="2" t="s">
        <v>46</v>
      </c>
      <c r="F180" s="2">
        <v>3796</v>
      </c>
      <c r="G180" s="2">
        <v>667</v>
      </c>
      <c r="H180" s="2">
        <v>395</v>
      </c>
      <c r="I180" s="2">
        <v>64532</v>
      </c>
      <c r="J180" s="2">
        <v>63550</v>
      </c>
      <c r="K180" s="2">
        <v>292</v>
      </c>
      <c r="L180" s="2" t="s">
        <v>30</v>
      </c>
      <c r="N180" s="4">
        <f>_xlfn.XLOOKUP(Table1[[#This Row],[Campaign_Name]],'Campaign Metadata'!A:A,'Campaign Metadata'!B:B,"Notfound",0)</f>
        <v>0</v>
      </c>
      <c r="O180" s="4">
        <f>_xlfn.XLOOKUP(Table1[[#This Row],[Campaign_Name]],'Campaign Metadata'!A:A,'Campaign Metadata'!C:C,"Not found",0)</f>
        <v>0</v>
      </c>
      <c r="P180" t="str">
        <f>IF(AND(Table1[[#This Row],[Date]]&gt;=Table1[[#This Row],[Campaign Start Date]],Table1[[#This Row],[Date]]&lt;=Table1[[#This Row],[Campaign End Date]]),"During Campaign","Before Campaign")</f>
        <v>Before Campaign</v>
      </c>
    </row>
    <row r="181" spans="1:16" ht="15.75" customHeight="1" x14ac:dyDescent="0.3">
      <c r="A181" s="2" t="s">
        <v>380</v>
      </c>
      <c r="B181" s="2" t="s">
        <v>27</v>
      </c>
      <c r="C181" s="2" t="s">
        <v>362</v>
      </c>
      <c r="D181" s="2" t="s">
        <v>22</v>
      </c>
      <c r="E181" s="2" t="s">
        <v>104</v>
      </c>
      <c r="F181" s="2">
        <v>3711</v>
      </c>
      <c r="G181" s="2">
        <v>352</v>
      </c>
      <c r="H181" s="2">
        <v>290</v>
      </c>
      <c r="I181" s="2">
        <v>48243</v>
      </c>
      <c r="J181" s="2">
        <v>47579</v>
      </c>
      <c r="K181" s="2">
        <v>11</v>
      </c>
      <c r="L181" s="2" t="s">
        <v>30</v>
      </c>
      <c r="M181" s="2" t="s">
        <v>19</v>
      </c>
      <c r="N181" s="4">
        <f>_xlfn.XLOOKUP(Table1[[#This Row],[Campaign_Name]],'Campaign Metadata'!A:A,'Campaign Metadata'!B:B,"Notfound",0)</f>
        <v>45458</v>
      </c>
      <c r="O181" s="4">
        <f>_xlfn.XLOOKUP(Table1[[#This Row],[Campaign_Name]],'Campaign Metadata'!A:A,'Campaign Metadata'!C:C,"Not found",0)</f>
        <v>45488</v>
      </c>
      <c r="P181" t="str">
        <f>IF(AND(Table1[[#This Row],[Date]]&gt;=Table1[[#This Row],[Campaign Start Date]],Table1[[#This Row],[Date]]&lt;=Table1[[#This Row],[Campaign End Date]]),"During Campaign","Before Campaign")</f>
        <v>Before Campaign</v>
      </c>
    </row>
    <row r="182" spans="1:16" ht="15.75" customHeight="1" x14ac:dyDescent="0.3">
      <c r="A182" s="2" t="s">
        <v>381</v>
      </c>
      <c r="B182" s="2" t="s">
        <v>27</v>
      </c>
      <c r="C182" s="2" t="s">
        <v>382</v>
      </c>
      <c r="D182" s="2" t="s">
        <v>52</v>
      </c>
      <c r="E182" s="2" t="s">
        <v>53</v>
      </c>
      <c r="F182" s="2">
        <v>606</v>
      </c>
      <c r="G182" s="2">
        <v>789</v>
      </c>
      <c r="H182" s="2">
        <v>470</v>
      </c>
      <c r="I182" s="2">
        <v>7878</v>
      </c>
      <c r="J182" s="2">
        <v>7389</v>
      </c>
      <c r="K182" s="2">
        <v>239</v>
      </c>
      <c r="L182" s="2" t="s">
        <v>37</v>
      </c>
      <c r="M182" s="2" t="s">
        <v>31</v>
      </c>
      <c r="N182" s="4">
        <f>_xlfn.XLOOKUP(Table1[[#This Row],[Campaign_Name]],'Campaign Metadata'!A:A,'Campaign Metadata'!B:B,"Notfound",0)</f>
        <v>45651</v>
      </c>
      <c r="O182" s="4">
        <f>_xlfn.XLOOKUP(Table1[[#This Row],[Campaign_Name]],'Campaign Metadata'!A:A,'Campaign Metadata'!C:C,"Not found",0)</f>
        <v>45667</v>
      </c>
      <c r="P182" t="str">
        <f>IF(AND(Table1[[#This Row],[Date]]&gt;=Table1[[#This Row],[Campaign Start Date]],Table1[[#This Row],[Date]]&lt;=Table1[[#This Row],[Campaign End Date]]),"During Campaign","Before Campaign")</f>
        <v>Before Campaign</v>
      </c>
    </row>
    <row r="183" spans="1:16" ht="15.75" customHeight="1" x14ac:dyDescent="0.3">
      <c r="A183" s="2" t="s">
        <v>383</v>
      </c>
      <c r="B183" s="2" t="s">
        <v>43</v>
      </c>
      <c r="C183" s="2" t="s">
        <v>115</v>
      </c>
      <c r="D183" s="2" t="s">
        <v>52</v>
      </c>
      <c r="E183" s="2" t="s">
        <v>59</v>
      </c>
      <c r="F183" s="2">
        <v>4689</v>
      </c>
      <c r="G183" s="2">
        <v>134</v>
      </c>
      <c r="H183" s="2">
        <v>403</v>
      </c>
      <c r="I183" s="2">
        <v>51579</v>
      </c>
      <c r="J183" s="2">
        <v>50924</v>
      </c>
      <c r="K183" s="2">
        <v>173</v>
      </c>
      <c r="L183" s="2" t="s">
        <v>30</v>
      </c>
      <c r="M183" s="2" t="s">
        <v>38</v>
      </c>
      <c r="N183" s="4">
        <f>_xlfn.XLOOKUP(Table1[[#This Row],[Campaign_Name]],'Campaign Metadata'!A:A,'Campaign Metadata'!B:B,"Notfound",0)</f>
        <v>45717</v>
      </c>
      <c r="O183" s="4">
        <f>_xlfn.XLOOKUP(Table1[[#This Row],[Campaign_Name]],'Campaign Metadata'!A:A,'Campaign Metadata'!C:C,"Not found",0)</f>
        <v>45747</v>
      </c>
      <c r="P183" t="str">
        <f>IF(AND(Table1[[#This Row],[Date]]&gt;=Table1[[#This Row],[Campaign Start Date]],Table1[[#This Row],[Date]]&lt;=Table1[[#This Row],[Campaign End Date]]),"During Campaign","Before Campaign")</f>
        <v>Before Campaign</v>
      </c>
    </row>
    <row r="184" spans="1:16" ht="15.75" customHeight="1" x14ac:dyDescent="0.3">
      <c r="A184" s="2" t="s">
        <v>384</v>
      </c>
      <c r="B184" s="2" t="s">
        <v>33</v>
      </c>
      <c r="C184" s="2" t="s">
        <v>385</v>
      </c>
      <c r="D184" s="2" t="s">
        <v>35</v>
      </c>
      <c r="E184" s="2" t="s">
        <v>36</v>
      </c>
      <c r="F184" s="2">
        <v>360</v>
      </c>
      <c r="G184" s="2">
        <v>590</v>
      </c>
      <c r="H184" s="2">
        <v>393</v>
      </c>
      <c r="I184" s="2">
        <v>4680</v>
      </c>
      <c r="J184" s="2">
        <v>4322</v>
      </c>
      <c r="K184" s="2">
        <v>208</v>
      </c>
      <c r="L184" s="2" t="s">
        <v>62</v>
      </c>
      <c r="M184" s="2" t="s">
        <v>25</v>
      </c>
      <c r="N184" s="4">
        <f>_xlfn.XLOOKUP(Table1[[#This Row],[Campaign_Name]],'Campaign Metadata'!A:A,'Campaign Metadata'!B:B,"Notfound",0)</f>
        <v>45566</v>
      </c>
      <c r="O184" s="4">
        <f>_xlfn.XLOOKUP(Table1[[#This Row],[Campaign_Name]],'Campaign Metadata'!A:A,'Campaign Metadata'!C:C,"Not found",0)</f>
        <v>45596</v>
      </c>
      <c r="P184" t="str">
        <f>IF(AND(Table1[[#This Row],[Date]]&gt;=Table1[[#This Row],[Campaign Start Date]],Table1[[#This Row],[Date]]&lt;=Table1[[#This Row],[Campaign End Date]]),"During Campaign","Before Campaign")</f>
        <v>Before Campaign</v>
      </c>
    </row>
    <row r="185" spans="1:16" ht="15.75" customHeight="1" x14ac:dyDescent="0.3">
      <c r="A185" s="2" t="s">
        <v>386</v>
      </c>
      <c r="B185" s="2" t="s">
        <v>14</v>
      </c>
      <c r="C185" s="2" t="s">
        <v>387</v>
      </c>
      <c r="D185" s="2" t="s">
        <v>52</v>
      </c>
      <c r="E185" s="2" t="s">
        <v>132</v>
      </c>
      <c r="F185" s="2">
        <v>3215</v>
      </c>
      <c r="G185" s="2">
        <v>960</v>
      </c>
      <c r="H185" s="2">
        <v>202</v>
      </c>
      <c r="I185" s="2">
        <v>32150</v>
      </c>
      <c r="J185" s="2">
        <v>31404</v>
      </c>
      <c r="K185" s="2">
        <v>251</v>
      </c>
      <c r="L185" s="2" t="s">
        <v>37</v>
      </c>
      <c r="M185" s="2" t="s">
        <v>19</v>
      </c>
      <c r="N185" s="4">
        <f>_xlfn.XLOOKUP(Table1[[#This Row],[Campaign_Name]],'Campaign Metadata'!A:A,'Campaign Metadata'!B:B,"Notfound",0)</f>
        <v>45458</v>
      </c>
      <c r="O185" s="4">
        <f>_xlfn.XLOOKUP(Table1[[#This Row],[Campaign_Name]],'Campaign Metadata'!A:A,'Campaign Metadata'!C:C,"Not found",0)</f>
        <v>45488</v>
      </c>
      <c r="P185" t="str">
        <f>IF(AND(Table1[[#This Row],[Date]]&gt;=Table1[[#This Row],[Campaign Start Date]],Table1[[#This Row],[Date]]&lt;=Table1[[#This Row],[Campaign End Date]]),"During Campaign","Before Campaign")</f>
        <v>Before Campaign</v>
      </c>
    </row>
    <row r="186" spans="1:16" ht="15.75" customHeight="1" x14ac:dyDescent="0.3">
      <c r="A186" s="2" t="s">
        <v>388</v>
      </c>
      <c r="B186" s="2" t="s">
        <v>33</v>
      </c>
      <c r="C186" s="2" t="s">
        <v>389</v>
      </c>
      <c r="D186" s="2" t="s">
        <v>45</v>
      </c>
      <c r="E186" s="2" t="s">
        <v>88</v>
      </c>
      <c r="F186" s="2">
        <v>4523</v>
      </c>
      <c r="G186" s="2">
        <v>61</v>
      </c>
      <c r="H186" s="2">
        <v>157</v>
      </c>
      <c r="I186" s="2">
        <v>49753</v>
      </c>
      <c r="J186" s="2">
        <v>49329</v>
      </c>
      <c r="K186" s="2">
        <v>71</v>
      </c>
      <c r="L186" s="2" t="s">
        <v>37</v>
      </c>
      <c r="N186" s="4">
        <f>_xlfn.XLOOKUP(Table1[[#This Row],[Campaign_Name]],'Campaign Metadata'!A:A,'Campaign Metadata'!B:B,"Notfound",0)</f>
        <v>0</v>
      </c>
      <c r="O186" s="4">
        <f>_xlfn.XLOOKUP(Table1[[#This Row],[Campaign_Name]],'Campaign Metadata'!A:A,'Campaign Metadata'!C:C,"Not found",0)</f>
        <v>0</v>
      </c>
      <c r="P186" t="str">
        <f>IF(AND(Table1[[#This Row],[Date]]&gt;=Table1[[#This Row],[Campaign Start Date]],Table1[[#This Row],[Date]]&lt;=Table1[[#This Row],[Campaign End Date]]),"During Campaign","Before Campaign")</f>
        <v>Before Campaign</v>
      </c>
    </row>
    <row r="187" spans="1:16" ht="15.75" customHeight="1" x14ac:dyDescent="0.3">
      <c r="A187" s="2" t="s">
        <v>390</v>
      </c>
      <c r="B187" s="2" t="s">
        <v>43</v>
      </c>
      <c r="C187" s="2" t="s">
        <v>348</v>
      </c>
      <c r="D187" s="2" t="s">
        <v>45</v>
      </c>
      <c r="E187" s="2" t="s">
        <v>46</v>
      </c>
      <c r="F187" s="2">
        <v>4292</v>
      </c>
      <c r="G187" s="2">
        <v>51</v>
      </c>
      <c r="H187" s="2">
        <v>392</v>
      </c>
      <c r="I187" s="2">
        <v>55796</v>
      </c>
      <c r="J187" s="2">
        <v>54826</v>
      </c>
      <c r="K187" s="2">
        <v>264</v>
      </c>
      <c r="L187" s="2" t="s">
        <v>37</v>
      </c>
      <c r="M187" s="2" t="s">
        <v>31</v>
      </c>
      <c r="N187" s="4">
        <f>_xlfn.XLOOKUP(Table1[[#This Row],[Campaign_Name]],'Campaign Metadata'!A:A,'Campaign Metadata'!B:B,"Notfound",0)</f>
        <v>45651</v>
      </c>
      <c r="O187" s="4">
        <f>_xlfn.XLOOKUP(Table1[[#This Row],[Campaign_Name]],'Campaign Metadata'!A:A,'Campaign Metadata'!C:C,"Not found",0)</f>
        <v>45667</v>
      </c>
      <c r="P187" t="str">
        <f>IF(AND(Table1[[#This Row],[Date]]&gt;=Table1[[#This Row],[Campaign Start Date]],Table1[[#This Row],[Date]]&lt;=Table1[[#This Row],[Campaign End Date]]),"During Campaign","Before Campaign")</f>
        <v>Before Campaign</v>
      </c>
    </row>
    <row r="188" spans="1:16" ht="15.75" customHeight="1" x14ac:dyDescent="0.3">
      <c r="A188" s="2" t="s">
        <v>391</v>
      </c>
      <c r="B188" s="2" t="s">
        <v>14</v>
      </c>
      <c r="C188" s="2" t="s">
        <v>392</v>
      </c>
      <c r="D188" s="2" t="s">
        <v>16</v>
      </c>
      <c r="E188" s="2" t="s">
        <v>17</v>
      </c>
      <c r="F188" s="2">
        <v>1644</v>
      </c>
      <c r="G188" s="2">
        <v>546</v>
      </c>
      <c r="H188" s="2">
        <v>150</v>
      </c>
      <c r="I188" s="2">
        <v>27948</v>
      </c>
      <c r="J188" s="2">
        <v>27184</v>
      </c>
      <c r="K188" s="2">
        <v>300</v>
      </c>
      <c r="L188" s="2" t="s">
        <v>37</v>
      </c>
      <c r="M188" s="2" t="s">
        <v>31</v>
      </c>
      <c r="N188" s="4">
        <f>_xlfn.XLOOKUP(Table1[[#This Row],[Campaign_Name]],'Campaign Metadata'!A:A,'Campaign Metadata'!B:B,"Notfound",0)</f>
        <v>45651</v>
      </c>
      <c r="O188" s="4">
        <f>_xlfn.XLOOKUP(Table1[[#This Row],[Campaign_Name]],'Campaign Metadata'!A:A,'Campaign Metadata'!C:C,"Not found",0)</f>
        <v>45667</v>
      </c>
      <c r="P188" t="str">
        <f>IF(AND(Table1[[#This Row],[Date]]&gt;=Table1[[#This Row],[Campaign Start Date]],Table1[[#This Row],[Date]]&lt;=Table1[[#This Row],[Campaign End Date]]),"During Campaign","Before Campaign")</f>
        <v>Before Campaign</v>
      </c>
    </row>
    <row r="189" spans="1:16" ht="15.75" customHeight="1" x14ac:dyDescent="0.3">
      <c r="A189" s="2" t="s">
        <v>393</v>
      </c>
      <c r="B189" s="2" t="s">
        <v>27</v>
      </c>
      <c r="C189" s="2" t="s">
        <v>226</v>
      </c>
      <c r="D189" s="2" t="s">
        <v>16</v>
      </c>
      <c r="E189" s="2" t="s">
        <v>29</v>
      </c>
      <c r="F189" s="2">
        <v>2728</v>
      </c>
      <c r="G189" s="2">
        <v>533</v>
      </c>
      <c r="H189" s="2">
        <v>215</v>
      </c>
      <c r="I189" s="2">
        <v>40920</v>
      </c>
      <c r="J189" s="2">
        <v>40816</v>
      </c>
      <c r="K189" s="2">
        <v>137</v>
      </c>
      <c r="L189" s="2" t="s">
        <v>62</v>
      </c>
      <c r="M189" s="2" t="s">
        <v>25</v>
      </c>
      <c r="N189" s="4">
        <f>_xlfn.XLOOKUP(Table1[[#This Row],[Campaign_Name]],'Campaign Metadata'!A:A,'Campaign Metadata'!B:B,"Notfound",0)</f>
        <v>45566</v>
      </c>
      <c r="O189" s="4">
        <f>_xlfn.XLOOKUP(Table1[[#This Row],[Campaign_Name]],'Campaign Metadata'!A:A,'Campaign Metadata'!C:C,"Not found",0)</f>
        <v>45596</v>
      </c>
      <c r="P189" t="str">
        <f>IF(AND(Table1[[#This Row],[Date]]&gt;=Table1[[#This Row],[Campaign Start Date]],Table1[[#This Row],[Date]]&lt;=Table1[[#This Row],[Campaign End Date]]),"During Campaign","Before Campaign")</f>
        <v>Before Campaign</v>
      </c>
    </row>
    <row r="190" spans="1:16" ht="15.75" customHeight="1" x14ac:dyDescent="0.3">
      <c r="A190" s="2" t="s">
        <v>394</v>
      </c>
      <c r="B190" s="2" t="s">
        <v>43</v>
      </c>
      <c r="C190" s="2" t="s">
        <v>234</v>
      </c>
      <c r="D190" s="2" t="s">
        <v>16</v>
      </c>
      <c r="E190" s="2" t="s">
        <v>65</v>
      </c>
      <c r="F190" s="2">
        <v>3360</v>
      </c>
      <c r="G190" s="2">
        <v>525</v>
      </c>
      <c r="H190" s="2">
        <v>500</v>
      </c>
      <c r="I190" s="2">
        <v>60480</v>
      </c>
      <c r="J190" s="2">
        <v>59610</v>
      </c>
      <c r="K190" s="2">
        <v>192</v>
      </c>
      <c r="L190" s="2" t="s">
        <v>30</v>
      </c>
      <c r="M190" s="2" t="s">
        <v>19</v>
      </c>
      <c r="N190" s="4">
        <f>_xlfn.XLOOKUP(Table1[[#This Row],[Campaign_Name]],'Campaign Metadata'!A:A,'Campaign Metadata'!B:B,"Notfound",0)</f>
        <v>45458</v>
      </c>
      <c r="O190" s="4">
        <f>_xlfn.XLOOKUP(Table1[[#This Row],[Campaign_Name]],'Campaign Metadata'!A:A,'Campaign Metadata'!C:C,"Not found",0)</f>
        <v>45488</v>
      </c>
      <c r="P190" t="str">
        <f>IF(AND(Table1[[#This Row],[Date]]&gt;=Table1[[#This Row],[Campaign Start Date]],Table1[[#This Row],[Date]]&lt;=Table1[[#This Row],[Campaign End Date]]),"During Campaign","Before Campaign")</f>
        <v>Before Campaign</v>
      </c>
    </row>
    <row r="191" spans="1:16" ht="15.75" customHeight="1" x14ac:dyDescent="0.3">
      <c r="A191" s="2" t="s">
        <v>395</v>
      </c>
      <c r="B191" s="2" t="s">
        <v>27</v>
      </c>
      <c r="C191" s="2" t="s">
        <v>396</v>
      </c>
      <c r="D191" s="2" t="s">
        <v>22</v>
      </c>
      <c r="E191" s="2" t="s">
        <v>104</v>
      </c>
      <c r="F191" s="2">
        <v>1963</v>
      </c>
      <c r="G191" s="2">
        <v>213</v>
      </c>
      <c r="H191" s="2">
        <v>19</v>
      </c>
      <c r="I191" s="2">
        <v>39260</v>
      </c>
      <c r="J191" s="2">
        <v>38771</v>
      </c>
      <c r="K191" s="2">
        <v>145</v>
      </c>
      <c r="L191" s="2" t="s">
        <v>62</v>
      </c>
      <c r="N191" s="4">
        <f>_xlfn.XLOOKUP(Table1[[#This Row],[Campaign_Name]],'Campaign Metadata'!A:A,'Campaign Metadata'!B:B,"Notfound",0)</f>
        <v>0</v>
      </c>
      <c r="O191" s="4">
        <f>_xlfn.XLOOKUP(Table1[[#This Row],[Campaign_Name]],'Campaign Metadata'!A:A,'Campaign Metadata'!C:C,"Not found",0)</f>
        <v>0</v>
      </c>
      <c r="P191" t="str">
        <f>IF(AND(Table1[[#This Row],[Date]]&gt;=Table1[[#This Row],[Campaign Start Date]],Table1[[#This Row],[Date]]&lt;=Table1[[#This Row],[Campaign End Date]]),"During Campaign","Before Campaign")</f>
        <v>Before Campaign</v>
      </c>
    </row>
    <row r="192" spans="1:16" ht="15.75" customHeight="1" x14ac:dyDescent="0.3">
      <c r="A192" s="2" t="s">
        <v>397</v>
      </c>
      <c r="B192" s="2" t="s">
        <v>27</v>
      </c>
      <c r="C192" s="2" t="s">
        <v>362</v>
      </c>
      <c r="D192" s="2" t="s">
        <v>35</v>
      </c>
      <c r="E192" s="2" t="s">
        <v>154</v>
      </c>
      <c r="F192" s="2">
        <v>4285</v>
      </c>
      <c r="G192" s="2">
        <v>886</v>
      </c>
      <c r="H192" s="2">
        <v>376</v>
      </c>
      <c r="I192" s="2">
        <v>55705</v>
      </c>
      <c r="J192" s="2">
        <v>55556</v>
      </c>
      <c r="K192" s="2">
        <v>51</v>
      </c>
      <c r="L192" s="2" t="s">
        <v>62</v>
      </c>
      <c r="M192" s="2" t="s">
        <v>31</v>
      </c>
      <c r="N192" s="4">
        <f>_xlfn.XLOOKUP(Table1[[#This Row],[Campaign_Name]],'Campaign Metadata'!A:A,'Campaign Metadata'!B:B,"Notfound",0)</f>
        <v>45651</v>
      </c>
      <c r="O192" s="4">
        <f>_xlfn.XLOOKUP(Table1[[#This Row],[Campaign_Name]],'Campaign Metadata'!A:A,'Campaign Metadata'!C:C,"Not found",0)</f>
        <v>45667</v>
      </c>
      <c r="P192" t="str">
        <f>IF(AND(Table1[[#This Row],[Date]]&gt;=Table1[[#This Row],[Campaign Start Date]],Table1[[#This Row],[Date]]&lt;=Table1[[#This Row],[Campaign End Date]]),"During Campaign","Before Campaign")</f>
        <v>Before Campaign</v>
      </c>
    </row>
    <row r="193" spans="1:16" ht="15.75" customHeight="1" x14ac:dyDescent="0.3">
      <c r="A193" s="2" t="s">
        <v>398</v>
      </c>
      <c r="B193" s="2" t="s">
        <v>33</v>
      </c>
      <c r="C193" s="2" t="s">
        <v>399</v>
      </c>
      <c r="D193" s="2" t="s">
        <v>74</v>
      </c>
      <c r="E193" s="2" t="s">
        <v>85</v>
      </c>
      <c r="F193" s="2">
        <v>1176</v>
      </c>
      <c r="G193" s="2">
        <v>464</v>
      </c>
      <c r="H193" s="2">
        <v>394</v>
      </c>
      <c r="I193" s="2">
        <v>14112</v>
      </c>
      <c r="J193" s="2">
        <v>13588</v>
      </c>
      <c r="K193" s="2">
        <v>272</v>
      </c>
      <c r="L193" s="2" t="s">
        <v>37</v>
      </c>
      <c r="N193" s="4">
        <f>_xlfn.XLOOKUP(Table1[[#This Row],[Campaign_Name]],'Campaign Metadata'!A:A,'Campaign Metadata'!B:B,"Notfound",0)</f>
        <v>0</v>
      </c>
      <c r="O193" s="4">
        <f>_xlfn.XLOOKUP(Table1[[#This Row],[Campaign_Name]],'Campaign Metadata'!A:A,'Campaign Metadata'!C:C,"Not found",0)</f>
        <v>0</v>
      </c>
      <c r="P193" t="str">
        <f>IF(AND(Table1[[#This Row],[Date]]&gt;=Table1[[#This Row],[Campaign Start Date]],Table1[[#This Row],[Date]]&lt;=Table1[[#This Row],[Campaign End Date]]),"During Campaign","Before Campaign")</f>
        <v>Before Campaign</v>
      </c>
    </row>
    <row r="194" spans="1:16" ht="15.75" customHeight="1" x14ac:dyDescent="0.3">
      <c r="A194" s="2" t="s">
        <v>400</v>
      </c>
      <c r="B194" s="2" t="s">
        <v>14</v>
      </c>
      <c r="C194" s="2" t="s">
        <v>401</v>
      </c>
      <c r="D194" s="2" t="s">
        <v>52</v>
      </c>
      <c r="E194" s="2" t="s">
        <v>132</v>
      </c>
      <c r="F194" s="2">
        <v>4858</v>
      </c>
      <c r="G194" s="2">
        <v>317</v>
      </c>
      <c r="H194" s="2">
        <v>129</v>
      </c>
      <c r="I194" s="2">
        <v>53438</v>
      </c>
      <c r="J194" s="2">
        <v>52687</v>
      </c>
      <c r="K194" s="2">
        <v>223</v>
      </c>
      <c r="L194" s="2" t="s">
        <v>37</v>
      </c>
      <c r="M194" s="2" t="s">
        <v>31</v>
      </c>
      <c r="N194" s="4">
        <f>_xlfn.XLOOKUP(Table1[[#This Row],[Campaign_Name]],'Campaign Metadata'!A:A,'Campaign Metadata'!B:B,"Notfound",0)</f>
        <v>45651</v>
      </c>
      <c r="O194" s="4">
        <f>_xlfn.XLOOKUP(Table1[[#This Row],[Campaign_Name]],'Campaign Metadata'!A:A,'Campaign Metadata'!C:C,"Not found",0)</f>
        <v>45667</v>
      </c>
      <c r="P194" t="str">
        <f>IF(AND(Table1[[#This Row],[Date]]&gt;=Table1[[#This Row],[Campaign Start Date]],Table1[[#This Row],[Date]]&lt;=Table1[[#This Row],[Campaign End Date]]),"During Campaign","Before Campaign")</f>
        <v>Before Campaign</v>
      </c>
    </row>
    <row r="195" spans="1:16" ht="15.75" customHeight="1" x14ac:dyDescent="0.3">
      <c r="A195" s="2" t="s">
        <v>402</v>
      </c>
      <c r="B195" s="2" t="s">
        <v>27</v>
      </c>
      <c r="C195" s="2" t="s">
        <v>274</v>
      </c>
      <c r="D195" s="2" t="s">
        <v>35</v>
      </c>
      <c r="E195" s="2" t="s">
        <v>154</v>
      </c>
      <c r="F195" s="2">
        <v>4350</v>
      </c>
      <c r="G195" s="2">
        <v>771</v>
      </c>
      <c r="H195" s="2">
        <v>7</v>
      </c>
      <c r="I195" s="2">
        <v>60900</v>
      </c>
      <c r="J195" s="2">
        <v>60592</v>
      </c>
      <c r="K195" s="2">
        <v>195</v>
      </c>
      <c r="L195" s="2" t="s">
        <v>37</v>
      </c>
      <c r="M195" s="2" t="s">
        <v>19</v>
      </c>
      <c r="N195" s="4">
        <f>_xlfn.XLOOKUP(Table1[[#This Row],[Campaign_Name]],'Campaign Metadata'!A:A,'Campaign Metadata'!B:B,"Notfound",0)</f>
        <v>45458</v>
      </c>
      <c r="O195" s="4">
        <f>_xlfn.XLOOKUP(Table1[[#This Row],[Campaign_Name]],'Campaign Metadata'!A:A,'Campaign Metadata'!C:C,"Not found",0)</f>
        <v>45488</v>
      </c>
      <c r="P195" t="str">
        <f>IF(AND(Table1[[#This Row],[Date]]&gt;=Table1[[#This Row],[Campaign Start Date]],Table1[[#This Row],[Date]]&lt;=Table1[[#This Row],[Campaign End Date]]),"During Campaign","Before Campaign")</f>
        <v>Before Campaign</v>
      </c>
    </row>
    <row r="196" spans="1:16" ht="15.75" customHeight="1" x14ac:dyDescent="0.3">
      <c r="A196" s="2" t="s">
        <v>403</v>
      </c>
      <c r="B196" s="2" t="s">
        <v>33</v>
      </c>
      <c r="C196" s="2" t="s">
        <v>404</v>
      </c>
      <c r="D196" s="2" t="s">
        <v>45</v>
      </c>
      <c r="E196" s="2" t="s">
        <v>88</v>
      </c>
      <c r="F196" s="2">
        <v>914</v>
      </c>
      <c r="G196" s="2">
        <v>464</v>
      </c>
      <c r="H196" s="2">
        <v>246</v>
      </c>
      <c r="I196" s="2">
        <v>11882</v>
      </c>
      <c r="J196" s="2">
        <v>11500</v>
      </c>
      <c r="K196" s="2">
        <v>282</v>
      </c>
      <c r="L196" s="2" t="s">
        <v>216</v>
      </c>
      <c r="M196" s="2" t="s">
        <v>38</v>
      </c>
      <c r="N196" s="4">
        <f>_xlfn.XLOOKUP(Table1[[#This Row],[Campaign_Name]],'Campaign Metadata'!A:A,'Campaign Metadata'!B:B,"Notfound",0)</f>
        <v>45717</v>
      </c>
      <c r="O196" s="4">
        <f>_xlfn.XLOOKUP(Table1[[#This Row],[Campaign_Name]],'Campaign Metadata'!A:A,'Campaign Metadata'!C:C,"Not found",0)</f>
        <v>45747</v>
      </c>
      <c r="P196" t="str">
        <f>IF(AND(Table1[[#This Row],[Date]]&gt;=Table1[[#This Row],[Campaign Start Date]],Table1[[#This Row],[Date]]&lt;=Table1[[#This Row],[Campaign End Date]]),"During Campaign","Before Campaign")</f>
        <v>Before Campaign</v>
      </c>
    </row>
    <row r="197" spans="1:16" ht="15.75" customHeight="1" x14ac:dyDescent="0.3">
      <c r="A197" s="2" t="s">
        <v>405</v>
      </c>
      <c r="B197" s="2" t="s">
        <v>33</v>
      </c>
      <c r="C197" s="2" t="s">
        <v>406</v>
      </c>
      <c r="D197" s="2" t="s">
        <v>22</v>
      </c>
      <c r="E197" s="2" t="s">
        <v>113</v>
      </c>
      <c r="F197" s="2">
        <v>1813</v>
      </c>
      <c r="G197" s="2">
        <v>623</v>
      </c>
      <c r="H197" s="2">
        <v>72</v>
      </c>
      <c r="I197" s="2">
        <v>19943</v>
      </c>
      <c r="J197" s="2">
        <v>18959</v>
      </c>
      <c r="K197" s="2">
        <v>85</v>
      </c>
      <c r="L197" s="2" t="s">
        <v>37</v>
      </c>
      <c r="M197" s="2" t="s">
        <v>31</v>
      </c>
      <c r="N197" s="4">
        <f>_xlfn.XLOOKUP(Table1[[#This Row],[Campaign_Name]],'Campaign Metadata'!A:A,'Campaign Metadata'!B:B,"Notfound",0)</f>
        <v>45651</v>
      </c>
      <c r="O197" s="4">
        <f>_xlfn.XLOOKUP(Table1[[#This Row],[Campaign_Name]],'Campaign Metadata'!A:A,'Campaign Metadata'!C:C,"Not found",0)</f>
        <v>45667</v>
      </c>
      <c r="P197" t="str">
        <f>IF(AND(Table1[[#This Row],[Date]]&gt;=Table1[[#This Row],[Campaign Start Date]],Table1[[#This Row],[Date]]&lt;=Table1[[#This Row],[Campaign End Date]]),"During Campaign","Before Campaign")</f>
        <v>Before Campaign</v>
      </c>
    </row>
    <row r="198" spans="1:16" ht="15.75" customHeight="1" x14ac:dyDescent="0.3">
      <c r="A198" s="2" t="s">
        <v>407</v>
      </c>
      <c r="B198" s="2" t="s">
        <v>14</v>
      </c>
      <c r="C198" s="2" t="s">
        <v>341</v>
      </c>
      <c r="D198" s="2" t="s">
        <v>16</v>
      </c>
      <c r="E198" s="2" t="s">
        <v>17</v>
      </c>
      <c r="F198" s="2">
        <v>4782</v>
      </c>
      <c r="G198" s="2">
        <v>721</v>
      </c>
      <c r="H198" s="2">
        <v>82</v>
      </c>
      <c r="I198" s="2">
        <v>86076</v>
      </c>
      <c r="J198" s="2">
        <v>85339</v>
      </c>
      <c r="K198" s="2">
        <v>19</v>
      </c>
      <c r="L198" s="2" t="s">
        <v>37</v>
      </c>
      <c r="M198" s="2" t="s">
        <v>19</v>
      </c>
      <c r="N198" s="4">
        <f>_xlfn.XLOOKUP(Table1[[#This Row],[Campaign_Name]],'Campaign Metadata'!A:A,'Campaign Metadata'!B:B,"Notfound",0)</f>
        <v>45458</v>
      </c>
      <c r="O198" s="4">
        <f>_xlfn.XLOOKUP(Table1[[#This Row],[Campaign_Name]],'Campaign Metadata'!A:A,'Campaign Metadata'!C:C,"Not found",0)</f>
        <v>45488</v>
      </c>
      <c r="P198" t="str">
        <f>IF(AND(Table1[[#This Row],[Date]]&gt;=Table1[[#This Row],[Campaign Start Date]],Table1[[#This Row],[Date]]&lt;=Table1[[#This Row],[Campaign End Date]]),"During Campaign","Before Campaign")</f>
        <v>Before Campaign</v>
      </c>
    </row>
    <row r="199" spans="1:16" ht="15.75" customHeight="1" x14ac:dyDescent="0.3">
      <c r="A199" s="2" t="s">
        <v>408</v>
      </c>
      <c r="B199" s="2" t="s">
        <v>14</v>
      </c>
      <c r="C199" s="2" t="s">
        <v>409</v>
      </c>
      <c r="D199" s="2" t="s">
        <v>52</v>
      </c>
      <c r="E199" s="2" t="s">
        <v>132</v>
      </c>
      <c r="F199" s="2">
        <v>1048</v>
      </c>
      <c r="G199" s="2">
        <v>374</v>
      </c>
      <c r="H199" s="2">
        <v>450</v>
      </c>
      <c r="I199" s="2">
        <v>9432</v>
      </c>
      <c r="J199" s="2">
        <v>8882</v>
      </c>
      <c r="K199" s="2">
        <v>158</v>
      </c>
      <c r="L199" s="2" t="s">
        <v>30</v>
      </c>
      <c r="M199" s="2" t="s">
        <v>31</v>
      </c>
      <c r="N199" s="4">
        <f>_xlfn.XLOOKUP(Table1[[#This Row],[Campaign_Name]],'Campaign Metadata'!A:A,'Campaign Metadata'!B:B,"Notfound",0)</f>
        <v>45651</v>
      </c>
      <c r="O199" s="4">
        <f>_xlfn.XLOOKUP(Table1[[#This Row],[Campaign_Name]],'Campaign Metadata'!A:A,'Campaign Metadata'!C:C,"Not found",0)</f>
        <v>45667</v>
      </c>
      <c r="P199" t="str">
        <f>IF(AND(Table1[[#This Row],[Date]]&gt;=Table1[[#This Row],[Campaign Start Date]],Table1[[#This Row],[Date]]&lt;=Table1[[#This Row],[Campaign End Date]]),"During Campaign","Before Campaign")</f>
        <v>Before Campaign</v>
      </c>
    </row>
    <row r="200" spans="1:16" ht="15.75" customHeight="1" x14ac:dyDescent="0.3">
      <c r="A200" s="2" t="s">
        <v>410</v>
      </c>
      <c r="B200" s="2" t="s">
        <v>27</v>
      </c>
      <c r="C200" s="2" t="s">
        <v>121</v>
      </c>
      <c r="D200" s="2" t="s">
        <v>45</v>
      </c>
      <c r="E200" s="2" t="s">
        <v>68</v>
      </c>
      <c r="F200" s="2">
        <v>2509</v>
      </c>
      <c r="G200" s="2">
        <v>324</v>
      </c>
      <c r="H200" s="2">
        <v>171</v>
      </c>
      <c r="I200" s="2">
        <v>35126</v>
      </c>
      <c r="J200" s="2">
        <v>34685</v>
      </c>
      <c r="K200" s="2">
        <v>277</v>
      </c>
      <c r="L200" s="2" t="s">
        <v>30</v>
      </c>
      <c r="M200" s="2" t="s">
        <v>25</v>
      </c>
      <c r="N200" s="4">
        <f>_xlfn.XLOOKUP(Table1[[#This Row],[Campaign_Name]],'Campaign Metadata'!A:A,'Campaign Metadata'!B:B,"Notfound",0)</f>
        <v>45566</v>
      </c>
      <c r="O200" s="4">
        <f>_xlfn.XLOOKUP(Table1[[#This Row],[Campaign_Name]],'Campaign Metadata'!A:A,'Campaign Metadata'!C:C,"Not found",0)</f>
        <v>45596</v>
      </c>
      <c r="P200" t="str">
        <f>IF(AND(Table1[[#This Row],[Date]]&gt;=Table1[[#This Row],[Campaign Start Date]],Table1[[#This Row],[Date]]&lt;=Table1[[#This Row],[Campaign End Date]]),"During Campaign","Before Campaign")</f>
        <v>Before Campaign</v>
      </c>
    </row>
    <row r="201" spans="1:16" ht="15.75" customHeight="1" x14ac:dyDescent="0.3">
      <c r="A201" s="2" t="s">
        <v>411</v>
      </c>
      <c r="B201" s="2" t="s">
        <v>43</v>
      </c>
      <c r="C201" s="2" t="s">
        <v>412</v>
      </c>
      <c r="D201" s="2" t="s">
        <v>16</v>
      </c>
      <c r="E201" s="2" t="s">
        <v>65</v>
      </c>
      <c r="F201" s="2">
        <v>3718</v>
      </c>
      <c r="G201" s="2">
        <v>385</v>
      </c>
      <c r="H201" s="2">
        <v>310</v>
      </c>
      <c r="I201" s="2">
        <v>70642</v>
      </c>
      <c r="J201" s="2">
        <v>69749</v>
      </c>
      <c r="K201" s="2">
        <v>233</v>
      </c>
      <c r="L201" s="2" t="s">
        <v>30</v>
      </c>
      <c r="M201" s="2" t="s">
        <v>25</v>
      </c>
      <c r="N201" s="4">
        <f>_xlfn.XLOOKUP(Table1[[#This Row],[Campaign_Name]],'Campaign Metadata'!A:A,'Campaign Metadata'!B:B,"Notfound",0)</f>
        <v>45566</v>
      </c>
      <c r="O201" s="4">
        <f>_xlfn.XLOOKUP(Table1[[#This Row],[Campaign_Name]],'Campaign Metadata'!A:A,'Campaign Metadata'!C:C,"Not found",0)</f>
        <v>45596</v>
      </c>
      <c r="P201" t="str">
        <f>IF(AND(Table1[[#This Row],[Date]]&gt;=Table1[[#This Row],[Campaign Start Date]],Table1[[#This Row],[Date]]&lt;=Table1[[#This Row],[Campaign End Date]]),"During Campaign","Before Campaign")</f>
        <v>Before Campaign</v>
      </c>
    </row>
    <row r="202" spans="1:16" ht="15.75" customHeight="1" x14ac:dyDescent="0.3">
      <c r="A202" s="2" t="s">
        <v>413</v>
      </c>
      <c r="B202" s="2" t="s">
        <v>14</v>
      </c>
      <c r="C202" s="2" t="s">
        <v>414</v>
      </c>
      <c r="D202" s="2" t="s">
        <v>16</v>
      </c>
      <c r="E202" s="2" t="s">
        <v>17</v>
      </c>
      <c r="F202" s="2">
        <v>802</v>
      </c>
      <c r="G202" s="2">
        <v>262</v>
      </c>
      <c r="H202" s="2">
        <v>244</v>
      </c>
      <c r="I202" s="2">
        <v>14436</v>
      </c>
      <c r="J202" s="2">
        <v>14280</v>
      </c>
      <c r="K202" s="2">
        <v>49</v>
      </c>
      <c r="L202" s="2" t="s">
        <v>37</v>
      </c>
      <c r="M202" s="2" t="s">
        <v>19</v>
      </c>
      <c r="N202" s="4">
        <f>_xlfn.XLOOKUP(Table1[[#This Row],[Campaign_Name]],'Campaign Metadata'!A:A,'Campaign Metadata'!B:B,"Notfound",0)</f>
        <v>45458</v>
      </c>
      <c r="O202" s="4">
        <f>_xlfn.XLOOKUP(Table1[[#This Row],[Campaign_Name]],'Campaign Metadata'!A:A,'Campaign Metadata'!C:C,"Not found",0)</f>
        <v>45488</v>
      </c>
      <c r="P202" t="str">
        <f>IF(AND(Table1[[#This Row],[Date]]&gt;=Table1[[#This Row],[Campaign Start Date]],Table1[[#This Row],[Date]]&lt;=Table1[[#This Row],[Campaign End Date]]),"During Campaign","Before Campaign")</f>
        <v>Before Campaign</v>
      </c>
    </row>
    <row r="203" spans="1:16" ht="15.75" customHeight="1" x14ac:dyDescent="0.3">
      <c r="A203" s="2" t="s">
        <v>415</v>
      </c>
      <c r="B203" s="2" t="s">
        <v>43</v>
      </c>
      <c r="C203" s="2" t="s">
        <v>416</v>
      </c>
      <c r="D203" s="2" t="s">
        <v>52</v>
      </c>
      <c r="E203" s="2" t="s">
        <v>59</v>
      </c>
      <c r="F203" s="2">
        <v>1871</v>
      </c>
      <c r="G203" s="2">
        <v>252</v>
      </c>
      <c r="H203" s="2">
        <v>335</v>
      </c>
      <c r="I203" s="2">
        <v>29936</v>
      </c>
      <c r="J203" s="2">
        <v>29576</v>
      </c>
      <c r="K203" s="2">
        <v>288</v>
      </c>
      <c r="L203" s="2" t="s">
        <v>37</v>
      </c>
      <c r="M203" s="2" t="s">
        <v>31</v>
      </c>
      <c r="N203" s="4">
        <f>_xlfn.XLOOKUP(Table1[[#This Row],[Campaign_Name]],'Campaign Metadata'!A:A,'Campaign Metadata'!B:B,"Notfound",0)</f>
        <v>45651</v>
      </c>
      <c r="O203" s="4">
        <f>_xlfn.XLOOKUP(Table1[[#This Row],[Campaign_Name]],'Campaign Metadata'!A:A,'Campaign Metadata'!C:C,"Not found",0)</f>
        <v>45667</v>
      </c>
      <c r="P203" t="str">
        <f>IF(AND(Table1[[#This Row],[Date]]&gt;=Table1[[#This Row],[Campaign Start Date]],Table1[[#This Row],[Date]]&lt;=Table1[[#This Row],[Campaign End Date]]),"During Campaign","Before Campaign")</f>
        <v>Before Campaign</v>
      </c>
    </row>
    <row r="204" spans="1:16" ht="15.75" customHeight="1" x14ac:dyDescent="0.3">
      <c r="A204" s="2" t="s">
        <v>417</v>
      </c>
      <c r="B204" s="2" t="s">
        <v>33</v>
      </c>
      <c r="C204" s="2" t="s">
        <v>418</v>
      </c>
      <c r="D204" s="2" t="s">
        <v>45</v>
      </c>
      <c r="E204" s="2" t="s">
        <v>88</v>
      </c>
      <c r="F204" s="2">
        <v>3773</v>
      </c>
      <c r="G204" s="2">
        <v>299</v>
      </c>
      <c r="H204" s="2">
        <v>38</v>
      </c>
      <c r="I204" s="2">
        <v>71687</v>
      </c>
      <c r="J204" s="2">
        <v>71447</v>
      </c>
      <c r="K204" s="2">
        <v>286</v>
      </c>
      <c r="L204" s="2" t="s">
        <v>62</v>
      </c>
      <c r="M204" s="2" t="s">
        <v>19</v>
      </c>
      <c r="N204" s="4">
        <f>_xlfn.XLOOKUP(Table1[[#This Row],[Campaign_Name]],'Campaign Metadata'!A:A,'Campaign Metadata'!B:B,"Notfound",0)</f>
        <v>45458</v>
      </c>
      <c r="O204" s="4">
        <f>_xlfn.XLOOKUP(Table1[[#This Row],[Campaign_Name]],'Campaign Metadata'!A:A,'Campaign Metadata'!C:C,"Not found",0)</f>
        <v>45488</v>
      </c>
      <c r="P204" t="str">
        <f>IF(AND(Table1[[#This Row],[Date]]&gt;=Table1[[#This Row],[Campaign Start Date]],Table1[[#This Row],[Date]]&lt;=Table1[[#This Row],[Campaign End Date]]),"During Campaign","Before Campaign")</f>
        <v>Before Campaign</v>
      </c>
    </row>
    <row r="205" spans="1:16" ht="15.75" customHeight="1" x14ac:dyDescent="0.3">
      <c r="A205" s="2" t="s">
        <v>419</v>
      </c>
      <c r="B205" s="2" t="s">
        <v>33</v>
      </c>
      <c r="C205" s="2" t="s">
        <v>336</v>
      </c>
      <c r="D205" s="2" t="s">
        <v>45</v>
      </c>
      <c r="E205" s="2" t="s">
        <v>88</v>
      </c>
      <c r="F205" s="2">
        <v>2234</v>
      </c>
      <c r="G205" s="2">
        <v>653</v>
      </c>
      <c r="H205" s="2">
        <v>432</v>
      </c>
      <c r="I205" s="2">
        <v>11170</v>
      </c>
      <c r="J205" s="2">
        <v>10569</v>
      </c>
      <c r="K205" s="2">
        <v>198</v>
      </c>
      <c r="L205" s="2" t="s">
        <v>62</v>
      </c>
      <c r="M205" s="2" t="s">
        <v>31</v>
      </c>
      <c r="N205" s="4">
        <f>_xlfn.XLOOKUP(Table1[[#This Row],[Campaign_Name]],'Campaign Metadata'!A:A,'Campaign Metadata'!B:B,"Notfound",0)</f>
        <v>45651</v>
      </c>
      <c r="O205" s="4">
        <f>_xlfn.XLOOKUP(Table1[[#This Row],[Campaign_Name]],'Campaign Metadata'!A:A,'Campaign Metadata'!C:C,"Not found",0)</f>
        <v>45667</v>
      </c>
      <c r="P205" t="str">
        <f>IF(AND(Table1[[#This Row],[Date]]&gt;=Table1[[#This Row],[Campaign Start Date]],Table1[[#This Row],[Date]]&lt;=Table1[[#This Row],[Campaign End Date]]),"During Campaign","Before Campaign")</f>
        <v>Before Campaign</v>
      </c>
    </row>
    <row r="206" spans="1:16" ht="15.75" customHeight="1" x14ac:dyDescent="0.3">
      <c r="A206" s="2" t="s">
        <v>420</v>
      </c>
      <c r="B206" s="2" t="s">
        <v>14</v>
      </c>
      <c r="C206" s="2" t="s">
        <v>305</v>
      </c>
      <c r="D206" s="2" t="s">
        <v>74</v>
      </c>
      <c r="E206" s="2" t="s">
        <v>145</v>
      </c>
      <c r="F206" s="2">
        <v>3820</v>
      </c>
      <c r="G206" s="2">
        <v>697</v>
      </c>
      <c r="H206" s="2">
        <v>268</v>
      </c>
      <c r="I206" s="2">
        <v>45840</v>
      </c>
      <c r="J206" s="2">
        <v>45631</v>
      </c>
      <c r="K206" s="2">
        <v>171</v>
      </c>
      <c r="L206" s="2" t="s">
        <v>421</v>
      </c>
      <c r="M206" s="2" t="s">
        <v>38</v>
      </c>
      <c r="N206" s="4">
        <f>_xlfn.XLOOKUP(Table1[[#This Row],[Campaign_Name]],'Campaign Metadata'!A:A,'Campaign Metadata'!B:B,"Notfound",0)</f>
        <v>45717</v>
      </c>
      <c r="O206" s="4">
        <f>_xlfn.XLOOKUP(Table1[[#This Row],[Campaign_Name]],'Campaign Metadata'!A:A,'Campaign Metadata'!C:C,"Not found",0)</f>
        <v>45747</v>
      </c>
      <c r="P206" t="str">
        <f>IF(AND(Table1[[#This Row],[Date]]&gt;=Table1[[#This Row],[Campaign Start Date]],Table1[[#This Row],[Date]]&lt;=Table1[[#This Row],[Campaign End Date]]),"During Campaign","Before Campaign")</f>
        <v>Before Campaign</v>
      </c>
    </row>
    <row r="207" spans="1:16" ht="15.75" customHeight="1" x14ac:dyDescent="0.3">
      <c r="A207" s="2" t="s">
        <v>422</v>
      </c>
      <c r="B207" s="2" t="s">
        <v>14</v>
      </c>
      <c r="C207" s="2" t="s">
        <v>48</v>
      </c>
      <c r="D207" s="2" t="s">
        <v>22</v>
      </c>
      <c r="E207" s="2" t="s">
        <v>23</v>
      </c>
      <c r="F207" s="2">
        <v>941</v>
      </c>
      <c r="G207" s="2">
        <v>121</v>
      </c>
      <c r="H207" s="2">
        <v>458</v>
      </c>
      <c r="I207" s="2">
        <v>14115</v>
      </c>
      <c r="J207" s="2">
        <v>13838</v>
      </c>
      <c r="K207" s="2">
        <v>87</v>
      </c>
      <c r="L207" s="2" t="s">
        <v>37</v>
      </c>
      <c r="M207" s="2" t="s">
        <v>19</v>
      </c>
      <c r="N207" s="4">
        <f>_xlfn.XLOOKUP(Table1[[#This Row],[Campaign_Name]],'Campaign Metadata'!A:A,'Campaign Metadata'!B:B,"Notfound",0)</f>
        <v>45458</v>
      </c>
      <c r="O207" s="4">
        <f>_xlfn.XLOOKUP(Table1[[#This Row],[Campaign_Name]],'Campaign Metadata'!A:A,'Campaign Metadata'!C:C,"Not found",0)</f>
        <v>45488</v>
      </c>
      <c r="P207" t="str">
        <f>IF(AND(Table1[[#This Row],[Date]]&gt;=Table1[[#This Row],[Campaign Start Date]],Table1[[#This Row],[Date]]&lt;=Table1[[#This Row],[Campaign End Date]]),"During Campaign","Before Campaign")</f>
        <v>Before Campaign</v>
      </c>
    </row>
    <row r="208" spans="1:16" ht="15.75" customHeight="1" x14ac:dyDescent="0.3">
      <c r="A208" s="2" t="s">
        <v>423</v>
      </c>
      <c r="B208" s="2" t="s">
        <v>14</v>
      </c>
      <c r="C208" s="2" t="s">
        <v>424</v>
      </c>
      <c r="D208" s="2" t="s">
        <v>45</v>
      </c>
      <c r="E208" s="2" t="s">
        <v>49</v>
      </c>
      <c r="F208" s="2">
        <v>4274</v>
      </c>
      <c r="G208" s="2">
        <v>340</v>
      </c>
      <c r="H208" s="2">
        <v>281</v>
      </c>
      <c r="I208" s="2">
        <v>34192</v>
      </c>
      <c r="J208" s="2">
        <v>33446</v>
      </c>
      <c r="K208" s="2">
        <v>129</v>
      </c>
      <c r="L208" s="2" t="s">
        <v>421</v>
      </c>
      <c r="M208" s="2" t="s">
        <v>31</v>
      </c>
      <c r="N208" s="4">
        <f>_xlfn.XLOOKUP(Table1[[#This Row],[Campaign_Name]],'Campaign Metadata'!A:A,'Campaign Metadata'!B:B,"Notfound",0)</f>
        <v>45651</v>
      </c>
      <c r="O208" s="4">
        <f>_xlfn.XLOOKUP(Table1[[#This Row],[Campaign_Name]],'Campaign Metadata'!A:A,'Campaign Metadata'!C:C,"Not found",0)</f>
        <v>45667</v>
      </c>
      <c r="P208" t="str">
        <f>IF(AND(Table1[[#This Row],[Date]]&gt;=Table1[[#This Row],[Campaign Start Date]],Table1[[#This Row],[Date]]&lt;=Table1[[#This Row],[Campaign End Date]]),"During Campaign","Before Campaign")</f>
        <v>Before Campaign</v>
      </c>
    </row>
    <row r="209" spans="1:16" ht="15.75" customHeight="1" x14ac:dyDescent="0.3">
      <c r="A209" s="2" t="s">
        <v>425</v>
      </c>
      <c r="B209" s="2" t="s">
        <v>27</v>
      </c>
      <c r="C209" s="2" t="s">
        <v>48</v>
      </c>
      <c r="D209" s="2" t="s">
        <v>74</v>
      </c>
      <c r="E209" s="2" t="s">
        <v>219</v>
      </c>
      <c r="F209" s="2">
        <v>2949</v>
      </c>
      <c r="G209" s="2">
        <v>476</v>
      </c>
      <c r="H209" s="2">
        <v>403</v>
      </c>
      <c r="I209" s="2">
        <v>44235</v>
      </c>
      <c r="J209" s="2">
        <v>43705</v>
      </c>
      <c r="K209" s="2">
        <v>135</v>
      </c>
      <c r="L209" s="2" t="s">
        <v>30</v>
      </c>
      <c r="M209" s="2" t="s">
        <v>25</v>
      </c>
      <c r="N209" s="4">
        <f>_xlfn.XLOOKUP(Table1[[#This Row],[Campaign_Name]],'Campaign Metadata'!A:A,'Campaign Metadata'!B:B,"Notfound",0)</f>
        <v>45566</v>
      </c>
      <c r="O209" s="4">
        <f>_xlfn.XLOOKUP(Table1[[#This Row],[Campaign_Name]],'Campaign Metadata'!A:A,'Campaign Metadata'!C:C,"Not found",0)</f>
        <v>45596</v>
      </c>
      <c r="P209" t="str">
        <f>IF(AND(Table1[[#This Row],[Date]]&gt;=Table1[[#This Row],[Campaign Start Date]],Table1[[#This Row],[Date]]&lt;=Table1[[#This Row],[Campaign End Date]]),"During Campaign","Before Campaign")</f>
        <v>Before Campaign</v>
      </c>
    </row>
    <row r="210" spans="1:16" ht="15.75" customHeight="1" x14ac:dyDescent="0.3">
      <c r="A210" s="2" t="s">
        <v>426</v>
      </c>
      <c r="B210" s="2" t="s">
        <v>14</v>
      </c>
      <c r="C210" s="2" t="s">
        <v>427</v>
      </c>
      <c r="D210" s="2" t="s">
        <v>74</v>
      </c>
      <c r="E210" s="2" t="s">
        <v>145</v>
      </c>
      <c r="F210" s="2">
        <v>3160</v>
      </c>
      <c r="G210" s="2">
        <v>204</v>
      </c>
      <c r="H210" s="2">
        <v>297</v>
      </c>
      <c r="I210" s="2">
        <v>44240</v>
      </c>
      <c r="J210" s="2">
        <v>43666</v>
      </c>
      <c r="K210" s="2">
        <v>49</v>
      </c>
      <c r="L210" s="2" t="s">
        <v>18</v>
      </c>
      <c r="M210" s="2" t="s">
        <v>38</v>
      </c>
      <c r="N210" s="4">
        <f>_xlfn.XLOOKUP(Table1[[#This Row],[Campaign_Name]],'Campaign Metadata'!A:A,'Campaign Metadata'!B:B,"Notfound",0)</f>
        <v>45717</v>
      </c>
      <c r="O210" s="4">
        <f>_xlfn.XLOOKUP(Table1[[#This Row],[Campaign_Name]],'Campaign Metadata'!A:A,'Campaign Metadata'!C:C,"Not found",0)</f>
        <v>45747</v>
      </c>
      <c r="P210" t="str">
        <f>IF(AND(Table1[[#This Row],[Date]]&gt;=Table1[[#This Row],[Campaign Start Date]],Table1[[#This Row],[Date]]&lt;=Table1[[#This Row],[Campaign End Date]]),"During Campaign","Before Campaign")</f>
        <v>Before Campaign</v>
      </c>
    </row>
    <row r="211" spans="1:16" ht="15.75" customHeight="1" x14ac:dyDescent="0.3">
      <c r="A211" s="2" t="s">
        <v>428</v>
      </c>
      <c r="B211" s="2" t="s">
        <v>27</v>
      </c>
      <c r="C211" s="2" t="s">
        <v>350</v>
      </c>
      <c r="D211" s="2" t="s">
        <v>52</v>
      </c>
      <c r="E211" s="2" t="s">
        <v>53</v>
      </c>
      <c r="F211" s="2">
        <v>257</v>
      </c>
      <c r="G211" s="2">
        <v>966</v>
      </c>
      <c r="H211" s="2">
        <v>398</v>
      </c>
      <c r="I211" s="2">
        <v>3341</v>
      </c>
      <c r="J211" s="2">
        <v>2753</v>
      </c>
      <c r="K211" s="2">
        <v>287</v>
      </c>
      <c r="L211" s="2" t="s">
        <v>62</v>
      </c>
      <c r="M211" s="2" t="s">
        <v>19</v>
      </c>
      <c r="N211" s="4">
        <f>_xlfn.XLOOKUP(Table1[[#This Row],[Campaign_Name]],'Campaign Metadata'!A:A,'Campaign Metadata'!B:B,"Notfound",0)</f>
        <v>45458</v>
      </c>
      <c r="O211" s="4">
        <f>_xlfn.XLOOKUP(Table1[[#This Row],[Campaign_Name]],'Campaign Metadata'!A:A,'Campaign Metadata'!C:C,"Not found",0)</f>
        <v>45488</v>
      </c>
      <c r="P211" t="str">
        <f>IF(AND(Table1[[#This Row],[Date]]&gt;=Table1[[#This Row],[Campaign Start Date]],Table1[[#This Row],[Date]]&lt;=Table1[[#This Row],[Campaign End Date]]),"During Campaign","Before Campaign")</f>
        <v>Before Campaign</v>
      </c>
    </row>
    <row r="212" spans="1:16" ht="15.75" customHeight="1" x14ac:dyDescent="0.3">
      <c r="A212" s="2" t="s">
        <v>429</v>
      </c>
      <c r="B212" s="2" t="s">
        <v>14</v>
      </c>
      <c r="C212" s="2" t="s">
        <v>430</v>
      </c>
      <c r="D212" s="2" t="s">
        <v>45</v>
      </c>
      <c r="E212" s="2" t="s">
        <v>49</v>
      </c>
      <c r="F212" s="2">
        <v>2120</v>
      </c>
      <c r="G212" s="2">
        <v>38</v>
      </c>
      <c r="H212" s="2">
        <v>212</v>
      </c>
      <c r="I212" s="2">
        <v>12720</v>
      </c>
      <c r="J212" s="2">
        <v>12564</v>
      </c>
      <c r="K212" s="2">
        <v>21</v>
      </c>
      <c r="L212" s="2" t="s">
        <v>62</v>
      </c>
      <c r="M212" s="2" t="s">
        <v>38</v>
      </c>
      <c r="N212" s="4">
        <f>_xlfn.XLOOKUP(Table1[[#This Row],[Campaign_Name]],'Campaign Metadata'!A:A,'Campaign Metadata'!B:B,"Notfound",0)</f>
        <v>45717</v>
      </c>
      <c r="O212" s="4">
        <f>_xlfn.XLOOKUP(Table1[[#This Row],[Campaign_Name]],'Campaign Metadata'!A:A,'Campaign Metadata'!C:C,"Not found",0)</f>
        <v>45747</v>
      </c>
      <c r="P212" t="str">
        <f>IF(AND(Table1[[#This Row],[Date]]&gt;=Table1[[#This Row],[Campaign Start Date]],Table1[[#This Row],[Date]]&lt;=Table1[[#This Row],[Campaign End Date]]),"During Campaign","Before Campaign")</f>
        <v>Before Campaign</v>
      </c>
    </row>
    <row r="213" spans="1:16" ht="15.75" customHeight="1" x14ac:dyDescent="0.3">
      <c r="A213" s="2" t="s">
        <v>431</v>
      </c>
      <c r="B213" s="2" t="s">
        <v>27</v>
      </c>
      <c r="C213" s="2" t="s">
        <v>197</v>
      </c>
      <c r="D213" s="2" t="s">
        <v>74</v>
      </c>
      <c r="E213" s="2" t="s">
        <v>219</v>
      </c>
      <c r="F213" s="2">
        <v>3874</v>
      </c>
      <c r="G213" s="2">
        <v>884</v>
      </c>
      <c r="H213" s="2">
        <v>19</v>
      </c>
      <c r="I213" s="2">
        <v>38740</v>
      </c>
      <c r="J213" s="2">
        <v>38552</v>
      </c>
      <c r="K213" s="2">
        <v>219</v>
      </c>
      <c r="L213" s="2" t="s">
        <v>30</v>
      </c>
      <c r="M213" s="2" t="s">
        <v>25</v>
      </c>
      <c r="N213" s="4">
        <f>_xlfn.XLOOKUP(Table1[[#This Row],[Campaign_Name]],'Campaign Metadata'!A:A,'Campaign Metadata'!B:B,"Notfound",0)</f>
        <v>45566</v>
      </c>
      <c r="O213" s="4">
        <f>_xlfn.XLOOKUP(Table1[[#This Row],[Campaign_Name]],'Campaign Metadata'!A:A,'Campaign Metadata'!C:C,"Not found",0)</f>
        <v>45596</v>
      </c>
      <c r="P213" t="str">
        <f>IF(AND(Table1[[#This Row],[Date]]&gt;=Table1[[#This Row],[Campaign Start Date]],Table1[[#This Row],[Date]]&lt;=Table1[[#This Row],[Campaign End Date]]),"During Campaign","Before Campaign")</f>
        <v>Before Campaign</v>
      </c>
    </row>
    <row r="214" spans="1:16" ht="15.75" customHeight="1" x14ac:dyDescent="0.3">
      <c r="A214" s="2" t="s">
        <v>432</v>
      </c>
      <c r="B214" s="2" t="s">
        <v>43</v>
      </c>
      <c r="C214" s="2" t="s">
        <v>433</v>
      </c>
      <c r="D214" s="2" t="s">
        <v>45</v>
      </c>
      <c r="E214" s="2" t="s">
        <v>46</v>
      </c>
      <c r="F214" s="2">
        <v>2696</v>
      </c>
      <c r="G214" s="2">
        <v>628</v>
      </c>
      <c r="H214" s="2">
        <v>443</v>
      </c>
      <c r="I214" s="2">
        <v>45832</v>
      </c>
      <c r="J214" s="2">
        <v>45632</v>
      </c>
      <c r="K214" s="2">
        <v>248</v>
      </c>
      <c r="L214" s="2" t="s">
        <v>37</v>
      </c>
      <c r="M214" s="2" t="s">
        <v>38</v>
      </c>
      <c r="N214" s="4">
        <f>_xlfn.XLOOKUP(Table1[[#This Row],[Campaign_Name]],'Campaign Metadata'!A:A,'Campaign Metadata'!B:B,"Notfound",0)</f>
        <v>45717</v>
      </c>
      <c r="O214" s="4">
        <f>_xlfn.XLOOKUP(Table1[[#This Row],[Campaign_Name]],'Campaign Metadata'!A:A,'Campaign Metadata'!C:C,"Not found",0)</f>
        <v>45747</v>
      </c>
      <c r="P214" t="str">
        <f>IF(AND(Table1[[#This Row],[Date]]&gt;=Table1[[#This Row],[Campaign Start Date]],Table1[[#This Row],[Date]]&lt;=Table1[[#This Row],[Campaign End Date]]),"During Campaign","Before Campaign")</f>
        <v>Before Campaign</v>
      </c>
    </row>
    <row r="215" spans="1:16" ht="15.75" customHeight="1" x14ac:dyDescent="0.3">
      <c r="A215" s="2" t="s">
        <v>434</v>
      </c>
      <c r="B215" s="2" t="s">
        <v>33</v>
      </c>
      <c r="C215" s="2" t="s">
        <v>15</v>
      </c>
      <c r="D215" s="2" t="s">
        <v>52</v>
      </c>
      <c r="E215" s="2" t="s">
        <v>215</v>
      </c>
      <c r="F215" s="2">
        <v>521</v>
      </c>
      <c r="G215" s="2">
        <v>746</v>
      </c>
      <c r="H215" s="2">
        <v>315</v>
      </c>
      <c r="I215" s="2">
        <v>4168</v>
      </c>
      <c r="J215" s="2">
        <v>3399</v>
      </c>
      <c r="K215" s="2">
        <v>282</v>
      </c>
      <c r="L215" s="2" t="s">
        <v>62</v>
      </c>
      <c r="M215" s="2" t="s">
        <v>25</v>
      </c>
      <c r="N215" s="4">
        <f>_xlfn.XLOOKUP(Table1[[#This Row],[Campaign_Name]],'Campaign Metadata'!A:A,'Campaign Metadata'!B:B,"Notfound",0)</f>
        <v>45566</v>
      </c>
      <c r="O215" s="4">
        <f>_xlfn.XLOOKUP(Table1[[#This Row],[Campaign_Name]],'Campaign Metadata'!A:A,'Campaign Metadata'!C:C,"Not found",0)</f>
        <v>45596</v>
      </c>
      <c r="P215" t="str">
        <f>IF(AND(Table1[[#This Row],[Date]]&gt;=Table1[[#This Row],[Campaign Start Date]],Table1[[#This Row],[Date]]&lt;=Table1[[#This Row],[Campaign End Date]]),"During Campaign","Before Campaign")</f>
        <v>Before Campaign</v>
      </c>
    </row>
    <row r="216" spans="1:16" ht="15.75" customHeight="1" x14ac:dyDescent="0.3">
      <c r="A216" s="2" t="s">
        <v>435</v>
      </c>
      <c r="B216" s="2" t="s">
        <v>43</v>
      </c>
      <c r="C216" s="2" t="s">
        <v>436</v>
      </c>
      <c r="D216" s="2" t="s">
        <v>52</v>
      </c>
      <c r="E216" s="2" t="s">
        <v>59</v>
      </c>
      <c r="F216" s="2">
        <v>4872</v>
      </c>
      <c r="G216" s="2">
        <v>925</v>
      </c>
      <c r="H216" s="2">
        <v>176</v>
      </c>
      <c r="I216" s="2">
        <v>82824</v>
      </c>
      <c r="J216" s="2">
        <v>82543</v>
      </c>
      <c r="K216" s="2">
        <v>89</v>
      </c>
      <c r="L216" s="2" t="s">
        <v>37</v>
      </c>
      <c r="M216" s="2" t="s">
        <v>25</v>
      </c>
      <c r="N216" s="4">
        <f>_xlfn.XLOOKUP(Table1[[#This Row],[Campaign_Name]],'Campaign Metadata'!A:A,'Campaign Metadata'!B:B,"Notfound",0)</f>
        <v>45566</v>
      </c>
      <c r="O216" s="4">
        <f>_xlfn.XLOOKUP(Table1[[#This Row],[Campaign_Name]],'Campaign Metadata'!A:A,'Campaign Metadata'!C:C,"Not found",0)</f>
        <v>45596</v>
      </c>
      <c r="P216" t="str">
        <f>IF(AND(Table1[[#This Row],[Date]]&gt;=Table1[[#This Row],[Campaign Start Date]],Table1[[#This Row],[Date]]&lt;=Table1[[#This Row],[Campaign End Date]]),"During Campaign","Before Campaign")</f>
        <v>Before Campaign</v>
      </c>
    </row>
    <row r="217" spans="1:16" ht="15.75" customHeight="1" x14ac:dyDescent="0.3">
      <c r="A217" s="2" t="s">
        <v>437</v>
      </c>
      <c r="B217" s="2" t="s">
        <v>27</v>
      </c>
      <c r="C217" s="2" t="s">
        <v>268</v>
      </c>
      <c r="D217" s="2" t="s">
        <v>35</v>
      </c>
      <c r="E217" s="2" t="s">
        <v>154</v>
      </c>
      <c r="F217" s="2">
        <v>1509</v>
      </c>
      <c r="G217" s="2">
        <v>88</v>
      </c>
      <c r="H217" s="2">
        <v>163</v>
      </c>
      <c r="I217" s="2">
        <v>30180</v>
      </c>
      <c r="J217" s="2">
        <v>29689</v>
      </c>
      <c r="K217" s="2">
        <v>119</v>
      </c>
      <c r="L217" s="2" t="s">
        <v>37</v>
      </c>
      <c r="M217" s="2" t="s">
        <v>25</v>
      </c>
      <c r="N217" s="4">
        <f>_xlfn.XLOOKUP(Table1[[#This Row],[Campaign_Name]],'Campaign Metadata'!A:A,'Campaign Metadata'!B:B,"Notfound",0)</f>
        <v>45566</v>
      </c>
      <c r="O217" s="4">
        <f>_xlfn.XLOOKUP(Table1[[#This Row],[Campaign_Name]],'Campaign Metadata'!A:A,'Campaign Metadata'!C:C,"Not found",0)</f>
        <v>45596</v>
      </c>
      <c r="P217" t="str">
        <f>IF(AND(Table1[[#This Row],[Date]]&gt;=Table1[[#This Row],[Campaign Start Date]],Table1[[#This Row],[Date]]&lt;=Table1[[#This Row],[Campaign End Date]]),"During Campaign","Before Campaign")</f>
        <v>Before Campaign</v>
      </c>
    </row>
    <row r="218" spans="1:16" ht="15.75" customHeight="1" x14ac:dyDescent="0.3">
      <c r="A218" s="2" t="s">
        <v>438</v>
      </c>
      <c r="B218" s="2" t="s">
        <v>43</v>
      </c>
      <c r="C218" s="2" t="s">
        <v>362</v>
      </c>
      <c r="D218" s="2" t="s">
        <v>52</v>
      </c>
      <c r="E218" s="2" t="s">
        <v>59</v>
      </c>
      <c r="F218" s="2">
        <v>4606</v>
      </c>
      <c r="G218" s="2">
        <v>931</v>
      </c>
      <c r="H218" s="2">
        <v>230</v>
      </c>
      <c r="I218" s="2">
        <v>92120</v>
      </c>
      <c r="J218" s="2">
        <v>91440</v>
      </c>
      <c r="K218" s="2">
        <v>56</v>
      </c>
      <c r="L218" s="2" t="s">
        <v>30</v>
      </c>
      <c r="N218" s="4">
        <f>_xlfn.XLOOKUP(Table1[[#This Row],[Campaign_Name]],'Campaign Metadata'!A:A,'Campaign Metadata'!B:B,"Notfound",0)</f>
        <v>0</v>
      </c>
      <c r="O218" s="4">
        <f>_xlfn.XLOOKUP(Table1[[#This Row],[Campaign_Name]],'Campaign Metadata'!A:A,'Campaign Metadata'!C:C,"Not found",0)</f>
        <v>0</v>
      </c>
      <c r="P218" t="str">
        <f>IF(AND(Table1[[#This Row],[Date]]&gt;=Table1[[#This Row],[Campaign Start Date]],Table1[[#This Row],[Date]]&lt;=Table1[[#This Row],[Campaign End Date]]),"During Campaign","Before Campaign")</f>
        <v>Before Campaign</v>
      </c>
    </row>
    <row r="219" spans="1:16" ht="15.75" customHeight="1" x14ac:dyDescent="0.3">
      <c r="A219" s="2" t="s">
        <v>439</v>
      </c>
      <c r="B219" s="2" t="s">
        <v>43</v>
      </c>
      <c r="C219" s="2" t="s">
        <v>254</v>
      </c>
      <c r="D219" s="2" t="s">
        <v>45</v>
      </c>
      <c r="E219" s="2" t="s">
        <v>46</v>
      </c>
      <c r="F219" s="2">
        <v>1869</v>
      </c>
      <c r="G219" s="2">
        <v>453</v>
      </c>
      <c r="H219" s="2">
        <v>490</v>
      </c>
      <c r="I219" s="2">
        <v>14952</v>
      </c>
      <c r="J219" s="2">
        <v>14309</v>
      </c>
      <c r="K219" s="2">
        <v>275</v>
      </c>
      <c r="L219" s="2" t="s">
        <v>30</v>
      </c>
      <c r="M219" s="2" t="s">
        <v>38</v>
      </c>
      <c r="N219" s="4">
        <f>_xlfn.XLOOKUP(Table1[[#This Row],[Campaign_Name]],'Campaign Metadata'!A:A,'Campaign Metadata'!B:B,"Notfound",0)</f>
        <v>45717</v>
      </c>
      <c r="O219" s="4">
        <f>_xlfn.XLOOKUP(Table1[[#This Row],[Campaign_Name]],'Campaign Metadata'!A:A,'Campaign Metadata'!C:C,"Not found",0)</f>
        <v>45747</v>
      </c>
      <c r="P219" t="str">
        <f>IF(AND(Table1[[#This Row],[Date]]&gt;=Table1[[#This Row],[Campaign Start Date]],Table1[[#This Row],[Date]]&lt;=Table1[[#This Row],[Campaign End Date]]),"During Campaign","Before Campaign")</f>
        <v>Before Campaign</v>
      </c>
    </row>
    <row r="220" spans="1:16" ht="15.75" customHeight="1" x14ac:dyDescent="0.3">
      <c r="A220" s="2" t="s">
        <v>440</v>
      </c>
      <c r="B220" s="2" t="s">
        <v>14</v>
      </c>
      <c r="C220" s="2" t="s">
        <v>174</v>
      </c>
      <c r="D220" s="2" t="s">
        <v>16</v>
      </c>
      <c r="E220" s="2" t="s">
        <v>17</v>
      </c>
      <c r="F220" s="2">
        <v>1188</v>
      </c>
      <c r="G220" s="2">
        <v>470</v>
      </c>
      <c r="H220" s="2">
        <v>174</v>
      </c>
      <c r="I220" s="2">
        <v>7128</v>
      </c>
      <c r="J220" s="2">
        <v>6145</v>
      </c>
      <c r="K220" s="2">
        <v>270</v>
      </c>
      <c r="L220" s="2" t="s">
        <v>30</v>
      </c>
      <c r="M220" s="2" t="s">
        <v>38</v>
      </c>
      <c r="N220" s="4">
        <f>_xlfn.XLOOKUP(Table1[[#This Row],[Campaign_Name]],'Campaign Metadata'!A:A,'Campaign Metadata'!B:B,"Notfound",0)</f>
        <v>45717</v>
      </c>
      <c r="O220" s="4">
        <f>_xlfn.XLOOKUP(Table1[[#This Row],[Campaign_Name]],'Campaign Metadata'!A:A,'Campaign Metadata'!C:C,"Not found",0)</f>
        <v>45747</v>
      </c>
      <c r="P220" t="str">
        <f>IF(AND(Table1[[#This Row],[Date]]&gt;=Table1[[#This Row],[Campaign Start Date]],Table1[[#This Row],[Date]]&lt;=Table1[[#This Row],[Campaign End Date]]),"During Campaign","Before Campaign")</f>
        <v>Before Campaign</v>
      </c>
    </row>
    <row r="221" spans="1:16" ht="15.75" customHeight="1" x14ac:dyDescent="0.3">
      <c r="A221" s="2" t="s">
        <v>441</v>
      </c>
      <c r="B221" s="2" t="s">
        <v>33</v>
      </c>
      <c r="C221" s="2" t="s">
        <v>416</v>
      </c>
      <c r="D221" s="2" t="s">
        <v>35</v>
      </c>
      <c r="E221" s="2" t="s">
        <v>36</v>
      </c>
      <c r="F221" s="2">
        <v>84</v>
      </c>
      <c r="G221" s="2">
        <v>897</v>
      </c>
      <c r="H221" s="2">
        <v>85</v>
      </c>
      <c r="I221" s="2">
        <v>588</v>
      </c>
      <c r="J221" s="2">
        <v>8</v>
      </c>
      <c r="K221" s="2">
        <v>12</v>
      </c>
      <c r="L221" s="2" t="s">
        <v>37</v>
      </c>
      <c r="N221" s="4">
        <f>_xlfn.XLOOKUP(Table1[[#This Row],[Campaign_Name]],'Campaign Metadata'!A:A,'Campaign Metadata'!B:B,"Notfound",0)</f>
        <v>0</v>
      </c>
      <c r="O221" s="4">
        <f>_xlfn.XLOOKUP(Table1[[#This Row],[Campaign_Name]],'Campaign Metadata'!A:A,'Campaign Metadata'!C:C,"Not found",0)</f>
        <v>0</v>
      </c>
      <c r="P221" t="str">
        <f>IF(AND(Table1[[#This Row],[Date]]&gt;=Table1[[#This Row],[Campaign Start Date]],Table1[[#This Row],[Date]]&lt;=Table1[[#This Row],[Campaign End Date]]),"During Campaign","Before Campaign")</f>
        <v>Before Campaign</v>
      </c>
    </row>
    <row r="222" spans="1:16" ht="15.75" customHeight="1" x14ac:dyDescent="0.3">
      <c r="A222" s="2" t="s">
        <v>442</v>
      </c>
      <c r="B222" s="2" t="s">
        <v>43</v>
      </c>
      <c r="C222" s="2" t="s">
        <v>256</v>
      </c>
      <c r="D222" s="2" t="s">
        <v>74</v>
      </c>
      <c r="E222" s="2" t="s">
        <v>75</v>
      </c>
      <c r="F222" s="2">
        <v>4453</v>
      </c>
      <c r="G222" s="2">
        <v>111</v>
      </c>
      <c r="H222" s="2">
        <v>420</v>
      </c>
      <c r="I222" s="2">
        <v>31171</v>
      </c>
      <c r="J222" s="2">
        <v>30565</v>
      </c>
      <c r="K222" s="2">
        <v>23</v>
      </c>
      <c r="L222" s="2" t="s">
        <v>30</v>
      </c>
      <c r="N222" s="4">
        <f>_xlfn.XLOOKUP(Table1[[#This Row],[Campaign_Name]],'Campaign Metadata'!A:A,'Campaign Metadata'!B:B,"Notfound",0)</f>
        <v>0</v>
      </c>
      <c r="O222" s="4">
        <f>_xlfn.XLOOKUP(Table1[[#This Row],[Campaign_Name]],'Campaign Metadata'!A:A,'Campaign Metadata'!C:C,"Not found",0)</f>
        <v>0</v>
      </c>
      <c r="P222" t="str">
        <f>IF(AND(Table1[[#This Row],[Date]]&gt;=Table1[[#This Row],[Campaign Start Date]],Table1[[#This Row],[Date]]&lt;=Table1[[#This Row],[Campaign End Date]]),"During Campaign","Before Campaign")</f>
        <v>Before Campaign</v>
      </c>
    </row>
    <row r="223" spans="1:16" ht="15.75" customHeight="1" x14ac:dyDescent="0.3">
      <c r="A223" s="2" t="s">
        <v>443</v>
      </c>
      <c r="B223" s="2" t="s">
        <v>43</v>
      </c>
      <c r="C223" s="2" t="s">
        <v>444</v>
      </c>
      <c r="D223" s="2" t="s">
        <v>16</v>
      </c>
      <c r="E223" s="2" t="s">
        <v>65</v>
      </c>
      <c r="F223" s="2">
        <v>1814</v>
      </c>
      <c r="G223" s="2">
        <v>653</v>
      </c>
      <c r="H223" s="2">
        <v>363</v>
      </c>
      <c r="I223" s="2">
        <v>25396</v>
      </c>
      <c r="J223" s="2">
        <v>25286</v>
      </c>
      <c r="K223" s="2">
        <v>39</v>
      </c>
      <c r="L223" s="2" t="s">
        <v>445</v>
      </c>
      <c r="M223" s="2" t="s">
        <v>19</v>
      </c>
      <c r="N223" s="4">
        <f>_xlfn.XLOOKUP(Table1[[#This Row],[Campaign_Name]],'Campaign Metadata'!A:A,'Campaign Metadata'!B:B,"Notfound",0)</f>
        <v>45458</v>
      </c>
      <c r="O223" s="4">
        <f>_xlfn.XLOOKUP(Table1[[#This Row],[Campaign_Name]],'Campaign Metadata'!A:A,'Campaign Metadata'!C:C,"Not found",0)</f>
        <v>45488</v>
      </c>
      <c r="P223" t="str">
        <f>IF(AND(Table1[[#This Row],[Date]]&gt;=Table1[[#This Row],[Campaign Start Date]],Table1[[#This Row],[Date]]&lt;=Table1[[#This Row],[Campaign End Date]]),"During Campaign","Before Campaign")</f>
        <v>Before Campaign</v>
      </c>
    </row>
    <row r="224" spans="1:16" ht="15.75" customHeight="1" x14ac:dyDescent="0.3">
      <c r="A224" s="2" t="s">
        <v>446</v>
      </c>
      <c r="B224" s="2" t="s">
        <v>14</v>
      </c>
      <c r="C224" s="2" t="s">
        <v>360</v>
      </c>
      <c r="D224" s="2" t="s">
        <v>52</v>
      </c>
      <c r="E224" s="2" t="s">
        <v>132</v>
      </c>
      <c r="F224" s="2">
        <v>3338</v>
      </c>
      <c r="G224" s="2">
        <v>277</v>
      </c>
      <c r="H224" s="2">
        <v>118</v>
      </c>
      <c r="I224" s="2">
        <v>60084</v>
      </c>
      <c r="J224" s="2">
        <v>59842</v>
      </c>
      <c r="K224" s="2">
        <v>252</v>
      </c>
      <c r="L224" s="2" t="s">
        <v>30</v>
      </c>
      <c r="N224" s="4">
        <f>_xlfn.XLOOKUP(Table1[[#This Row],[Campaign_Name]],'Campaign Metadata'!A:A,'Campaign Metadata'!B:B,"Notfound",0)</f>
        <v>0</v>
      </c>
      <c r="O224" s="4">
        <f>_xlfn.XLOOKUP(Table1[[#This Row],[Campaign_Name]],'Campaign Metadata'!A:A,'Campaign Metadata'!C:C,"Not found",0)</f>
        <v>0</v>
      </c>
      <c r="P224" t="str">
        <f>IF(AND(Table1[[#This Row],[Date]]&gt;=Table1[[#This Row],[Campaign Start Date]],Table1[[#This Row],[Date]]&lt;=Table1[[#This Row],[Campaign End Date]]),"During Campaign","Before Campaign")</f>
        <v>Before Campaign</v>
      </c>
    </row>
    <row r="225" spans="1:16" ht="15.75" customHeight="1" x14ac:dyDescent="0.3">
      <c r="A225" s="2" t="s">
        <v>447</v>
      </c>
      <c r="B225" s="2" t="s">
        <v>43</v>
      </c>
      <c r="C225" s="2" t="s">
        <v>448</v>
      </c>
      <c r="D225" s="2" t="s">
        <v>52</v>
      </c>
      <c r="E225" s="2" t="s">
        <v>59</v>
      </c>
      <c r="F225" s="2">
        <v>602</v>
      </c>
      <c r="G225" s="2">
        <v>594</v>
      </c>
      <c r="H225" s="2">
        <v>156</v>
      </c>
      <c r="I225" s="2">
        <v>4214</v>
      </c>
      <c r="J225" s="2">
        <v>3363</v>
      </c>
      <c r="K225" s="2">
        <v>164</v>
      </c>
      <c r="L225" s="2" t="s">
        <v>30</v>
      </c>
      <c r="M225" s="2" t="s">
        <v>31</v>
      </c>
      <c r="N225" s="4">
        <f>_xlfn.XLOOKUP(Table1[[#This Row],[Campaign_Name]],'Campaign Metadata'!A:A,'Campaign Metadata'!B:B,"Notfound",0)</f>
        <v>45651</v>
      </c>
      <c r="O225" s="4">
        <f>_xlfn.XLOOKUP(Table1[[#This Row],[Campaign_Name]],'Campaign Metadata'!A:A,'Campaign Metadata'!C:C,"Not found",0)</f>
        <v>45667</v>
      </c>
      <c r="P225" t="str">
        <f>IF(AND(Table1[[#This Row],[Date]]&gt;=Table1[[#This Row],[Campaign Start Date]],Table1[[#This Row],[Date]]&lt;=Table1[[#This Row],[Campaign End Date]]),"During Campaign","Before Campaign")</f>
        <v>Before Campaign</v>
      </c>
    </row>
    <row r="226" spans="1:16" ht="15.75" customHeight="1" x14ac:dyDescent="0.3">
      <c r="A226" s="2" t="s">
        <v>449</v>
      </c>
      <c r="B226" s="2" t="s">
        <v>14</v>
      </c>
      <c r="C226" s="2" t="s">
        <v>375</v>
      </c>
      <c r="D226" s="2" t="s">
        <v>45</v>
      </c>
      <c r="E226" s="2" t="s">
        <v>49</v>
      </c>
      <c r="F226" s="2">
        <v>4672</v>
      </c>
      <c r="G226" s="2">
        <v>325</v>
      </c>
      <c r="H226" s="2">
        <v>32</v>
      </c>
      <c r="I226" s="2">
        <v>88768</v>
      </c>
      <c r="J226" s="2">
        <v>87833</v>
      </c>
      <c r="K226" s="2">
        <v>118</v>
      </c>
      <c r="L226" s="2" t="s">
        <v>37</v>
      </c>
      <c r="N226" s="4">
        <f>_xlfn.XLOOKUP(Table1[[#This Row],[Campaign_Name]],'Campaign Metadata'!A:A,'Campaign Metadata'!B:B,"Notfound",0)</f>
        <v>0</v>
      </c>
      <c r="O226" s="4">
        <f>_xlfn.XLOOKUP(Table1[[#This Row],[Campaign_Name]],'Campaign Metadata'!A:A,'Campaign Metadata'!C:C,"Not found",0)</f>
        <v>0</v>
      </c>
      <c r="P226" t="str">
        <f>IF(AND(Table1[[#This Row],[Date]]&gt;=Table1[[#This Row],[Campaign Start Date]],Table1[[#This Row],[Date]]&lt;=Table1[[#This Row],[Campaign End Date]]),"During Campaign","Before Campaign")</f>
        <v>Before Campaign</v>
      </c>
    </row>
    <row r="227" spans="1:16" ht="15.75" customHeight="1" x14ac:dyDescent="0.3">
      <c r="A227" s="2" t="s">
        <v>450</v>
      </c>
      <c r="B227" s="2" t="s">
        <v>33</v>
      </c>
      <c r="C227" s="2" t="s">
        <v>451</v>
      </c>
      <c r="D227" s="2" t="s">
        <v>45</v>
      </c>
      <c r="E227" s="2" t="s">
        <v>88</v>
      </c>
      <c r="F227" s="2">
        <v>1741</v>
      </c>
      <c r="G227" s="2">
        <v>164</v>
      </c>
      <c r="H227" s="2">
        <v>318</v>
      </c>
      <c r="I227" s="2">
        <v>8705</v>
      </c>
      <c r="J227" s="2">
        <v>8272</v>
      </c>
      <c r="K227" s="2">
        <v>121</v>
      </c>
      <c r="L227" s="2" t="s">
        <v>30</v>
      </c>
      <c r="N227" s="4">
        <f>_xlfn.XLOOKUP(Table1[[#This Row],[Campaign_Name]],'Campaign Metadata'!A:A,'Campaign Metadata'!B:B,"Notfound",0)</f>
        <v>0</v>
      </c>
      <c r="O227" s="4">
        <f>_xlfn.XLOOKUP(Table1[[#This Row],[Campaign_Name]],'Campaign Metadata'!A:A,'Campaign Metadata'!C:C,"Not found",0)</f>
        <v>0</v>
      </c>
      <c r="P227" t="str">
        <f>IF(AND(Table1[[#This Row],[Date]]&gt;=Table1[[#This Row],[Campaign Start Date]],Table1[[#This Row],[Date]]&lt;=Table1[[#This Row],[Campaign End Date]]),"During Campaign","Before Campaign")</f>
        <v>Before Campaign</v>
      </c>
    </row>
    <row r="228" spans="1:16" ht="15.75" customHeight="1" x14ac:dyDescent="0.3">
      <c r="A228" s="2" t="s">
        <v>452</v>
      </c>
      <c r="B228" s="2" t="s">
        <v>33</v>
      </c>
      <c r="C228" s="2" t="s">
        <v>453</v>
      </c>
      <c r="D228" s="2" t="s">
        <v>22</v>
      </c>
      <c r="E228" s="2" t="s">
        <v>113</v>
      </c>
      <c r="F228" s="2">
        <v>246</v>
      </c>
      <c r="G228" s="2">
        <v>149</v>
      </c>
      <c r="H228" s="2">
        <v>130</v>
      </c>
      <c r="I228" s="2">
        <v>4674</v>
      </c>
      <c r="J228" s="2">
        <v>4390</v>
      </c>
      <c r="K228" s="2">
        <v>217</v>
      </c>
      <c r="L228" s="2" t="s">
        <v>62</v>
      </c>
      <c r="M228" s="2" t="s">
        <v>31</v>
      </c>
      <c r="N228" s="4">
        <f>_xlfn.XLOOKUP(Table1[[#This Row],[Campaign_Name]],'Campaign Metadata'!A:A,'Campaign Metadata'!B:B,"Notfound",0)</f>
        <v>45651</v>
      </c>
      <c r="O228" s="4">
        <f>_xlfn.XLOOKUP(Table1[[#This Row],[Campaign_Name]],'Campaign Metadata'!A:A,'Campaign Metadata'!C:C,"Not found",0)</f>
        <v>45667</v>
      </c>
      <c r="P228" t="str">
        <f>IF(AND(Table1[[#This Row],[Date]]&gt;=Table1[[#This Row],[Campaign Start Date]],Table1[[#This Row],[Date]]&lt;=Table1[[#This Row],[Campaign End Date]]),"During Campaign","Before Campaign")</f>
        <v>Before Campaign</v>
      </c>
    </row>
    <row r="229" spans="1:16" ht="15.75" customHeight="1" x14ac:dyDescent="0.3">
      <c r="A229" s="2" t="s">
        <v>454</v>
      </c>
      <c r="B229" s="2" t="s">
        <v>33</v>
      </c>
      <c r="C229" s="2" t="s">
        <v>455</v>
      </c>
      <c r="D229" s="2" t="s">
        <v>35</v>
      </c>
      <c r="E229" s="2" t="s">
        <v>36</v>
      </c>
      <c r="F229" s="2">
        <v>4808</v>
      </c>
      <c r="G229" s="2">
        <v>772</v>
      </c>
      <c r="H229" s="2">
        <v>320</v>
      </c>
      <c r="I229" s="2">
        <v>72120</v>
      </c>
      <c r="J229" s="2">
        <v>71696</v>
      </c>
      <c r="K229" s="2">
        <v>195</v>
      </c>
      <c r="L229" s="2" t="s">
        <v>37</v>
      </c>
      <c r="M229" s="2" t="s">
        <v>19</v>
      </c>
      <c r="N229" s="4">
        <f>_xlfn.XLOOKUP(Table1[[#This Row],[Campaign_Name]],'Campaign Metadata'!A:A,'Campaign Metadata'!B:B,"Notfound",0)</f>
        <v>45458</v>
      </c>
      <c r="O229" s="4">
        <f>_xlfn.XLOOKUP(Table1[[#This Row],[Campaign_Name]],'Campaign Metadata'!A:A,'Campaign Metadata'!C:C,"Not found",0)</f>
        <v>45488</v>
      </c>
      <c r="P229" t="str">
        <f>IF(AND(Table1[[#This Row],[Date]]&gt;=Table1[[#This Row],[Campaign Start Date]],Table1[[#This Row],[Date]]&lt;=Table1[[#This Row],[Campaign End Date]]),"During Campaign","Before Campaign")</f>
        <v>Before Campaign</v>
      </c>
    </row>
    <row r="230" spans="1:16" ht="15.75" customHeight="1" x14ac:dyDescent="0.3">
      <c r="A230" s="2" t="s">
        <v>456</v>
      </c>
      <c r="B230" s="2" t="s">
        <v>33</v>
      </c>
      <c r="C230" s="2" t="s">
        <v>153</v>
      </c>
      <c r="D230" s="2" t="s">
        <v>45</v>
      </c>
      <c r="E230" s="2" t="s">
        <v>88</v>
      </c>
      <c r="F230" s="2">
        <v>4799</v>
      </c>
      <c r="G230" s="2">
        <v>694</v>
      </c>
      <c r="H230" s="2">
        <v>289</v>
      </c>
      <c r="I230" s="2">
        <v>43191</v>
      </c>
      <c r="J230" s="2">
        <v>42228</v>
      </c>
      <c r="K230" s="2">
        <v>118</v>
      </c>
      <c r="L230" s="2" t="s">
        <v>30</v>
      </c>
      <c r="N230" s="4">
        <f>_xlfn.XLOOKUP(Table1[[#This Row],[Campaign_Name]],'Campaign Metadata'!A:A,'Campaign Metadata'!B:B,"Notfound",0)</f>
        <v>0</v>
      </c>
      <c r="O230" s="4">
        <f>_xlfn.XLOOKUP(Table1[[#This Row],[Campaign_Name]],'Campaign Metadata'!A:A,'Campaign Metadata'!C:C,"Not found",0)</f>
        <v>0</v>
      </c>
      <c r="P230" t="str">
        <f>IF(AND(Table1[[#This Row],[Date]]&gt;=Table1[[#This Row],[Campaign Start Date]],Table1[[#This Row],[Date]]&lt;=Table1[[#This Row],[Campaign End Date]]),"During Campaign","Before Campaign")</f>
        <v>Before Campaign</v>
      </c>
    </row>
    <row r="231" spans="1:16" ht="15.75" customHeight="1" x14ac:dyDescent="0.3">
      <c r="A231" s="2" t="s">
        <v>457</v>
      </c>
      <c r="B231" s="2" t="s">
        <v>43</v>
      </c>
      <c r="C231" s="2" t="s">
        <v>315</v>
      </c>
      <c r="D231" s="2" t="s">
        <v>16</v>
      </c>
      <c r="E231" s="2" t="s">
        <v>65</v>
      </c>
      <c r="F231" s="2">
        <v>3663</v>
      </c>
      <c r="G231" s="2">
        <v>17</v>
      </c>
      <c r="H231" s="2">
        <v>295</v>
      </c>
      <c r="I231" s="2">
        <v>51282</v>
      </c>
      <c r="J231" s="2">
        <v>50567</v>
      </c>
      <c r="K231" s="2">
        <v>84</v>
      </c>
      <c r="L231" s="2" t="s">
        <v>37</v>
      </c>
      <c r="M231" s="2" t="s">
        <v>31</v>
      </c>
      <c r="N231" s="4">
        <f>_xlfn.XLOOKUP(Table1[[#This Row],[Campaign_Name]],'Campaign Metadata'!A:A,'Campaign Metadata'!B:B,"Notfound",0)</f>
        <v>45651</v>
      </c>
      <c r="O231" s="4">
        <f>_xlfn.XLOOKUP(Table1[[#This Row],[Campaign_Name]],'Campaign Metadata'!A:A,'Campaign Metadata'!C:C,"Not found",0)</f>
        <v>45667</v>
      </c>
      <c r="P231" t="str">
        <f>IF(AND(Table1[[#This Row],[Date]]&gt;=Table1[[#This Row],[Campaign Start Date]],Table1[[#This Row],[Date]]&lt;=Table1[[#This Row],[Campaign End Date]]),"During Campaign","Before Campaign")</f>
        <v>Before Campaign</v>
      </c>
    </row>
    <row r="232" spans="1:16" ht="15.75" customHeight="1" x14ac:dyDescent="0.3">
      <c r="A232" s="2" t="s">
        <v>458</v>
      </c>
      <c r="B232" s="2" t="s">
        <v>33</v>
      </c>
      <c r="C232" s="2" t="s">
        <v>433</v>
      </c>
      <c r="D232" s="2" t="s">
        <v>22</v>
      </c>
      <c r="E232" s="2" t="s">
        <v>113</v>
      </c>
      <c r="F232" s="2">
        <v>1430</v>
      </c>
      <c r="G232" s="2">
        <v>376</v>
      </c>
      <c r="H232" s="2">
        <v>33</v>
      </c>
      <c r="I232" s="2">
        <v>21450</v>
      </c>
      <c r="J232" s="2">
        <v>20509</v>
      </c>
      <c r="K232" s="2">
        <v>251</v>
      </c>
      <c r="L232" s="2" t="s">
        <v>62</v>
      </c>
      <c r="M232" s="2" t="s">
        <v>19</v>
      </c>
      <c r="N232" s="4">
        <f>_xlfn.XLOOKUP(Table1[[#This Row],[Campaign_Name]],'Campaign Metadata'!A:A,'Campaign Metadata'!B:B,"Notfound",0)</f>
        <v>45458</v>
      </c>
      <c r="O232" s="4">
        <f>_xlfn.XLOOKUP(Table1[[#This Row],[Campaign_Name]],'Campaign Metadata'!A:A,'Campaign Metadata'!C:C,"Not found",0)</f>
        <v>45488</v>
      </c>
      <c r="P232" t="str">
        <f>IF(AND(Table1[[#This Row],[Date]]&gt;=Table1[[#This Row],[Campaign Start Date]],Table1[[#This Row],[Date]]&lt;=Table1[[#This Row],[Campaign End Date]]),"During Campaign","Before Campaign")</f>
        <v>Before Campaign</v>
      </c>
    </row>
    <row r="233" spans="1:16" ht="15.75" customHeight="1" x14ac:dyDescent="0.3">
      <c r="A233" s="2" t="s">
        <v>459</v>
      </c>
      <c r="B233" s="2" t="s">
        <v>14</v>
      </c>
      <c r="C233" s="2" t="s">
        <v>460</v>
      </c>
      <c r="D233" s="2" t="s">
        <v>35</v>
      </c>
      <c r="E233" s="2" t="s">
        <v>149</v>
      </c>
      <c r="F233" s="2">
        <v>249</v>
      </c>
      <c r="G233" s="2">
        <v>592</v>
      </c>
      <c r="H233" s="2">
        <v>230</v>
      </c>
      <c r="I233" s="2">
        <v>1494</v>
      </c>
      <c r="J233" s="2">
        <v>1044</v>
      </c>
      <c r="K233" s="2">
        <v>201</v>
      </c>
      <c r="L233" s="2" t="s">
        <v>37</v>
      </c>
      <c r="M233" s="2" t="s">
        <v>38</v>
      </c>
      <c r="N233" s="4">
        <f>_xlfn.XLOOKUP(Table1[[#This Row],[Campaign_Name]],'Campaign Metadata'!A:A,'Campaign Metadata'!B:B,"Notfound",0)</f>
        <v>45717</v>
      </c>
      <c r="O233" s="4">
        <f>_xlfn.XLOOKUP(Table1[[#This Row],[Campaign_Name]],'Campaign Metadata'!A:A,'Campaign Metadata'!C:C,"Not found",0)</f>
        <v>45747</v>
      </c>
      <c r="P233" t="str">
        <f>IF(AND(Table1[[#This Row],[Date]]&gt;=Table1[[#This Row],[Campaign Start Date]],Table1[[#This Row],[Date]]&lt;=Table1[[#This Row],[Campaign End Date]]),"During Campaign","Before Campaign")</f>
        <v>Before Campaign</v>
      </c>
    </row>
    <row r="234" spans="1:16" ht="15.75" customHeight="1" x14ac:dyDescent="0.3">
      <c r="A234" s="2" t="s">
        <v>461</v>
      </c>
      <c r="B234" s="2" t="s">
        <v>43</v>
      </c>
      <c r="C234" s="2" t="s">
        <v>134</v>
      </c>
      <c r="D234" s="2" t="s">
        <v>52</v>
      </c>
      <c r="E234" s="2" t="s">
        <v>59</v>
      </c>
      <c r="F234" s="2">
        <v>2382</v>
      </c>
      <c r="G234" s="2">
        <v>265</v>
      </c>
      <c r="H234" s="2">
        <v>134</v>
      </c>
      <c r="I234" s="2">
        <v>38112</v>
      </c>
      <c r="J234" s="2">
        <v>37437</v>
      </c>
      <c r="K234" s="2">
        <v>249</v>
      </c>
      <c r="L234" s="2" t="s">
        <v>62</v>
      </c>
      <c r="M234" s="2" t="s">
        <v>38</v>
      </c>
      <c r="N234" s="4">
        <f>_xlfn.XLOOKUP(Table1[[#This Row],[Campaign_Name]],'Campaign Metadata'!A:A,'Campaign Metadata'!B:B,"Notfound",0)</f>
        <v>45717</v>
      </c>
      <c r="O234" s="4">
        <f>_xlfn.XLOOKUP(Table1[[#This Row],[Campaign_Name]],'Campaign Metadata'!A:A,'Campaign Metadata'!C:C,"Not found",0)</f>
        <v>45747</v>
      </c>
      <c r="P234" t="str">
        <f>IF(AND(Table1[[#This Row],[Date]]&gt;=Table1[[#This Row],[Campaign Start Date]],Table1[[#This Row],[Date]]&lt;=Table1[[#This Row],[Campaign End Date]]),"During Campaign","Before Campaign")</f>
        <v>Before Campaign</v>
      </c>
    </row>
    <row r="235" spans="1:16" ht="15.75" customHeight="1" x14ac:dyDescent="0.3">
      <c r="A235" s="2" t="s">
        <v>462</v>
      </c>
      <c r="B235" s="2" t="s">
        <v>43</v>
      </c>
      <c r="C235" s="2" t="s">
        <v>463</v>
      </c>
      <c r="D235" s="2" t="s">
        <v>22</v>
      </c>
      <c r="E235" s="2" t="s">
        <v>56</v>
      </c>
      <c r="F235" s="2">
        <v>1272</v>
      </c>
      <c r="G235" s="2">
        <v>465</v>
      </c>
      <c r="H235" s="2">
        <v>99</v>
      </c>
      <c r="I235" s="2">
        <v>24168</v>
      </c>
      <c r="J235" s="2">
        <v>23719</v>
      </c>
      <c r="K235" s="2">
        <v>42</v>
      </c>
      <c r="L235" s="2" t="s">
        <v>30</v>
      </c>
      <c r="N235" s="4">
        <f>_xlfn.XLOOKUP(Table1[[#This Row],[Campaign_Name]],'Campaign Metadata'!A:A,'Campaign Metadata'!B:B,"Notfound",0)</f>
        <v>0</v>
      </c>
      <c r="O235" s="4">
        <f>_xlfn.XLOOKUP(Table1[[#This Row],[Campaign_Name]],'Campaign Metadata'!A:A,'Campaign Metadata'!C:C,"Not found",0)</f>
        <v>0</v>
      </c>
      <c r="P235" t="str">
        <f>IF(AND(Table1[[#This Row],[Date]]&gt;=Table1[[#This Row],[Campaign Start Date]],Table1[[#This Row],[Date]]&lt;=Table1[[#This Row],[Campaign End Date]]),"During Campaign","Before Campaign")</f>
        <v>Before Campaign</v>
      </c>
    </row>
    <row r="236" spans="1:16" ht="15.75" customHeight="1" x14ac:dyDescent="0.3">
      <c r="A236" s="2" t="s">
        <v>464</v>
      </c>
      <c r="B236" s="2" t="s">
        <v>43</v>
      </c>
      <c r="C236" s="2" t="s">
        <v>392</v>
      </c>
      <c r="D236" s="2" t="s">
        <v>52</v>
      </c>
      <c r="E236" s="2" t="s">
        <v>59</v>
      </c>
      <c r="F236" s="2">
        <v>3196</v>
      </c>
      <c r="G236" s="2">
        <v>941</v>
      </c>
      <c r="H236" s="2">
        <v>376</v>
      </c>
      <c r="I236" s="2">
        <v>35156</v>
      </c>
      <c r="J236" s="2">
        <v>34444</v>
      </c>
      <c r="K236" s="2">
        <v>241</v>
      </c>
      <c r="L236" s="2" t="s">
        <v>30</v>
      </c>
      <c r="M236" s="2" t="s">
        <v>31</v>
      </c>
      <c r="N236" s="4">
        <f>_xlfn.XLOOKUP(Table1[[#This Row],[Campaign_Name]],'Campaign Metadata'!A:A,'Campaign Metadata'!B:B,"Notfound",0)</f>
        <v>45651</v>
      </c>
      <c r="O236" s="4">
        <f>_xlfn.XLOOKUP(Table1[[#This Row],[Campaign_Name]],'Campaign Metadata'!A:A,'Campaign Metadata'!C:C,"Not found",0)</f>
        <v>45667</v>
      </c>
      <c r="P236" t="str">
        <f>IF(AND(Table1[[#This Row],[Date]]&gt;=Table1[[#This Row],[Campaign Start Date]],Table1[[#This Row],[Date]]&lt;=Table1[[#This Row],[Campaign End Date]]),"During Campaign","Before Campaign")</f>
        <v>Before Campaign</v>
      </c>
    </row>
    <row r="237" spans="1:16" ht="15.75" customHeight="1" x14ac:dyDescent="0.3">
      <c r="A237" s="2" t="s">
        <v>465</v>
      </c>
      <c r="B237" s="2" t="s">
        <v>43</v>
      </c>
      <c r="C237" s="2" t="s">
        <v>81</v>
      </c>
      <c r="D237" s="2" t="s">
        <v>22</v>
      </c>
      <c r="E237" s="2" t="s">
        <v>56</v>
      </c>
      <c r="F237" s="2">
        <v>1257</v>
      </c>
      <c r="G237" s="2">
        <v>19</v>
      </c>
      <c r="H237" s="2">
        <v>351</v>
      </c>
      <c r="I237" s="2">
        <v>12570</v>
      </c>
      <c r="J237" s="2">
        <v>11660</v>
      </c>
      <c r="K237" s="2">
        <v>194</v>
      </c>
      <c r="L237" s="2" t="s">
        <v>466</v>
      </c>
      <c r="M237" s="2" t="s">
        <v>25</v>
      </c>
      <c r="N237" s="4">
        <f>_xlfn.XLOOKUP(Table1[[#This Row],[Campaign_Name]],'Campaign Metadata'!A:A,'Campaign Metadata'!B:B,"Notfound",0)</f>
        <v>45566</v>
      </c>
      <c r="O237" s="4">
        <f>_xlfn.XLOOKUP(Table1[[#This Row],[Campaign_Name]],'Campaign Metadata'!A:A,'Campaign Metadata'!C:C,"Not found",0)</f>
        <v>45596</v>
      </c>
      <c r="P237" t="str">
        <f>IF(AND(Table1[[#This Row],[Date]]&gt;=Table1[[#This Row],[Campaign Start Date]],Table1[[#This Row],[Date]]&lt;=Table1[[#This Row],[Campaign End Date]]),"During Campaign","Before Campaign")</f>
        <v>Before Campaign</v>
      </c>
    </row>
    <row r="238" spans="1:16" ht="15.75" customHeight="1" x14ac:dyDescent="0.3">
      <c r="A238" s="2" t="s">
        <v>467</v>
      </c>
      <c r="B238" s="2" t="s">
        <v>33</v>
      </c>
      <c r="C238" s="2" t="s">
        <v>341</v>
      </c>
      <c r="D238" s="2" t="s">
        <v>35</v>
      </c>
      <c r="E238" s="2" t="s">
        <v>36</v>
      </c>
      <c r="F238" s="2">
        <v>3770</v>
      </c>
      <c r="G238" s="2">
        <v>917</v>
      </c>
      <c r="H238" s="2">
        <v>129</v>
      </c>
      <c r="I238" s="2">
        <v>71630</v>
      </c>
      <c r="J238" s="2">
        <v>71322</v>
      </c>
      <c r="K238" s="2">
        <v>76</v>
      </c>
      <c r="L238" s="2" t="s">
        <v>62</v>
      </c>
      <c r="M238" s="2" t="s">
        <v>19</v>
      </c>
      <c r="N238" s="4">
        <f>_xlfn.XLOOKUP(Table1[[#This Row],[Campaign_Name]],'Campaign Metadata'!A:A,'Campaign Metadata'!B:B,"Notfound",0)</f>
        <v>45458</v>
      </c>
      <c r="O238" s="4">
        <f>_xlfn.XLOOKUP(Table1[[#This Row],[Campaign_Name]],'Campaign Metadata'!A:A,'Campaign Metadata'!C:C,"Not found",0)</f>
        <v>45488</v>
      </c>
      <c r="P238" t="str">
        <f>IF(AND(Table1[[#This Row],[Date]]&gt;=Table1[[#This Row],[Campaign Start Date]],Table1[[#This Row],[Date]]&lt;=Table1[[#This Row],[Campaign End Date]]),"During Campaign","Before Campaign")</f>
        <v>Before Campaign</v>
      </c>
    </row>
    <row r="239" spans="1:16" ht="15.75" customHeight="1" x14ac:dyDescent="0.3">
      <c r="A239" s="2" t="s">
        <v>468</v>
      </c>
      <c r="B239" s="2" t="s">
        <v>14</v>
      </c>
      <c r="C239" s="2" t="s">
        <v>469</v>
      </c>
      <c r="D239" s="2" t="s">
        <v>22</v>
      </c>
      <c r="E239" s="2" t="s">
        <v>23</v>
      </c>
      <c r="F239" s="2">
        <v>4725</v>
      </c>
      <c r="G239" s="2">
        <v>400</v>
      </c>
      <c r="H239" s="2">
        <v>362</v>
      </c>
      <c r="I239" s="2">
        <v>75600</v>
      </c>
      <c r="J239" s="2">
        <v>74927</v>
      </c>
      <c r="K239" s="2">
        <v>43</v>
      </c>
      <c r="L239" s="2" t="s">
        <v>62</v>
      </c>
      <c r="M239" s="2" t="s">
        <v>38</v>
      </c>
      <c r="N239" s="4">
        <f>_xlfn.XLOOKUP(Table1[[#This Row],[Campaign_Name]],'Campaign Metadata'!A:A,'Campaign Metadata'!B:B,"Notfound",0)</f>
        <v>45717</v>
      </c>
      <c r="O239" s="4">
        <f>_xlfn.XLOOKUP(Table1[[#This Row],[Campaign_Name]],'Campaign Metadata'!A:A,'Campaign Metadata'!C:C,"Not found",0)</f>
        <v>45747</v>
      </c>
      <c r="P239" t="str">
        <f>IF(AND(Table1[[#This Row],[Date]]&gt;=Table1[[#This Row],[Campaign Start Date]],Table1[[#This Row],[Date]]&lt;=Table1[[#This Row],[Campaign End Date]]),"During Campaign","Before Campaign")</f>
        <v>Before Campaign</v>
      </c>
    </row>
    <row r="240" spans="1:16" ht="15.75" customHeight="1" x14ac:dyDescent="0.3">
      <c r="A240" s="2" t="s">
        <v>470</v>
      </c>
      <c r="B240" s="2" t="s">
        <v>27</v>
      </c>
      <c r="C240" s="2" t="s">
        <v>147</v>
      </c>
      <c r="D240" s="2" t="s">
        <v>22</v>
      </c>
      <c r="E240" s="2" t="s">
        <v>104</v>
      </c>
      <c r="F240" s="2">
        <v>4188</v>
      </c>
      <c r="G240" s="2">
        <v>942</v>
      </c>
      <c r="H240" s="2">
        <v>118</v>
      </c>
      <c r="I240" s="2">
        <v>20940</v>
      </c>
      <c r="J240" s="2">
        <v>20471</v>
      </c>
      <c r="K240" s="2">
        <v>102</v>
      </c>
      <c r="L240" s="2" t="s">
        <v>62</v>
      </c>
      <c r="N240" s="4">
        <f>_xlfn.XLOOKUP(Table1[[#This Row],[Campaign_Name]],'Campaign Metadata'!A:A,'Campaign Metadata'!B:B,"Notfound",0)</f>
        <v>0</v>
      </c>
      <c r="O240" s="4">
        <f>_xlfn.XLOOKUP(Table1[[#This Row],[Campaign_Name]],'Campaign Metadata'!A:A,'Campaign Metadata'!C:C,"Not found",0)</f>
        <v>0</v>
      </c>
      <c r="P240" t="str">
        <f>IF(AND(Table1[[#This Row],[Date]]&gt;=Table1[[#This Row],[Campaign Start Date]],Table1[[#This Row],[Date]]&lt;=Table1[[#This Row],[Campaign End Date]]),"During Campaign","Before Campaign")</f>
        <v>Before Campaign</v>
      </c>
    </row>
    <row r="241" spans="1:16" ht="15.75" customHeight="1" x14ac:dyDescent="0.3">
      <c r="A241" s="2" t="s">
        <v>471</v>
      </c>
      <c r="B241" s="2" t="s">
        <v>14</v>
      </c>
      <c r="C241" s="2" t="s">
        <v>77</v>
      </c>
      <c r="D241" s="2" t="s">
        <v>45</v>
      </c>
      <c r="E241" s="2" t="s">
        <v>49</v>
      </c>
      <c r="F241" s="2">
        <v>929</v>
      </c>
      <c r="G241" s="2">
        <v>192</v>
      </c>
      <c r="H241" s="2">
        <v>322</v>
      </c>
      <c r="I241" s="2">
        <v>16722</v>
      </c>
      <c r="J241" s="2">
        <v>15996</v>
      </c>
      <c r="K241" s="2">
        <v>145</v>
      </c>
      <c r="L241" s="2" t="s">
        <v>175</v>
      </c>
      <c r="M241" s="2" t="s">
        <v>31</v>
      </c>
      <c r="N241" s="4">
        <f>_xlfn.XLOOKUP(Table1[[#This Row],[Campaign_Name]],'Campaign Metadata'!A:A,'Campaign Metadata'!B:B,"Notfound",0)</f>
        <v>45651</v>
      </c>
      <c r="O241" s="4">
        <f>_xlfn.XLOOKUP(Table1[[#This Row],[Campaign_Name]],'Campaign Metadata'!A:A,'Campaign Metadata'!C:C,"Not found",0)</f>
        <v>45667</v>
      </c>
      <c r="P241" t="str">
        <f>IF(AND(Table1[[#This Row],[Date]]&gt;=Table1[[#This Row],[Campaign Start Date]],Table1[[#This Row],[Date]]&lt;=Table1[[#This Row],[Campaign End Date]]),"During Campaign","Before Campaign")</f>
        <v>Before Campaign</v>
      </c>
    </row>
    <row r="242" spans="1:16" ht="15.75" customHeight="1" x14ac:dyDescent="0.3">
      <c r="A242" s="2" t="s">
        <v>472</v>
      </c>
      <c r="B242" s="2" t="s">
        <v>43</v>
      </c>
      <c r="C242" s="2" t="s">
        <v>473</v>
      </c>
      <c r="D242" s="2" t="s">
        <v>35</v>
      </c>
      <c r="E242" s="2" t="s">
        <v>71</v>
      </c>
      <c r="F242" s="2">
        <v>4321</v>
      </c>
      <c r="G242" s="2">
        <v>874</v>
      </c>
      <c r="H242" s="2">
        <v>172</v>
      </c>
      <c r="I242" s="2">
        <v>30247</v>
      </c>
      <c r="J242" s="2">
        <v>29254</v>
      </c>
      <c r="K242" s="2">
        <v>122</v>
      </c>
      <c r="L242" s="2" t="s">
        <v>30</v>
      </c>
      <c r="M242" s="2" t="s">
        <v>38</v>
      </c>
      <c r="N242" s="4">
        <f>_xlfn.XLOOKUP(Table1[[#This Row],[Campaign_Name]],'Campaign Metadata'!A:A,'Campaign Metadata'!B:B,"Notfound",0)</f>
        <v>45717</v>
      </c>
      <c r="O242" s="4">
        <f>_xlfn.XLOOKUP(Table1[[#This Row],[Campaign_Name]],'Campaign Metadata'!A:A,'Campaign Metadata'!C:C,"Not found",0)</f>
        <v>45747</v>
      </c>
      <c r="P242" t="str">
        <f>IF(AND(Table1[[#This Row],[Date]]&gt;=Table1[[#This Row],[Campaign Start Date]],Table1[[#This Row],[Date]]&lt;=Table1[[#This Row],[Campaign End Date]]),"During Campaign","Before Campaign")</f>
        <v>Before Campaign</v>
      </c>
    </row>
    <row r="243" spans="1:16" ht="15.75" customHeight="1" x14ac:dyDescent="0.3">
      <c r="A243" s="2" t="s">
        <v>474</v>
      </c>
      <c r="B243" s="2" t="s">
        <v>43</v>
      </c>
      <c r="C243" s="2" t="s">
        <v>228</v>
      </c>
      <c r="D243" s="2" t="s">
        <v>16</v>
      </c>
      <c r="E243" s="2" t="s">
        <v>65</v>
      </c>
      <c r="F243" s="2">
        <v>4767</v>
      </c>
      <c r="G243" s="2">
        <v>190</v>
      </c>
      <c r="H243" s="2">
        <v>340</v>
      </c>
      <c r="I243" s="2">
        <v>28602</v>
      </c>
      <c r="J243" s="2">
        <v>28044</v>
      </c>
      <c r="K243" s="2">
        <v>210</v>
      </c>
      <c r="L243" s="2" t="s">
        <v>37</v>
      </c>
      <c r="M243" s="2" t="s">
        <v>31</v>
      </c>
      <c r="N243" s="4">
        <f>_xlfn.XLOOKUP(Table1[[#This Row],[Campaign_Name]],'Campaign Metadata'!A:A,'Campaign Metadata'!B:B,"Notfound",0)</f>
        <v>45651</v>
      </c>
      <c r="O243" s="4">
        <f>_xlfn.XLOOKUP(Table1[[#This Row],[Campaign_Name]],'Campaign Metadata'!A:A,'Campaign Metadata'!C:C,"Not found",0)</f>
        <v>45667</v>
      </c>
      <c r="P243" t="str">
        <f>IF(AND(Table1[[#This Row],[Date]]&gt;=Table1[[#This Row],[Campaign Start Date]],Table1[[#This Row],[Date]]&lt;=Table1[[#This Row],[Campaign End Date]]),"During Campaign","Before Campaign")</f>
        <v>Before Campaign</v>
      </c>
    </row>
    <row r="244" spans="1:16" ht="15.75" customHeight="1" x14ac:dyDescent="0.3">
      <c r="A244" s="2" t="s">
        <v>475</v>
      </c>
      <c r="B244" s="2" t="s">
        <v>14</v>
      </c>
      <c r="C244" s="2" t="s">
        <v>476</v>
      </c>
      <c r="D244" s="2" t="s">
        <v>52</v>
      </c>
      <c r="E244" s="2" t="s">
        <v>132</v>
      </c>
      <c r="F244" s="2">
        <v>3592</v>
      </c>
      <c r="G244" s="2">
        <v>911</v>
      </c>
      <c r="H244" s="2">
        <v>375</v>
      </c>
      <c r="I244" s="2">
        <v>50288</v>
      </c>
      <c r="J244" s="2">
        <v>49490</v>
      </c>
      <c r="K244" s="2">
        <v>32</v>
      </c>
      <c r="L244" s="2" t="s">
        <v>62</v>
      </c>
      <c r="M244" s="2" t="s">
        <v>38</v>
      </c>
      <c r="N244" s="4">
        <f>_xlfn.XLOOKUP(Table1[[#This Row],[Campaign_Name]],'Campaign Metadata'!A:A,'Campaign Metadata'!B:B,"Notfound",0)</f>
        <v>45717</v>
      </c>
      <c r="O244" s="4">
        <f>_xlfn.XLOOKUP(Table1[[#This Row],[Campaign_Name]],'Campaign Metadata'!A:A,'Campaign Metadata'!C:C,"Not found",0)</f>
        <v>45747</v>
      </c>
      <c r="P244" t="str">
        <f>IF(AND(Table1[[#This Row],[Date]]&gt;=Table1[[#This Row],[Campaign Start Date]],Table1[[#This Row],[Date]]&lt;=Table1[[#This Row],[Campaign End Date]]),"During Campaign","Before Campaign")</f>
        <v>Before Campaign</v>
      </c>
    </row>
    <row r="245" spans="1:16" ht="15.75" customHeight="1" x14ac:dyDescent="0.3">
      <c r="A245" s="2" t="s">
        <v>477</v>
      </c>
      <c r="B245" s="2" t="s">
        <v>27</v>
      </c>
      <c r="C245" s="2" t="s">
        <v>478</v>
      </c>
      <c r="D245" s="2" t="s">
        <v>74</v>
      </c>
      <c r="E245" s="2" t="s">
        <v>219</v>
      </c>
      <c r="F245" s="2">
        <v>4661</v>
      </c>
      <c r="G245" s="2">
        <v>935</v>
      </c>
      <c r="H245" s="2">
        <v>433</v>
      </c>
      <c r="I245" s="2">
        <v>23305</v>
      </c>
      <c r="J245" s="2">
        <v>22583</v>
      </c>
      <c r="K245" s="2">
        <v>63</v>
      </c>
      <c r="L245" s="2" t="s">
        <v>62</v>
      </c>
      <c r="M245" s="2" t="s">
        <v>31</v>
      </c>
      <c r="N245" s="4">
        <f>_xlfn.XLOOKUP(Table1[[#This Row],[Campaign_Name]],'Campaign Metadata'!A:A,'Campaign Metadata'!B:B,"Notfound",0)</f>
        <v>45651</v>
      </c>
      <c r="O245" s="4">
        <f>_xlfn.XLOOKUP(Table1[[#This Row],[Campaign_Name]],'Campaign Metadata'!A:A,'Campaign Metadata'!C:C,"Not found",0)</f>
        <v>45667</v>
      </c>
      <c r="P245" t="str">
        <f>IF(AND(Table1[[#This Row],[Date]]&gt;=Table1[[#This Row],[Campaign Start Date]],Table1[[#This Row],[Date]]&lt;=Table1[[#This Row],[Campaign End Date]]),"During Campaign","Before Campaign")</f>
        <v>Before Campaign</v>
      </c>
    </row>
    <row r="246" spans="1:16" ht="15.75" customHeight="1" x14ac:dyDescent="0.3">
      <c r="A246" s="2" t="s">
        <v>479</v>
      </c>
      <c r="B246" s="2" t="s">
        <v>43</v>
      </c>
      <c r="C246" s="2" t="s">
        <v>480</v>
      </c>
      <c r="D246" s="2" t="s">
        <v>16</v>
      </c>
      <c r="E246" s="2" t="s">
        <v>65</v>
      </c>
      <c r="F246" s="2">
        <v>4134</v>
      </c>
      <c r="G246" s="2">
        <v>824</v>
      </c>
      <c r="H246" s="2">
        <v>99</v>
      </c>
      <c r="I246" s="2">
        <v>41340</v>
      </c>
      <c r="J246" s="2">
        <v>41050</v>
      </c>
      <c r="K246" s="2">
        <v>177</v>
      </c>
      <c r="L246" s="2" t="s">
        <v>37</v>
      </c>
      <c r="M246" s="2" t="s">
        <v>19</v>
      </c>
      <c r="N246" s="4">
        <f>_xlfn.XLOOKUP(Table1[[#This Row],[Campaign_Name]],'Campaign Metadata'!A:A,'Campaign Metadata'!B:B,"Notfound",0)</f>
        <v>45458</v>
      </c>
      <c r="O246" s="4">
        <f>_xlfn.XLOOKUP(Table1[[#This Row],[Campaign_Name]],'Campaign Metadata'!A:A,'Campaign Metadata'!C:C,"Not found",0)</f>
        <v>45488</v>
      </c>
      <c r="P246" t="str">
        <f>IF(AND(Table1[[#This Row],[Date]]&gt;=Table1[[#This Row],[Campaign Start Date]],Table1[[#This Row],[Date]]&lt;=Table1[[#This Row],[Campaign End Date]]),"During Campaign","Before Campaign")</f>
        <v>Before Campaign</v>
      </c>
    </row>
    <row r="247" spans="1:16" ht="15.75" customHeight="1" x14ac:dyDescent="0.3">
      <c r="A247" s="2" t="s">
        <v>481</v>
      </c>
      <c r="B247" s="2" t="s">
        <v>43</v>
      </c>
      <c r="C247" s="2" t="s">
        <v>482</v>
      </c>
      <c r="D247" s="2" t="s">
        <v>52</v>
      </c>
      <c r="E247" s="2" t="s">
        <v>59</v>
      </c>
      <c r="F247" s="2">
        <v>400</v>
      </c>
      <c r="G247" s="2">
        <v>680</v>
      </c>
      <c r="H247" s="2">
        <v>434</v>
      </c>
      <c r="I247" s="2">
        <v>6400</v>
      </c>
      <c r="J247" s="2">
        <v>5472</v>
      </c>
      <c r="K247" s="2">
        <v>160</v>
      </c>
      <c r="L247" s="2" t="s">
        <v>62</v>
      </c>
      <c r="M247" s="2" t="s">
        <v>25</v>
      </c>
      <c r="N247" s="4">
        <f>_xlfn.XLOOKUP(Table1[[#This Row],[Campaign_Name]],'Campaign Metadata'!A:A,'Campaign Metadata'!B:B,"Notfound",0)</f>
        <v>45566</v>
      </c>
      <c r="O247" s="4">
        <f>_xlfn.XLOOKUP(Table1[[#This Row],[Campaign_Name]],'Campaign Metadata'!A:A,'Campaign Metadata'!C:C,"Not found",0)</f>
        <v>45596</v>
      </c>
      <c r="P247" t="str">
        <f>IF(AND(Table1[[#This Row],[Date]]&gt;=Table1[[#This Row],[Campaign Start Date]],Table1[[#This Row],[Date]]&lt;=Table1[[#This Row],[Campaign End Date]]),"During Campaign","Before Campaign")</f>
        <v>Before Campaign</v>
      </c>
    </row>
    <row r="248" spans="1:16" ht="15.75" customHeight="1" x14ac:dyDescent="0.3">
      <c r="A248" s="2" t="s">
        <v>483</v>
      </c>
      <c r="B248" s="2" t="s">
        <v>43</v>
      </c>
      <c r="C248" s="2" t="s">
        <v>484</v>
      </c>
      <c r="D248" s="2" t="s">
        <v>16</v>
      </c>
      <c r="E248" s="2" t="s">
        <v>65</v>
      </c>
      <c r="F248" s="2">
        <v>3960</v>
      </c>
      <c r="G248" s="2">
        <v>266</v>
      </c>
      <c r="H248" s="2">
        <v>8</v>
      </c>
      <c r="I248" s="2">
        <v>35640</v>
      </c>
      <c r="J248" s="2">
        <v>34850</v>
      </c>
      <c r="K248" s="2">
        <v>208</v>
      </c>
      <c r="L248" s="2" t="s">
        <v>485</v>
      </c>
      <c r="N248" s="4">
        <f>_xlfn.XLOOKUP(Table1[[#This Row],[Campaign_Name]],'Campaign Metadata'!A:A,'Campaign Metadata'!B:B,"Notfound",0)</f>
        <v>0</v>
      </c>
      <c r="O248" s="4">
        <f>_xlfn.XLOOKUP(Table1[[#This Row],[Campaign_Name]],'Campaign Metadata'!A:A,'Campaign Metadata'!C:C,"Not found",0)</f>
        <v>0</v>
      </c>
      <c r="P248" t="str">
        <f>IF(AND(Table1[[#This Row],[Date]]&gt;=Table1[[#This Row],[Campaign Start Date]],Table1[[#This Row],[Date]]&lt;=Table1[[#This Row],[Campaign End Date]]),"During Campaign","Before Campaign")</f>
        <v>Before Campaign</v>
      </c>
    </row>
    <row r="249" spans="1:16" ht="15.75" customHeight="1" x14ac:dyDescent="0.3">
      <c r="A249" s="2" t="s">
        <v>486</v>
      </c>
      <c r="B249" s="2" t="s">
        <v>43</v>
      </c>
      <c r="C249" s="2" t="s">
        <v>61</v>
      </c>
      <c r="D249" s="2" t="s">
        <v>35</v>
      </c>
      <c r="E249" s="2" t="s">
        <v>71</v>
      </c>
      <c r="F249" s="2">
        <v>886</v>
      </c>
      <c r="G249" s="2">
        <v>126</v>
      </c>
      <c r="H249" s="2">
        <v>153</v>
      </c>
      <c r="I249" s="2">
        <v>4430</v>
      </c>
      <c r="J249" s="2">
        <v>4037</v>
      </c>
      <c r="K249" s="2">
        <v>212</v>
      </c>
      <c r="L249" s="2" t="s">
        <v>37</v>
      </c>
      <c r="N249" s="4">
        <f>_xlfn.XLOOKUP(Table1[[#This Row],[Campaign_Name]],'Campaign Metadata'!A:A,'Campaign Metadata'!B:B,"Notfound",0)</f>
        <v>0</v>
      </c>
      <c r="O249" s="4">
        <f>_xlfn.XLOOKUP(Table1[[#This Row],[Campaign_Name]],'Campaign Metadata'!A:A,'Campaign Metadata'!C:C,"Not found",0)</f>
        <v>0</v>
      </c>
      <c r="P249" t="str">
        <f>IF(AND(Table1[[#This Row],[Date]]&gt;=Table1[[#This Row],[Campaign Start Date]],Table1[[#This Row],[Date]]&lt;=Table1[[#This Row],[Campaign End Date]]),"During Campaign","Before Campaign")</f>
        <v>Before Campaign</v>
      </c>
    </row>
    <row r="250" spans="1:16" ht="15.75" customHeight="1" x14ac:dyDescent="0.3">
      <c r="A250" s="2" t="s">
        <v>487</v>
      </c>
      <c r="B250" s="2" t="s">
        <v>14</v>
      </c>
      <c r="C250" s="2" t="s">
        <v>430</v>
      </c>
      <c r="D250" s="2" t="s">
        <v>52</v>
      </c>
      <c r="E250" s="2" t="s">
        <v>132</v>
      </c>
      <c r="F250" s="2">
        <v>827</v>
      </c>
      <c r="G250" s="2">
        <v>77</v>
      </c>
      <c r="H250" s="2">
        <v>402</v>
      </c>
      <c r="I250" s="2">
        <v>14886</v>
      </c>
      <c r="J250" s="2">
        <v>14129</v>
      </c>
      <c r="K250" s="2">
        <v>254</v>
      </c>
      <c r="L250" s="2" t="s">
        <v>37</v>
      </c>
      <c r="M250" s="2" t="s">
        <v>25</v>
      </c>
      <c r="N250" s="4">
        <f>_xlfn.XLOOKUP(Table1[[#This Row],[Campaign_Name]],'Campaign Metadata'!A:A,'Campaign Metadata'!B:B,"Notfound",0)</f>
        <v>45566</v>
      </c>
      <c r="O250" s="4">
        <f>_xlfn.XLOOKUP(Table1[[#This Row],[Campaign_Name]],'Campaign Metadata'!A:A,'Campaign Metadata'!C:C,"Not found",0)</f>
        <v>45596</v>
      </c>
      <c r="P250" t="str">
        <f>IF(AND(Table1[[#This Row],[Date]]&gt;=Table1[[#This Row],[Campaign Start Date]],Table1[[#This Row],[Date]]&lt;=Table1[[#This Row],[Campaign End Date]]),"During Campaign","Before Campaign")</f>
        <v>Before Campaign</v>
      </c>
    </row>
    <row r="251" spans="1:16" ht="15.75" customHeight="1" x14ac:dyDescent="0.3">
      <c r="A251" s="2" t="s">
        <v>488</v>
      </c>
      <c r="B251" s="2" t="s">
        <v>43</v>
      </c>
      <c r="C251" s="2" t="s">
        <v>172</v>
      </c>
      <c r="D251" s="2" t="s">
        <v>16</v>
      </c>
      <c r="E251" s="2" t="s">
        <v>65</v>
      </c>
      <c r="F251" s="2">
        <v>3813</v>
      </c>
      <c r="G251" s="2">
        <v>935</v>
      </c>
      <c r="H251" s="2">
        <v>274</v>
      </c>
      <c r="I251" s="2">
        <v>68634</v>
      </c>
      <c r="J251" s="2">
        <v>68488</v>
      </c>
      <c r="K251" s="2">
        <v>251</v>
      </c>
      <c r="L251" s="2" t="s">
        <v>62</v>
      </c>
      <c r="N251" s="4">
        <f>_xlfn.XLOOKUP(Table1[[#This Row],[Campaign_Name]],'Campaign Metadata'!A:A,'Campaign Metadata'!B:B,"Notfound",0)</f>
        <v>0</v>
      </c>
      <c r="O251" s="4">
        <f>_xlfn.XLOOKUP(Table1[[#This Row],[Campaign_Name]],'Campaign Metadata'!A:A,'Campaign Metadata'!C:C,"Not found",0)</f>
        <v>0</v>
      </c>
      <c r="P251" t="str">
        <f>IF(AND(Table1[[#This Row],[Date]]&gt;=Table1[[#This Row],[Campaign Start Date]],Table1[[#This Row],[Date]]&lt;=Table1[[#This Row],[Campaign End Date]]),"During Campaign","Before Campaign")</f>
        <v>Before Campaign</v>
      </c>
    </row>
    <row r="252" spans="1:16" ht="15.75" customHeight="1" x14ac:dyDescent="0.3">
      <c r="A252" s="2" t="s">
        <v>489</v>
      </c>
      <c r="B252" s="2" t="s">
        <v>33</v>
      </c>
      <c r="C252" s="2" t="s">
        <v>490</v>
      </c>
      <c r="D252" s="2" t="s">
        <v>45</v>
      </c>
      <c r="E252" s="2" t="s">
        <v>88</v>
      </c>
      <c r="F252" s="2">
        <v>1377</v>
      </c>
      <c r="G252" s="2">
        <v>796</v>
      </c>
      <c r="H252" s="2">
        <v>387</v>
      </c>
      <c r="I252" s="2">
        <v>22032</v>
      </c>
      <c r="J252" s="2">
        <v>21869</v>
      </c>
      <c r="K252" s="2">
        <v>189</v>
      </c>
      <c r="L252" s="2" t="s">
        <v>62</v>
      </c>
      <c r="N252" s="4">
        <f>_xlfn.XLOOKUP(Table1[[#This Row],[Campaign_Name]],'Campaign Metadata'!A:A,'Campaign Metadata'!B:B,"Notfound",0)</f>
        <v>0</v>
      </c>
      <c r="O252" s="4">
        <f>_xlfn.XLOOKUP(Table1[[#This Row],[Campaign_Name]],'Campaign Metadata'!A:A,'Campaign Metadata'!C:C,"Not found",0)</f>
        <v>0</v>
      </c>
      <c r="P252" t="str">
        <f>IF(AND(Table1[[#This Row],[Date]]&gt;=Table1[[#This Row],[Campaign Start Date]],Table1[[#This Row],[Date]]&lt;=Table1[[#This Row],[Campaign End Date]]),"During Campaign","Before Campaign")</f>
        <v>Before Campaign</v>
      </c>
    </row>
    <row r="253" spans="1:16" ht="15.75" customHeight="1" x14ac:dyDescent="0.3">
      <c r="A253" s="2" t="s">
        <v>491</v>
      </c>
      <c r="B253" s="2" t="s">
        <v>43</v>
      </c>
      <c r="C253" s="2" t="s">
        <v>364</v>
      </c>
      <c r="D253" s="2" t="s">
        <v>45</v>
      </c>
      <c r="E253" s="2" t="s">
        <v>46</v>
      </c>
      <c r="F253" s="2">
        <v>2089</v>
      </c>
      <c r="G253" s="2">
        <v>476</v>
      </c>
      <c r="H253" s="2">
        <v>69</v>
      </c>
      <c r="I253" s="2">
        <v>16712</v>
      </c>
      <c r="J253" s="2">
        <v>16309</v>
      </c>
      <c r="K253" s="2">
        <v>64</v>
      </c>
      <c r="L253" s="2" t="s">
        <v>62</v>
      </c>
      <c r="M253" s="2" t="s">
        <v>31</v>
      </c>
      <c r="N253" s="4">
        <f>_xlfn.XLOOKUP(Table1[[#This Row],[Campaign_Name]],'Campaign Metadata'!A:A,'Campaign Metadata'!B:B,"Notfound",0)</f>
        <v>45651</v>
      </c>
      <c r="O253" s="4">
        <f>_xlfn.XLOOKUP(Table1[[#This Row],[Campaign_Name]],'Campaign Metadata'!A:A,'Campaign Metadata'!C:C,"Not found",0)</f>
        <v>45667</v>
      </c>
      <c r="P253" t="str">
        <f>IF(AND(Table1[[#This Row],[Date]]&gt;=Table1[[#This Row],[Campaign Start Date]],Table1[[#This Row],[Date]]&lt;=Table1[[#This Row],[Campaign End Date]]),"During Campaign","Before Campaign")</f>
        <v>Before Campaign</v>
      </c>
    </row>
    <row r="254" spans="1:16" ht="15.75" customHeight="1" x14ac:dyDescent="0.3">
      <c r="A254" s="2" t="s">
        <v>492</v>
      </c>
      <c r="B254" s="2" t="s">
        <v>14</v>
      </c>
      <c r="C254" s="2" t="s">
        <v>493</v>
      </c>
      <c r="D254" s="2" t="s">
        <v>16</v>
      </c>
      <c r="E254" s="2" t="s">
        <v>17</v>
      </c>
      <c r="F254" s="2">
        <v>3791</v>
      </c>
      <c r="G254" s="2">
        <v>593</v>
      </c>
      <c r="H254" s="2">
        <v>228</v>
      </c>
      <c r="I254" s="2">
        <v>53074</v>
      </c>
      <c r="J254" s="2">
        <v>52613</v>
      </c>
      <c r="K254" s="2">
        <v>205</v>
      </c>
      <c r="L254" s="2" t="s">
        <v>37</v>
      </c>
      <c r="N254" s="4">
        <f>_xlfn.XLOOKUP(Table1[[#This Row],[Campaign_Name]],'Campaign Metadata'!A:A,'Campaign Metadata'!B:B,"Notfound",0)</f>
        <v>0</v>
      </c>
      <c r="O254" s="4">
        <f>_xlfn.XLOOKUP(Table1[[#This Row],[Campaign_Name]],'Campaign Metadata'!A:A,'Campaign Metadata'!C:C,"Not found",0)</f>
        <v>0</v>
      </c>
      <c r="P254" t="str">
        <f>IF(AND(Table1[[#This Row],[Date]]&gt;=Table1[[#This Row],[Campaign Start Date]],Table1[[#This Row],[Date]]&lt;=Table1[[#This Row],[Campaign End Date]]),"During Campaign","Before Campaign")</f>
        <v>Before Campaign</v>
      </c>
    </row>
    <row r="255" spans="1:16" ht="15.75" customHeight="1" x14ac:dyDescent="0.3">
      <c r="A255" s="2" t="s">
        <v>494</v>
      </c>
      <c r="B255" s="2" t="s">
        <v>14</v>
      </c>
      <c r="C255" s="2" t="s">
        <v>495</v>
      </c>
      <c r="D255" s="2" t="s">
        <v>52</v>
      </c>
      <c r="E255" s="2" t="s">
        <v>132</v>
      </c>
      <c r="F255" s="2">
        <v>2692</v>
      </c>
      <c r="G255" s="2">
        <v>115</v>
      </c>
      <c r="H255" s="2">
        <v>64</v>
      </c>
      <c r="I255" s="2">
        <v>21536</v>
      </c>
      <c r="J255" s="2">
        <v>21120</v>
      </c>
      <c r="K255" s="2">
        <v>224</v>
      </c>
      <c r="L255" s="2" t="s">
        <v>62</v>
      </c>
      <c r="M255" s="2" t="s">
        <v>25</v>
      </c>
      <c r="N255" s="4">
        <f>_xlfn.XLOOKUP(Table1[[#This Row],[Campaign_Name]],'Campaign Metadata'!A:A,'Campaign Metadata'!B:B,"Notfound",0)</f>
        <v>45566</v>
      </c>
      <c r="O255" s="4">
        <f>_xlfn.XLOOKUP(Table1[[#This Row],[Campaign_Name]],'Campaign Metadata'!A:A,'Campaign Metadata'!C:C,"Not found",0)</f>
        <v>45596</v>
      </c>
      <c r="P255" t="str">
        <f>IF(AND(Table1[[#This Row],[Date]]&gt;=Table1[[#This Row],[Campaign Start Date]],Table1[[#This Row],[Date]]&lt;=Table1[[#This Row],[Campaign End Date]]),"During Campaign","Before Campaign")</f>
        <v>Before Campaign</v>
      </c>
    </row>
    <row r="256" spans="1:16" ht="15.75" customHeight="1" x14ac:dyDescent="0.3">
      <c r="A256" s="2" t="s">
        <v>496</v>
      </c>
      <c r="B256" s="2" t="s">
        <v>43</v>
      </c>
      <c r="C256" s="2" t="s">
        <v>21</v>
      </c>
      <c r="D256" s="2" t="s">
        <v>35</v>
      </c>
      <c r="E256" s="2" t="s">
        <v>71</v>
      </c>
      <c r="F256" s="2">
        <v>3767</v>
      </c>
      <c r="G256" s="2">
        <v>514</v>
      </c>
      <c r="H256" s="2">
        <v>238</v>
      </c>
      <c r="I256" s="2">
        <v>37670</v>
      </c>
      <c r="J256" s="2">
        <v>36807</v>
      </c>
      <c r="K256" s="2">
        <v>226</v>
      </c>
      <c r="L256" s="2" t="s">
        <v>62</v>
      </c>
      <c r="M256" s="2" t="s">
        <v>38</v>
      </c>
      <c r="N256" s="4">
        <f>_xlfn.XLOOKUP(Table1[[#This Row],[Campaign_Name]],'Campaign Metadata'!A:A,'Campaign Metadata'!B:B,"Notfound",0)</f>
        <v>45717</v>
      </c>
      <c r="O256" s="4">
        <f>_xlfn.XLOOKUP(Table1[[#This Row],[Campaign_Name]],'Campaign Metadata'!A:A,'Campaign Metadata'!C:C,"Not found",0)</f>
        <v>45747</v>
      </c>
      <c r="P256" t="str">
        <f>IF(AND(Table1[[#This Row],[Date]]&gt;=Table1[[#This Row],[Campaign Start Date]],Table1[[#This Row],[Date]]&lt;=Table1[[#This Row],[Campaign End Date]]),"During Campaign","Before Campaign")</f>
        <v>Before Campaign</v>
      </c>
    </row>
    <row r="257" spans="1:16" ht="15.75" customHeight="1" x14ac:dyDescent="0.3">
      <c r="A257" s="2" t="s">
        <v>497</v>
      </c>
      <c r="B257" s="2" t="s">
        <v>27</v>
      </c>
      <c r="C257" s="2" t="s">
        <v>252</v>
      </c>
      <c r="D257" s="2" t="s">
        <v>45</v>
      </c>
      <c r="E257" s="2" t="s">
        <v>68</v>
      </c>
      <c r="F257" s="2">
        <v>2143</v>
      </c>
      <c r="G257" s="2">
        <v>12</v>
      </c>
      <c r="H257" s="2">
        <v>204</v>
      </c>
      <c r="I257" s="2">
        <v>40717</v>
      </c>
      <c r="J257" s="2">
        <v>40125</v>
      </c>
      <c r="K257" s="2">
        <v>248</v>
      </c>
      <c r="L257" s="2" t="s">
        <v>37</v>
      </c>
      <c r="M257" s="2" t="s">
        <v>25</v>
      </c>
      <c r="N257" s="4">
        <f>_xlfn.XLOOKUP(Table1[[#This Row],[Campaign_Name]],'Campaign Metadata'!A:A,'Campaign Metadata'!B:B,"Notfound",0)</f>
        <v>45566</v>
      </c>
      <c r="O257" s="4">
        <f>_xlfn.XLOOKUP(Table1[[#This Row],[Campaign_Name]],'Campaign Metadata'!A:A,'Campaign Metadata'!C:C,"Not found",0)</f>
        <v>45596</v>
      </c>
      <c r="P257" t="str">
        <f>IF(AND(Table1[[#This Row],[Date]]&gt;=Table1[[#This Row],[Campaign Start Date]],Table1[[#This Row],[Date]]&lt;=Table1[[#This Row],[Campaign End Date]]),"During Campaign","Before Campaign")</f>
        <v>Before Campaign</v>
      </c>
    </row>
    <row r="258" spans="1:16" ht="15.75" customHeight="1" x14ac:dyDescent="0.3">
      <c r="A258" s="2" t="s">
        <v>498</v>
      </c>
      <c r="B258" s="2" t="s">
        <v>43</v>
      </c>
      <c r="C258" s="2" t="s">
        <v>291</v>
      </c>
      <c r="D258" s="2" t="s">
        <v>52</v>
      </c>
      <c r="E258" s="2" t="s">
        <v>59</v>
      </c>
      <c r="F258" s="2">
        <v>3090</v>
      </c>
      <c r="G258" s="2">
        <v>697</v>
      </c>
      <c r="H258" s="2">
        <v>164</v>
      </c>
      <c r="I258" s="2">
        <v>49440</v>
      </c>
      <c r="J258" s="2">
        <v>48524</v>
      </c>
      <c r="K258" s="2">
        <v>25</v>
      </c>
      <c r="L258" s="2" t="s">
        <v>499</v>
      </c>
      <c r="M258" s="2" t="s">
        <v>25</v>
      </c>
      <c r="N258" s="4">
        <f>_xlfn.XLOOKUP(Table1[[#This Row],[Campaign_Name]],'Campaign Metadata'!A:A,'Campaign Metadata'!B:B,"Notfound",0)</f>
        <v>45566</v>
      </c>
      <c r="O258" s="4">
        <f>_xlfn.XLOOKUP(Table1[[#This Row],[Campaign_Name]],'Campaign Metadata'!A:A,'Campaign Metadata'!C:C,"Not found",0)</f>
        <v>45596</v>
      </c>
      <c r="P258" t="str">
        <f>IF(AND(Table1[[#This Row],[Date]]&gt;=Table1[[#This Row],[Campaign Start Date]],Table1[[#This Row],[Date]]&lt;=Table1[[#This Row],[Campaign End Date]]),"During Campaign","Before Campaign")</f>
        <v>Before Campaign</v>
      </c>
    </row>
    <row r="259" spans="1:16" ht="15.75" customHeight="1" x14ac:dyDescent="0.3">
      <c r="A259" s="2" t="s">
        <v>500</v>
      </c>
      <c r="B259" s="2" t="s">
        <v>33</v>
      </c>
      <c r="C259" s="2" t="s">
        <v>501</v>
      </c>
      <c r="D259" s="2" t="s">
        <v>35</v>
      </c>
      <c r="E259" s="2" t="s">
        <v>36</v>
      </c>
      <c r="F259" s="2">
        <v>3601</v>
      </c>
      <c r="G259" s="2">
        <v>695</v>
      </c>
      <c r="H259" s="2">
        <v>75</v>
      </c>
      <c r="I259" s="2">
        <v>21606</v>
      </c>
      <c r="J259" s="2">
        <v>21454</v>
      </c>
      <c r="K259" s="2">
        <v>172</v>
      </c>
      <c r="L259" s="2" t="s">
        <v>37</v>
      </c>
      <c r="M259" s="2" t="s">
        <v>25</v>
      </c>
      <c r="N259" s="4">
        <f>_xlfn.XLOOKUP(Table1[[#This Row],[Campaign_Name]],'Campaign Metadata'!A:A,'Campaign Metadata'!B:B,"Notfound",0)</f>
        <v>45566</v>
      </c>
      <c r="O259" s="4">
        <f>_xlfn.XLOOKUP(Table1[[#This Row],[Campaign_Name]],'Campaign Metadata'!A:A,'Campaign Metadata'!C:C,"Not found",0)</f>
        <v>45596</v>
      </c>
      <c r="P259" t="str">
        <f>IF(AND(Table1[[#This Row],[Date]]&gt;=Table1[[#This Row],[Campaign Start Date]],Table1[[#This Row],[Date]]&lt;=Table1[[#This Row],[Campaign End Date]]),"During Campaign","Before Campaign")</f>
        <v>Before Campaign</v>
      </c>
    </row>
    <row r="260" spans="1:16" ht="15.75" customHeight="1" x14ac:dyDescent="0.3">
      <c r="A260" s="2" t="s">
        <v>502</v>
      </c>
      <c r="B260" s="2" t="s">
        <v>43</v>
      </c>
      <c r="C260" s="2" t="s">
        <v>249</v>
      </c>
      <c r="D260" s="2" t="s">
        <v>22</v>
      </c>
      <c r="E260" s="2" t="s">
        <v>56</v>
      </c>
      <c r="F260" s="2">
        <v>562</v>
      </c>
      <c r="G260" s="2">
        <v>158</v>
      </c>
      <c r="H260" s="2">
        <v>149</v>
      </c>
      <c r="I260" s="2">
        <v>3372</v>
      </c>
      <c r="J260" s="2">
        <v>2940</v>
      </c>
      <c r="K260" s="2">
        <v>93</v>
      </c>
      <c r="L260" s="2" t="s">
        <v>30</v>
      </c>
      <c r="M260" s="2" t="s">
        <v>19</v>
      </c>
      <c r="N260" s="4">
        <f>_xlfn.XLOOKUP(Table1[[#This Row],[Campaign_Name]],'Campaign Metadata'!A:A,'Campaign Metadata'!B:B,"Notfound",0)</f>
        <v>45458</v>
      </c>
      <c r="O260" s="4">
        <f>_xlfn.XLOOKUP(Table1[[#This Row],[Campaign_Name]],'Campaign Metadata'!A:A,'Campaign Metadata'!C:C,"Not found",0)</f>
        <v>45488</v>
      </c>
      <c r="P260" t="str">
        <f>IF(AND(Table1[[#This Row],[Date]]&gt;=Table1[[#This Row],[Campaign Start Date]],Table1[[#This Row],[Date]]&lt;=Table1[[#This Row],[Campaign End Date]]),"During Campaign","Before Campaign")</f>
        <v>Before Campaign</v>
      </c>
    </row>
    <row r="261" spans="1:16" ht="15.75" customHeight="1" x14ac:dyDescent="0.3">
      <c r="A261" s="2" t="s">
        <v>503</v>
      </c>
      <c r="B261" s="2" t="s">
        <v>33</v>
      </c>
      <c r="C261" s="2" t="s">
        <v>504</v>
      </c>
      <c r="D261" s="2" t="s">
        <v>35</v>
      </c>
      <c r="E261" s="2" t="s">
        <v>36</v>
      </c>
      <c r="F261" s="2">
        <v>4332</v>
      </c>
      <c r="G261" s="2">
        <v>771</v>
      </c>
      <c r="H261" s="2">
        <v>219</v>
      </c>
      <c r="I261" s="2">
        <v>60648</v>
      </c>
      <c r="J261" s="2">
        <v>60397</v>
      </c>
      <c r="K261" s="2">
        <v>10</v>
      </c>
      <c r="L261" s="2" t="s">
        <v>505</v>
      </c>
      <c r="M261" s="2" t="s">
        <v>31</v>
      </c>
      <c r="N261" s="4">
        <f>_xlfn.XLOOKUP(Table1[[#This Row],[Campaign_Name]],'Campaign Metadata'!A:A,'Campaign Metadata'!B:B,"Notfound",0)</f>
        <v>45651</v>
      </c>
      <c r="O261" s="4">
        <f>_xlfn.XLOOKUP(Table1[[#This Row],[Campaign_Name]],'Campaign Metadata'!A:A,'Campaign Metadata'!C:C,"Not found",0)</f>
        <v>45667</v>
      </c>
      <c r="P261" t="str">
        <f>IF(AND(Table1[[#This Row],[Date]]&gt;=Table1[[#This Row],[Campaign Start Date]],Table1[[#This Row],[Date]]&lt;=Table1[[#This Row],[Campaign End Date]]),"During Campaign","Before Campaign")</f>
        <v>Before Campaign</v>
      </c>
    </row>
    <row r="262" spans="1:16" ht="15.75" customHeight="1" x14ac:dyDescent="0.3">
      <c r="A262" s="2" t="s">
        <v>506</v>
      </c>
      <c r="B262" s="2" t="s">
        <v>33</v>
      </c>
      <c r="C262" s="2" t="s">
        <v>507</v>
      </c>
      <c r="D262" s="2" t="s">
        <v>52</v>
      </c>
      <c r="E262" s="2" t="s">
        <v>215</v>
      </c>
      <c r="F262" s="2">
        <v>4853</v>
      </c>
      <c r="G262" s="2">
        <v>837</v>
      </c>
      <c r="H262" s="2">
        <v>340</v>
      </c>
      <c r="I262" s="2">
        <v>72795</v>
      </c>
      <c r="J262" s="2">
        <v>72237</v>
      </c>
      <c r="K262" s="2">
        <v>170</v>
      </c>
      <c r="L262" s="2" t="s">
        <v>37</v>
      </c>
      <c r="M262" s="2" t="s">
        <v>19</v>
      </c>
      <c r="N262" s="4">
        <f>_xlfn.XLOOKUP(Table1[[#This Row],[Campaign_Name]],'Campaign Metadata'!A:A,'Campaign Metadata'!B:B,"Notfound",0)</f>
        <v>45458</v>
      </c>
      <c r="O262" s="4">
        <f>_xlfn.XLOOKUP(Table1[[#This Row],[Campaign_Name]],'Campaign Metadata'!A:A,'Campaign Metadata'!C:C,"Not found",0)</f>
        <v>45488</v>
      </c>
      <c r="P262" t="str">
        <f>IF(AND(Table1[[#This Row],[Date]]&gt;=Table1[[#This Row],[Campaign Start Date]],Table1[[#This Row],[Date]]&lt;=Table1[[#This Row],[Campaign End Date]]),"During Campaign","Before Campaign")</f>
        <v>Before Campaign</v>
      </c>
    </row>
    <row r="263" spans="1:16" ht="15.75" customHeight="1" x14ac:dyDescent="0.3">
      <c r="A263" s="2" t="s">
        <v>508</v>
      </c>
      <c r="B263" s="2" t="s">
        <v>27</v>
      </c>
      <c r="C263" s="2" t="s">
        <v>473</v>
      </c>
      <c r="D263" s="2" t="s">
        <v>52</v>
      </c>
      <c r="E263" s="2" t="s">
        <v>53</v>
      </c>
      <c r="F263" s="2">
        <v>1206</v>
      </c>
      <c r="G263" s="2">
        <v>238</v>
      </c>
      <c r="H263" s="2">
        <v>36</v>
      </c>
      <c r="I263" s="2">
        <v>9648</v>
      </c>
      <c r="J263" s="2">
        <v>9417</v>
      </c>
      <c r="K263" s="2">
        <v>237</v>
      </c>
      <c r="L263" s="2" t="s">
        <v>30</v>
      </c>
      <c r="N263" s="4">
        <f>_xlfn.XLOOKUP(Table1[[#This Row],[Campaign_Name]],'Campaign Metadata'!A:A,'Campaign Metadata'!B:B,"Notfound",0)</f>
        <v>0</v>
      </c>
      <c r="O263" s="4">
        <f>_xlfn.XLOOKUP(Table1[[#This Row],[Campaign_Name]],'Campaign Metadata'!A:A,'Campaign Metadata'!C:C,"Not found",0)</f>
        <v>0</v>
      </c>
      <c r="P263" t="str">
        <f>IF(AND(Table1[[#This Row],[Date]]&gt;=Table1[[#This Row],[Campaign Start Date]],Table1[[#This Row],[Date]]&lt;=Table1[[#This Row],[Campaign End Date]]),"During Campaign","Before Campaign")</f>
        <v>Before Campaign</v>
      </c>
    </row>
    <row r="264" spans="1:16" ht="15.75" customHeight="1" x14ac:dyDescent="0.3">
      <c r="A264" s="2" t="s">
        <v>509</v>
      </c>
      <c r="B264" s="2" t="s">
        <v>33</v>
      </c>
      <c r="C264" s="2" t="s">
        <v>510</v>
      </c>
      <c r="D264" s="2" t="s">
        <v>16</v>
      </c>
      <c r="E264" s="2" t="s">
        <v>82</v>
      </c>
      <c r="F264" s="2">
        <v>2603</v>
      </c>
      <c r="G264" s="2">
        <v>690</v>
      </c>
      <c r="H264" s="2">
        <v>205</v>
      </c>
      <c r="I264" s="2">
        <v>13015</v>
      </c>
      <c r="J264" s="2">
        <v>12130</v>
      </c>
      <c r="K264" s="2">
        <v>20</v>
      </c>
      <c r="L264" s="2" t="s">
        <v>62</v>
      </c>
      <c r="M264" s="2" t="s">
        <v>25</v>
      </c>
      <c r="N264" s="4">
        <f>_xlfn.XLOOKUP(Table1[[#This Row],[Campaign_Name]],'Campaign Metadata'!A:A,'Campaign Metadata'!B:B,"Notfound",0)</f>
        <v>45566</v>
      </c>
      <c r="O264" s="4">
        <f>_xlfn.XLOOKUP(Table1[[#This Row],[Campaign_Name]],'Campaign Metadata'!A:A,'Campaign Metadata'!C:C,"Not found",0)</f>
        <v>45596</v>
      </c>
      <c r="P264" t="str">
        <f>IF(AND(Table1[[#This Row],[Date]]&gt;=Table1[[#This Row],[Campaign Start Date]],Table1[[#This Row],[Date]]&lt;=Table1[[#This Row],[Campaign End Date]]),"During Campaign","Before Campaign")</f>
        <v>Before Campaign</v>
      </c>
    </row>
    <row r="265" spans="1:16" ht="15.75" customHeight="1" x14ac:dyDescent="0.3">
      <c r="A265" s="2" t="s">
        <v>511</v>
      </c>
      <c r="B265" s="2" t="s">
        <v>14</v>
      </c>
      <c r="C265" s="2" t="s">
        <v>512</v>
      </c>
      <c r="D265" s="2" t="s">
        <v>52</v>
      </c>
      <c r="E265" s="2" t="s">
        <v>132</v>
      </c>
      <c r="F265" s="2">
        <v>59</v>
      </c>
      <c r="G265" s="2">
        <v>163</v>
      </c>
      <c r="H265" s="2">
        <v>93</v>
      </c>
      <c r="I265" s="2">
        <v>590</v>
      </c>
      <c r="J265" s="2">
        <v>475</v>
      </c>
      <c r="K265" s="2">
        <v>293</v>
      </c>
      <c r="L265" s="2" t="s">
        <v>30</v>
      </c>
      <c r="M265" s="2" t="s">
        <v>25</v>
      </c>
      <c r="N265" s="4">
        <f>_xlfn.XLOOKUP(Table1[[#This Row],[Campaign_Name]],'Campaign Metadata'!A:A,'Campaign Metadata'!B:B,"Notfound",0)</f>
        <v>45566</v>
      </c>
      <c r="O265" s="4">
        <f>_xlfn.XLOOKUP(Table1[[#This Row],[Campaign_Name]],'Campaign Metadata'!A:A,'Campaign Metadata'!C:C,"Not found",0)</f>
        <v>45596</v>
      </c>
      <c r="P265" t="str">
        <f>IF(AND(Table1[[#This Row],[Date]]&gt;=Table1[[#This Row],[Campaign Start Date]],Table1[[#This Row],[Date]]&lt;=Table1[[#This Row],[Campaign End Date]]),"During Campaign","Before Campaign")</f>
        <v>Before Campaign</v>
      </c>
    </row>
    <row r="266" spans="1:16" ht="15.75" customHeight="1" x14ac:dyDescent="0.3">
      <c r="A266" s="2" t="s">
        <v>513</v>
      </c>
      <c r="B266" s="2" t="s">
        <v>14</v>
      </c>
      <c r="C266" s="2" t="s">
        <v>514</v>
      </c>
      <c r="D266" s="2" t="s">
        <v>45</v>
      </c>
      <c r="E266" s="2" t="s">
        <v>49</v>
      </c>
      <c r="F266" s="2">
        <v>1877</v>
      </c>
      <c r="G266" s="2">
        <v>745</v>
      </c>
      <c r="H266" s="2">
        <v>225</v>
      </c>
      <c r="I266" s="2">
        <v>11262</v>
      </c>
      <c r="J266" s="2">
        <v>10967</v>
      </c>
      <c r="K266" s="2">
        <v>41</v>
      </c>
      <c r="L266" s="2" t="s">
        <v>37</v>
      </c>
      <c r="M266" s="2" t="s">
        <v>38</v>
      </c>
      <c r="N266" s="4">
        <f>_xlfn.XLOOKUP(Table1[[#This Row],[Campaign_Name]],'Campaign Metadata'!A:A,'Campaign Metadata'!B:B,"Notfound",0)</f>
        <v>45717</v>
      </c>
      <c r="O266" s="4">
        <f>_xlfn.XLOOKUP(Table1[[#This Row],[Campaign_Name]],'Campaign Metadata'!A:A,'Campaign Metadata'!C:C,"Not found",0)</f>
        <v>45747</v>
      </c>
      <c r="P266" t="str">
        <f>IF(AND(Table1[[#This Row],[Date]]&gt;=Table1[[#This Row],[Campaign Start Date]],Table1[[#This Row],[Date]]&lt;=Table1[[#This Row],[Campaign End Date]]),"During Campaign","Before Campaign")</f>
        <v>Before Campaign</v>
      </c>
    </row>
    <row r="267" spans="1:16" ht="15.75" customHeight="1" x14ac:dyDescent="0.3">
      <c r="A267" s="2" t="s">
        <v>515</v>
      </c>
      <c r="B267" s="2" t="s">
        <v>43</v>
      </c>
      <c r="C267" s="2" t="s">
        <v>129</v>
      </c>
      <c r="D267" s="2" t="s">
        <v>35</v>
      </c>
      <c r="E267" s="2" t="s">
        <v>71</v>
      </c>
      <c r="F267" s="2">
        <v>4182</v>
      </c>
      <c r="G267" s="2">
        <v>640</v>
      </c>
      <c r="H267" s="2">
        <v>240</v>
      </c>
      <c r="I267" s="2">
        <v>50184</v>
      </c>
      <c r="J267" s="2">
        <v>49351</v>
      </c>
      <c r="K267" s="2">
        <v>10</v>
      </c>
      <c r="L267" s="2" t="s">
        <v>30</v>
      </c>
      <c r="M267" s="2" t="s">
        <v>31</v>
      </c>
      <c r="N267" s="4">
        <f>_xlfn.XLOOKUP(Table1[[#This Row],[Campaign_Name]],'Campaign Metadata'!A:A,'Campaign Metadata'!B:B,"Notfound",0)</f>
        <v>45651</v>
      </c>
      <c r="O267" s="4">
        <f>_xlfn.XLOOKUP(Table1[[#This Row],[Campaign_Name]],'Campaign Metadata'!A:A,'Campaign Metadata'!C:C,"Not found",0)</f>
        <v>45667</v>
      </c>
      <c r="P267" t="str">
        <f>IF(AND(Table1[[#This Row],[Date]]&gt;=Table1[[#This Row],[Campaign Start Date]],Table1[[#This Row],[Date]]&lt;=Table1[[#This Row],[Campaign End Date]]),"During Campaign","Before Campaign")</f>
        <v>Before Campaign</v>
      </c>
    </row>
    <row r="268" spans="1:16" ht="15.75" customHeight="1" x14ac:dyDescent="0.3">
      <c r="A268" s="2" t="s">
        <v>516</v>
      </c>
      <c r="B268" s="2" t="s">
        <v>14</v>
      </c>
      <c r="C268" s="2" t="s">
        <v>396</v>
      </c>
      <c r="D268" s="2" t="s">
        <v>16</v>
      </c>
      <c r="E268" s="2" t="s">
        <v>17</v>
      </c>
      <c r="F268" s="2">
        <v>4187</v>
      </c>
      <c r="G268" s="2">
        <v>66</v>
      </c>
      <c r="H268" s="2">
        <v>31</v>
      </c>
      <c r="I268" s="2">
        <v>66992</v>
      </c>
      <c r="J268" s="2">
        <v>66614</v>
      </c>
      <c r="K268" s="2">
        <v>62</v>
      </c>
      <c r="L268" s="2" t="s">
        <v>62</v>
      </c>
      <c r="N268" s="4">
        <f>_xlfn.XLOOKUP(Table1[[#This Row],[Campaign_Name]],'Campaign Metadata'!A:A,'Campaign Metadata'!B:B,"Notfound",0)</f>
        <v>0</v>
      </c>
      <c r="O268" s="4">
        <f>_xlfn.XLOOKUP(Table1[[#This Row],[Campaign_Name]],'Campaign Metadata'!A:A,'Campaign Metadata'!C:C,"Not found",0)</f>
        <v>0</v>
      </c>
      <c r="P268" t="str">
        <f>IF(AND(Table1[[#This Row],[Date]]&gt;=Table1[[#This Row],[Campaign Start Date]],Table1[[#This Row],[Date]]&lt;=Table1[[#This Row],[Campaign End Date]]),"During Campaign","Before Campaign")</f>
        <v>Before Campaign</v>
      </c>
    </row>
    <row r="269" spans="1:16" ht="15.75" customHeight="1" x14ac:dyDescent="0.3">
      <c r="A269" s="2" t="s">
        <v>517</v>
      </c>
      <c r="B269" s="2" t="s">
        <v>33</v>
      </c>
      <c r="C269" s="2" t="s">
        <v>518</v>
      </c>
      <c r="D269" s="2" t="s">
        <v>16</v>
      </c>
      <c r="E269" s="2" t="s">
        <v>82</v>
      </c>
      <c r="F269" s="2">
        <v>4579</v>
      </c>
      <c r="G269" s="2">
        <v>125</v>
      </c>
      <c r="H269" s="2">
        <v>300</v>
      </c>
      <c r="I269" s="2">
        <v>59527</v>
      </c>
      <c r="J269" s="2">
        <v>59400</v>
      </c>
      <c r="K269" s="2">
        <v>269</v>
      </c>
      <c r="L269" s="2" t="s">
        <v>37</v>
      </c>
      <c r="M269" s="2" t="s">
        <v>19</v>
      </c>
      <c r="N269" s="4">
        <f>_xlfn.XLOOKUP(Table1[[#This Row],[Campaign_Name]],'Campaign Metadata'!A:A,'Campaign Metadata'!B:B,"Notfound",0)</f>
        <v>45458</v>
      </c>
      <c r="O269" s="4">
        <f>_xlfn.XLOOKUP(Table1[[#This Row],[Campaign_Name]],'Campaign Metadata'!A:A,'Campaign Metadata'!C:C,"Not found",0)</f>
        <v>45488</v>
      </c>
      <c r="P269" t="str">
        <f>IF(AND(Table1[[#This Row],[Date]]&gt;=Table1[[#This Row],[Campaign Start Date]],Table1[[#This Row],[Date]]&lt;=Table1[[#This Row],[Campaign End Date]]),"During Campaign","Before Campaign")</f>
        <v>Before Campaign</v>
      </c>
    </row>
    <row r="270" spans="1:16" ht="15.75" customHeight="1" x14ac:dyDescent="0.3">
      <c r="A270" s="2" t="s">
        <v>519</v>
      </c>
      <c r="B270" s="2" t="s">
        <v>33</v>
      </c>
      <c r="C270" s="2" t="s">
        <v>520</v>
      </c>
      <c r="D270" s="2" t="s">
        <v>74</v>
      </c>
      <c r="E270" s="2" t="s">
        <v>85</v>
      </c>
      <c r="F270" s="2">
        <v>4561</v>
      </c>
      <c r="G270" s="2">
        <v>51</v>
      </c>
      <c r="H270" s="2">
        <v>441</v>
      </c>
      <c r="I270" s="2">
        <v>22805</v>
      </c>
      <c r="J270" s="2">
        <v>21890</v>
      </c>
      <c r="K270" s="2">
        <v>45</v>
      </c>
      <c r="L270" s="2" t="s">
        <v>30</v>
      </c>
      <c r="M270" s="2" t="s">
        <v>25</v>
      </c>
      <c r="N270" s="4">
        <f>_xlfn.XLOOKUP(Table1[[#This Row],[Campaign_Name]],'Campaign Metadata'!A:A,'Campaign Metadata'!B:B,"Notfound",0)</f>
        <v>45566</v>
      </c>
      <c r="O270" s="4">
        <f>_xlfn.XLOOKUP(Table1[[#This Row],[Campaign_Name]],'Campaign Metadata'!A:A,'Campaign Metadata'!C:C,"Not found",0)</f>
        <v>45596</v>
      </c>
      <c r="P270" t="str">
        <f>IF(AND(Table1[[#This Row],[Date]]&gt;=Table1[[#This Row],[Campaign Start Date]],Table1[[#This Row],[Date]]&lt;=Table1[[#This Row],[Campaign End Date]]),"During Campaign","Before Campaign")</f>
        <v>Before Campaign</v>
      </c>
    </row>
    <row r="271" spans="1:16" ht="15.75" customHeight="1" x14ac:dyDescent="0.3">
      <c r="A271" s="2" t="s">
        <v>521</v>
      </c>
      <c r="B271" s="2" t="s">
        <v>27</v>
      </c>
      <c r="C271" s="2" t="s">
        <v>414</v>
      </c>
      <c r="D271" s="2" t="s">
        <v>16</v>
      </c>
      <c r="E271" s="2" t="s">
        <v>29</v>
      </c>
      <c r="F271" s="2">
        <v>3774</v>
      </c>
      <c r="G271" s="2">
        <v>239</v>
      </c>
      <c r="H271" s="2">
        <v>39</v>
      </c>
      <c r="I271" s="2">
        <v>60384</v>
      </c>
      <c r="J271" s="2">
        <v>59490</v>
      </c>
      <c r="K271" s="2">
        <v>241</v>
      </c>
      <c r="L271" s="2" t="s">
        <v>30</v>
      </c>
      <c r="M271" s="2" t="s">
        <v>31</v>
      </c>
      <c r="N271" s="4">
        <f>_xlfn.XLOOKUP(Table1[[#This Row],[Campaign_Name]],'Campaign Metadata'!A:A,'Campaign Metadata'!B:B,"Notfound",0)</f>
        <v>45651</v>
      </c>
      <c r="O271" s="4">
        <f>_xlfn.XLOOKUP(Table1[[#This Row],[Campaign_Name]],'Campaign Metadata'!A:A,'Campaign Metadata'!C:C,"Not found",0)</f>
        <v>45667</v>
      </c>
      <c r="P271" t="str">
        <f>IF(AND(Table1[[#This Row],[Date]]&gt;=Table1[[#This Row],[Campaign Start Date]],Table1[[#This Row],[Date]]&lt;=Table1[[#This Row],[Campaign End Date]]),"During Campaign","Before Campaign")</f>
        <v>Before Campaign</v>
      </c>
    </row>
    <row r="272" spans="1:16" ht="15.75" customHeight="1" x14ac:dyDescent="0.3">
      <c r="A272" s="2" t="s">
        <v>522</v>
      </c>
      <c r="B272" s="2" t="s">
        <v>33</v>
      </c>
      <c r="C272" s="2" t="s">
        <v>523</v>
      </c>
      <c r="D272" s="2" t="s">
        <v>74</v>
      </c>
      <c r="E272" s="2" t="s">
        <v>85</v>
      </c>
      <c r="F272" s="2">
        <v>3575</v>
      </c>
      <c r="G272" s="2">
        <v>749</v>
      </c>
      <c r="H272" s="2">
        <v>111</v>
      </c>
      <c r="I272" s="2">
        <v>21450</v>
      </c>
      <c r="J272" s="2">
        <v>20785</v>
      </c>
      <c r="K272" s="2">
        <v>195</v>
      </c>
      <c r="L272" s="2" t="s">
        <v>37</v>
      </c>
      <c r="M272" s="2" t="s">
        <v>25</v>
      </c>
      <c r="N272" s="4">
        <f>_xlfn.XLOOKUP(Table1[[#This Row],[Campaign_Name]],'Campaign Metadata'!A:A,'Campaign Metadata'!B:B,"Notfound",0)</f>
        <v>45566</v>
      </c>
      <c r="O272" s="4">
        <f>_xlfn.XLOOKUP(Table1[[#This Row],[Campaign_Name]],'Campaign Metadata'!A:A,'Campaign Metadata'!C:C,"Not found",0)</f>
        <v>45596</v>
      </c>
      <c r="P272" t="str">
        <f>IF(AND(Table1[[#This Row],[Date]]&gt;=Table1[[#This Row],[Campaign Start Date]],Table1[[#This Row],[Date]]&lt;=Table1[[#This Row],[Campaign End Date]]),"During Campaign","Before Campaign")</f>
        <v>Before Campaign</v>
      </c>
    </row>
    <row r="273" spans="1:16" ht="15.75" customHeight="1" x14ac:dyDescent="0.3">
      <c r="A273" s="2" t="s">
        <v>524</v>
      </c>
      <c r="B273" s="2" t="s">
        <v>33</v>
      </c>
      <c r="C273" s="2" t="s">
        <v>490</v>
      </c>
      <c r="D273" s="2" t="s">
        <v>22</v>
      </c>
      <c r="E273" s="2" t="s">
        <v>113</v>
      </c>
      <c r="F273" s="2">
        <v>4941</v>
      </c>
      <c r="G273" s="2">
        <v>414</v>
      </c>
      <c r="H273" s="2">
        <v>266</v>
      </c>
      <c r="I273" s="2">
        <v>39528</v>
      </c>
      <c r="J273" s="2">
        <v>39154</v>
      </c>
      <c r="K273" s="2">
        <v>217</v>
      </c>
      <c r="L273" s="2" t="s">
        <v>30</v>
      </c>
      <c r="M273" s="2" t="s">
        <v>31</v>
      </c>
      <c r="N273" s="4">
        <f>_xlfn.XLOOKUP(Table1[[#This Row],[Campaign_Name]],'Campaign Metadata'!A:A,'Campaign Metadata'!B:B,"Notfound",0)</f>
        <v>45651</v>
      </c>
      <c r="O273" s="4">
        <f>_xlfn.XLOOKUP(Table1[[#This Row],[Campaign_Name]],'Campaign Metadata'!A:A,'Campaign Metadata'!C:C,"Not found",0)</f>
        <v>45667</v>
      </c>
      <c r="P273" t="str">
        <f>IF(AND(Table1[[#This Row],[Date]]&gt;=Table1[[#This Row],[Campaign Start Date]],Table1[[#This Row],[Date]]&lt;=Table1[[#This Row],[Campaign End Date]]),"During Campaign","Before Campaign")</f>
        <v>Before Campaign</v>
      </c>
    </row>
    <row r="274" spans="1:16" ht="15.75" customHeight="1" x14ac:dyDescent="0.3">
      <c r="A274" s="2" t="s">
        <v>525</v>
      </c>
      <c r="B274" s="2" t="s">
        <v>27</v>
      </c>
      <c r="C274" s="2" t="s">
        <v>526</v>
      </c>
      <c r="D274" s="2" t="s">
        <v>35</v>
      </c>
      <c r="E274" s="2" t="s">
        <v>154</v>
      </c>
      <c r="F274" s="2">
        <v>3641</v>
      </c>
      <c r="G274" s="2">
        <v>226</v>
      </c>
      <c r="H274" s="2">
        <v>46</v>
      </c>
      <c r="I274" s="2">
        <v>40051</v>
      </c>
      <c r="J274" s="2">
        <v>39319</v>
      </c>
      <c r="K274" s="2">
        <v>296</v>
      </c>
      <c r="L274" s="2" t="s">
        <v>37</v>
      </c>
      <c r="M274" s="2" t="s">
        <v>38</v>
      </c>
      <c r="N274" s="4">
        <f>_xlfn.XLOOKUP(Table1[[#This Row],[Campaign_Name]],'Campaign Metadata'!A:A,'Campaign Metadata'!B:B,"Notfound",0)</f>
        <v>45717</v>
      </c>
      <c r="O274" s="4">
        <f>_xlfn.XLOOKUP(Table1[[#This Row],[Campaign_Name]],'Campaign Metadata'!A:A,'Campaign Metadata'!C:C,"Not found",0)</f>
        <v>45747</v>
      </c>
      <c r="P274" t="str">
        <f>IF(AND(Table1[[#This Row],[Date]]&gt;=Table1[[#This Row],[Campaign Start Date]],Table1[[#This Row],[Date]]&lt;=Table1[[#This Row],[Campaign End Date]]),"During Campaign","Before Campaign")</f>
        <v>Before Campaign</v>
      </c>
    </row>
    <row r="275" spans="1:16" ht="15.75" customHeight="1" x14ac:dyDescent="0.3">
      <c r="A275" s="2" t="s">
        <v>527</v>
      </c>
      <c r="B275" s="2" t="s">
        <v>14</v>
      </c>
      <c r="C275" s="2" t="s">
        <v>336</v>
      </c>
      <c r="D275" s="2" t="s">
        <v>45</v>
      </c>
      <c r="E275" s="2" t="s">
        <v>49</v>
      </c>
      <c r="F275" s="2">
        <v>3535</v>
      </c>
      <c r="G275" s="2">
        <v>494</v>
      </c>
      <c r="H275" s="2">
        <v>152</v>
      </c>
      <c r="I275" s="2">
        <v>53025</v>
      </c>
      <c r="J275" s="2">
        <v>52791</v>
      </c>
      <c r="K275" s="2">
        <v>44</v>
      </c>
      <c r="L275" s="2" t="s">
        <v>30</v>
      </c>
      <c r="M275" s="2" t="s">
        <v>38</v>
      </c>
      <c r="N275" s="4">
        <f>_xlfn.XLOOKUP(Table1[[#This Row],[Campaign_Name]],'Campaign Metadata'!A:A,'Campaign Metadata'!B:B,"Notfound",0)</f>
        <v>45717</v>
      </c>
      <c r="O275" s="4">
        <f>_xlfn.XLOOKUP(Table1[[#This Row],[Campaign_Name]],'Campaign Metadata'!A:A,'Campaign Metadata'!C:C,"Not found",0)</f>
        <v>45747</v>
      </c>
      <c r="P275" t="str">
        <f>IF(AND(Table1[[#This Row],[Date]]&gt;=Table1[[#This Row],[Campaign Start Date]],Table1[[#This Row],[Date]]&lt;=Table1[[#This Row],[Campaign End Date]]),"During Campaign","Before Campaign")</f>
        <v>Before Campaign</v>
      </c>
    </row>
    <row r="276" spans="1:16" ht="15.75" customHeight="1" x14ac:dyDescent="0.3">
      <c r="A276" s="2" t="s">
        <v>528</v>
      </c>
      <c r="B276" s="2" t="s">
        <v>43</v>
      </c>
      <c r="C276" s="2" t="s">
        <v>501</v>
      </c>
      <c r="D276" s="2" t="s">
        <v>16</v>
      </c>
      <c r="E276" s="2" t="s">
        <v>65</v>
      </c>
      <c r="F276" s="2">
        <v>1741</v>
      </c>
      <c r="G276" s="2">
        <v>831</v>
      </c>
      <c r="H276" s="2">
        <v>345</v>
      </c>
      <c r="I276" s="2">
        <v>17410</v>
      </c>
      <c r="J276" s="2">
        <v>16844</v>
      </c>
      <c r="K276" s="2">
        <v>58</v>
      </c>
      <c r="L276" s="2" t="s">
        <v>37</v>
      </c>
      <c r="M276" s="2" t="s">
        <v>31</v>
      </c>
      <c r="N276" s="4">
        <f>_xlfn.XLOOKUP(Table1[[#This Row],[Campaign_Name]],'Campaign Metadata'!A:A,'Campaign Metadata'!B:B,"Notfound",0)</f>
        <v>45651</v>
      </c>
      <c r="O276" s="4">
        <f>_xlfn.XLOOKUP(Table1[[#This Row],[Campaign_Name]],'Campaign Metadata'!A:A,'Campaign Metadata'!C:C,"Not found",0)</f>
        <v>45667</v>
      </c>
      <c r="P276" t="str">
        <f>IF(AND(Table1[[#This Row],[Date]]&gt;=Table1[[#This Row],[Campaign Start Date]],Table1[[#This Row],[Date]]&lt;=Table1[[#This Row],[Campaign End Date]]),"During Campaign","Before Campaign")</f>
        <v>Before Campaign</v>
      </c>
    </row>
    <row r="277" spans="1:16" ht="15.75" customHeight="1" x14ac:dyDescent="0.3">
      <c r="A277" s="2" t="s">
        <v>529</v>
      </c>
      <c r="B277" s="2" t="s">
        <v>14</v>
      </c>
      <c r="C277" s="2" t="s">
        <v>530</v>
      </c>
      <c r="D277" s="2" t="s">
        <v>45</v>
      </c>
      <c r="E277" s="2" t="s">
        <v>49</v>
      </c>
      <c r="F277" s="2">
        <v>1556</v>
      </c>
      <c r="G277" s="2">
        <v>195</v>
      </c>
      <c r="H277" s="2">
        <v>131</v>
      </c>
      <c r="I277" s="2">
        <v>9336</v>
      </c>
      <c r="J277" s="2">
        <v>8875</v>
      </c>
      <c r="K277" s="2">
        <v>137</v>
      </c>
      <c r="L277" s="2" t="s">
        <v>30</v>
      </c>
      <c r="M277" s="2" t="s">
        <v>25</v>
      </c>
      <c r="N277" s="4">
        <f>_xlfn.XLOOKUP(Table1[[#This Row],[Campaign_Name]],'Campaign Metadata'!A:A,'Campaign Metadata'!B:B,"Notfound",0)</f>
        <v>45566</v>
      </c>
      <c r="O277" s="4">
        <f>_xlfn.XLOOKUP(Table1[[#This Row],[Campaign_Name]],'Campaign Metadata'!A:A,'Campaign Metadata'!C:C,"Not found",0)</f>
        <v>45596</v>
      </c>
      <c r="P277" t="str">
        <f>IF(AND(Table1[[#This Row],[Date]]&gt;=Table1[[#This Row],[Campaign Start Date]],Table1[[#This Row],[Date]]&lt;=Table1[[#This Row],[Campaign End Date]]),"During Campaign","Before Campaign")</f>
        <v>Before Campaign</v>
      </c>
    </row>
    <row r="278" spans="1:16" ht="15.75" customHeight="1" x14ac:dyDescent="0.3">
      <c r="A278" s="2" t="s">
        <v>531</v>
      </c>
      <c r="B278" s="2" t="s">
        <v>43</v>
      </c>
      <c r="C278" s="2" t="s">
        <v>291</v>
      </c>
      <c r="D278" s="2" t="s">
        <v>52</v>
      </c>
      <c r="E278" s="2" t="s">
        <v>59</v>
      </c>
      <c r="F278" s="2">
        <v>4236</v>
      </c>
      <c r="G278" s="2">
        <v>711</v>
      </c>
      <c r="H278" s="2">
        <v>298</v>
      </c>
      <c r="I278" s="2">
        <v>21180</v>
      </c>
      <c r="J278" s="2">
        <v>20516</v>
      </c>
      <c r="K278" s="2">
        <v>238</v>
      </c>
      <c r="L278" s="2" t="s">
        <v>62</v>
      </c>
      <c r="M278" s="2" t="s">
        <v>19</v>
      </c>
      <c r="N278" s="4">
        <f>_xlfn.XLOOKUP(Table1[[#This Row],[Campaign_Name]],'Campaign Metadata'!A:A,'Campaign Metadata'!B:B,"Notfound",0)</f>
        <v>45458</v>
      </c>
      <c r="O278" s="4">
        <f>_xlfn.XLOOKUP(Table1[[#This Row],[Campaign_Name]],'Campaign Metadata'!A:A,'Campaign Metadata'!C:C,"Not found",0)</f>
        <v>45488</v>
      </c>
      <c r="P278" t="str">
        <f>IF(AND(Table1[[#This Row],[Date]]&gt;=Table1[[#This Row],[Campaign Start Date]],Table1[[#This Row],[Date]]&lt;=Table1[[#This Row],[Campaign End Date]]),"During Campaign","Before Campaign")</f>
        <v>Before Campaign</v>
      </c>
    </row>
    <row r="279" spans="1:16" ht="15.75" customHeight="1" x14ac:dyDescent="0.3">
      <c r="A279" s="2" t="s">
        <v>532</v>
      </c>
      <c r="B279" s="2" t="s">
        <v>14</v>
      </c>
      <c r="C279" s="2" t="s">
        <v>533</v>
      </c>
      <c r="D279" s="2" t="s">
        <v>22</v>
      </c>
      <c r="E279" s="2" t="s">
        <v>23</v>
      </c>
      <c r="F279" s="2">
        <v>4516</v>
      </c>
      <c r="G279" s="2">
        <v>836</v>
      </c>
      <c r="H279" s="2">
        <v>169</v>
      </c>
      <c r="I279" s="2">
        <v>49676</v>
      </c>
      <c r="J279" s="2">
        <v>49257</v>
      </c>
      <c r="K279" s="2">
        <v>282</v>
      </c>
      <c r="L279" s="2" t="s">
        <v>37</v>
      </c>
      <c r="M279" s="2" t="s">
        <v>38</v>
      </c>
      <c r="N279" s="4">
        <f>_xlfn.XLOOKUP(Table1[[#This Row],[Campaign_Name]],'Campaign Metadata'!A:A,'Campaign Metadata'!B:B,"Notfound",0)</f>
        <v>45717</v>
      </c>
      <c r="O279" s="4">
        <f>_xlfn.XLOOKUP(Table1[[#This Row],[Campaign_Name]],'Campaign Metadata'!A:A,'Campaign Metadata'!C:C,"Not found",0)</f>
        <v>45747</v>
      </c>
      <c r="P279" t="str">
        <f>IF(AND(Table1[[#This Row],[Date]]&gt;=Table1[[#This Row],[Campaign Start Date]],Table1[[#This Row],[Date]]&lt;=Table1[[#This Row],[Campaign End Date]]),"During Campaign","Before Campaign")</f>
        <v>Before Campaign</v>
      </c>
    </row>
    <row r="280" spans="1:16" ht="15.75" customHeight="1" x14ac:dyDescent="0.3">
      <c r="A280" s="2" t="s">
        <v>534</v>
      </c>
      <c r="B280" s="2" t="s">
        <v>27</v>
      </c>
      <c r="C280" s="2" t="s">
        <v>195</v>
      </c>
      <c r="D280" s="2" t="s">
        <v>52</v>
      </c>
      <c r="E280" s="2" t="s">
        <v>53</v>
      </c>
      <c r="F280" s="2">
        <v>4905</v>
      </c>
      <c r="G280" s="2">
        <v>845</v>
      </c>
      <c r="H280" s="2">
        <v>129</v>
      </c>
      <c r="I280" s="2">
        <v>98100</v>
      </c>
      <c r="J280" s="2">
        <v>97772</v>
      </c>
      <c r="K280" s="2">
        <v>279</v>
      </c>
      <c r="L280" s="2" t="s">
        <v>30</v>
      </c>
      <c r="M280" s="2" t="s">
        <v>25</v>
      </c>
      <c r="N280" s="4">
        <f>_xlfn.XLOOKUP(Table1[[#This Row],[Campaign_Name]],'Campaign Metadata'!A:A,'Campaign Metadata'!B:B,"Notfound",0)</f>
        <v>45566</v>
      </c>
      <c r="O280" s="4">
        <f>_xlfn.XLOOKUP(Table1[[#This Row],[Campaign_Name]],'Campaign Metadata'!A:A,'Campaign Metadata'!C:C,"Not found",0)</f>
        <v>45596</v>
      </c>
      <c r="P280" t="str">
        <f>IF(AND(Table1[[#This Row],[Date]]&gt;=Table1[[#This Row],[Campaign Start Date]],Table1[[#This Row],[Date]]&lt;=Table1[[#This Row],[Campaign End Date]]),"During Campaign","Before Campaign")</f>
        <v>Before Campaign</v>
      </c>
    </row>
    <row r="281" spans="1:16" ht="15.75" customHeight="1" x14ac:dyDescent="0.3">
      <c r="A281" s="2" t="s">
        <v>535</v>
      </c>
      <c r="B281" s="2" t="s">
        <v>27</v>
      </c>
      <c r="C281" s="2" t="s">
        <v>168</v>
      </c>
      <c r="D281" s="2" t="s">
        <v>74</v>
      </c>
      <c r="E281" s="2" t="s">
        <v>219</v>
      </c>
      <c r="F281" s="2">
        <v>4275</v>
      </c>
      <c r="G281" s="2">
        <v>680</v>
      </c>
      <c r="H281" s="2">
        <v>385</v>
      </c>
      <c r="I281" s="2">
        <v>64125</v>
      </c>
      <c r="J281" s="2">
        <v>63650</v>
      </c>
      <c r="K281" s="2">
        <v>104</v>
      </c>
      <c r="L281" s="2" t="s">
        <v>175</v>
      </c>
      <c r="M281" s="2" t="s">
        <v>38</v>
      </c>
      <c r="N281" s="4">
        <f>_xlfn.XLOOKUP(Table1[[#This Row],[Campaign_Name]],'Campaign Metadata'!A:A,'Campaign Metadata'!B:B,"Notfound",0)</f>
        <v>45717</v>
      </c>
      <c r="O281" s="4">
        <f>_xlfn.XLOOKUP(Table1[[#This Row],[Campaign_Name]],'Campaign Metadata'!A:A,'Campaign Metadata'!C:C,"Not found",0)</f>
        <v>45747</v>
      </c>
      <c r="P281" t="str">
        <f>IF(AND(Table1[[#This Row],[Date]]&gt;=Table1[[#This Row],[Campaign Start Date]],Table1[[#This Row],[Date]]&lt;=Table1[[#This Row],[Campaign End Date]]),"During Campaign","Before Campaign")</f>
        <v>Before Campaign</v>
      </c>
    </row>
    <row r="282" spans="1:16" ht="15.75" customHeight="1" x14ac:dyDescent="0.3">
      <c r="A282" s="2" t="s">
        <v>536</v>
      </c>
      <c r="B282" s="2" t="s">
        <v>27</v>
      </c>
      <c r="C282" s="2" t="s">
        <v>537</v>
      </c>
      <c r="D282" s="2" t="s">
        <v>52</v>
      </c>
      <c r="E282" s="2" t="s">
        <v>53</v>
      </c>
      <c r="F282" s="2">
        <v>3166</v>
      </c>
      <c r="G282" s="2">
        <v>90</v>
      </c>
      <c r="H282" s="2">
        <v>341</v>
      </c>
      <c r="I282" s="2">
        <v>56988</v>
      </c>
      <c r="J282" s="2">
        <v>56125</v>
      </c>
      <c r="K282" s="2">
        <v>135</v>
      </c>
      <c r="L282" s="2" t="s">
        <v>37</v>
      </c>
      <c r="M282" s="2" t="s">
        <v>25</v>
      </c>
      <c r="N282" s="4">
        <f>_xlfn.XLOOKUP(Table1[[#This Row],[Campaign_Name]],'Campaign Metadata'!A:A,'Campaign Metadata'!B:B,"Notfound",0)</f>
        <v>45566</v>
      </c>
      <c r="O282" s="4">
        <f>_xlfn.XLOOKUP(Table1[[#This Row],[Campaign_Name]],'Campaign Metadata'!A:A,'Campaign Metadata'!C:C,"Not found",0)</f>
        <v>45596</v>
      </c>
      <c r="P282" t="str">
        <f>IF(AND(Table1[[#This Row],[Date]]&gt;=Table1[[#This Row],[Campaign Start Date]],Table1[[#This Row],[Date]]&lt;=Table1[[#This Row],[Campaign End Date]]),"During Campaign","Before Campaign")</f>
        <v>Before Campaign</v>
      </c>
    </row>
    <row r="283" spans="1:16" ht="15.75" customHeight="1" x14ac:dyDescent="0.3">
      <c r="A283" s="2" t="s">
        <v>538</v>
      </c>
      <c r="B283" s="2" t="s">
        <v>33</v>
      </c>
      <c r="C283" s="2" t="s">
        <v>539</v>
      </c>
      <c r="D283" s="2" t="s">
        <v>74</v>
      </c>
      <c r="E283" s="2" t="s">
        <v>85</v>
      </c>
      <c r="F283" s="2">
        <v>1488</v>
      </c>
      <c r="G283" s="2">
        <v>417</v>
      </c>
      <c r="H283" s="2">
        <v>168</v>
      </c>
      <c r="I283" s="2">
        <v>19344</v>
      </c>
      <c r="J283" s="2">
        <v>18395</v>
      </c>
      <c r="K283" s="2">
        <v>30</v>
      </c>
      <c r="L283" s="2" t="s">
        <v>62</v>
      </c>
      <c r="M283" s="2" t="s">
        <v>31</v>
      </c>
      <c r="N283" s="4">
        <f>_xlfn.XLOOKUP(Table1[[#This Row],[Campaign_Name]],'Campaign Metadata'!A:A,'Campaign Metadata'!B:B,"Notfound",0)</f>
        <v>45651</v>
      </c>
      <c r="O283" s="4">
        <f>_xlfn.XLOOKUP(Table1[[#This Row],[Campaign_Name]],'Campaign Metadata'!A:A,'Campaign Metadata'!C:C,"Not found",0)</f>
        <v>45667</v>
      </c>
      <c r="P283" t="str">
        <f>IF(AND(Table1[[#This Row],[Date]]&gt;=Table1[[#This Row],[Campaign Start Date]],Table1[[#This Row],[Date]]&lt;=Table1[[#This Row],[Campaign End Date]]),"During Campaign","Before Campaign")</f>
        <v>Before Campaign</v>
      </c>
    </row>
    <row r="284" spans="1:16" ht="15.75" customHeight="1" x14ac:dyDescent="0.3">
      <c r="A284" s="2" t="s">
        <v>540</v>
      </c>
      <c r="B284" s="2" t="s">
        <v>14</v>
      </c>
      <c r="C284" s="2" t="s">
        <v>541</v>
      </c>
      <c r="D284" s="2" t="s">
        <v>16</v>
      </c>
      <c r="E284" s="2" t="s">
        <v>17</v>
      </c>
      <c r="F284" s="2">
        <v>3367</v>
      </c>
      <c r="G284" s="2">
        <v>302</v>
      </c>
      <c r="H284" s="2">
        <v>57</v>
      </c>
      <c r="I284" s="2">
        <v>63973</v>
      </c>
      <c r="J284" s="2">
        <v>63789</v>
      </c>
      <c r="K284" s="2">
        <v>157</v>
      </c>
      <c r="L284" s="2" t="s">
        <v>62</v>
      </c>
      <c r="M284" s="2" t="s">
        <v>25</v>
      </c>
      <c r="N284" s="4">
        <f>_xlfn.XLOOKUP(Table1[[#This Row],[Campaign_Name]],'Campaign Metadata'!A:A,'Campaign Metadata'!B:B,"Notfound",0)</f>
        <v>45566</v>
      </c>
      <c r="O284" s="4">
        <f>_xlfn.XLOOKUP(Table1[[#This Row],[Campaign_Name]],'Campaign Metadata'!A:A,'Campaign Metadata'!C:C,"Not found",0)</f>
        <v>45596</v>
      </c>
      <c r="P284" t="str">
        <f>IF(AND(Table1[[#This Row],[Date]]&gt;=Table1[[#This Row],[Campaign Start Date]],Table1[[#This Row],[Date]]&lt;=Table1[[#This Row],[Campaign End Date]]),"During Campaign","Before Campaign")</f>
        <v>Before Campaign</v>
      </c>
    </row>
    <row r="285" spans="1:16" ht="15.75" customHeight="1" x14ac:dyDescent="0.3">
      <c r="A285" s="2" t="s">
        <v>542</v>
      </c>
      <c r="B285" s="2" t="s">
        <v>14</v>
      </c>
      <c r="C285" s="2" t="s">
        <v>103</v>
      </c>
      <c r="D285" s="2" t="s">
        <v>22</v>
      </c>
      <c r="E285" s="2" t="s">
        <v>23</v>
      </c>
      <c r="F285" s="2">
        <v>571</v>
      </c>
      <c r="G285" s="2">
        <v>190</v>
      </c>
      <c r="H285" s="2">
        <v>352</v>
      </c>
      <c r="I285" s="2">
        <v>9707</v>
      </c>
      <c r="J285" s="2">
        <v>9418</v>
      </c>
      <c r="K285" s="2">
        <v>231</v>
      </c>
      <c r="L285" s="2" t="s">
        <v>30</v>
      </c>
      <c r="M285" s="2" t="s">
        <v>38</v>
      </c>
      <c r="N285" s="4">
        <f>_xlfn.XLOOKUP(Table1[[#This Row],[Campaign_Name]],'Campaign Metadata'!A:A,'Campaign Metadata'!B:B,"Notfound",0)</f>
        <v>45717</v>
      </c>
      <c r="O285" s="4">
        <f>_xlfn.XLOOKUP(Table1[[#This Row],[Campaign_Name]],'Campaign Metadata'!A:A,'Campaign Metadata'!C:C,"Not found",0)</f>
        <v>45747</v>
      </c>
      <c r="P285" t="str">
        <f>IF(AND(Table1[[#This Row],[Date]]&gt;=Table1[[#This Row],[Campaign Start Date]],Table1[[#This Row],[Date]]&lt;=Table1[[#This Row],[Campaign End Date]]),"During Campaign","Before Campaign")</f>
        <v>Before Campaign</v>
      </c>
    </row>
    <row r="286" spans="1:16" ht="15.75" customHeight="1" x14ac:dyDescent="0.3">
      <c r="A286" s="2" t="s">
        <v>543</v>
      </c>
      <c r="B286" s="2" t="s">
        <v>27</v>
      </c>
      <c r="C286" s="2" t="s">
        <v>430</v>
      </c>
      <c r="D286" s="2" t="s">
        <v>22</v>
      </c>
      <c r="E286" s="2" t="s">
        <v>104</v>
      </c>
      <c r="F286" s="2">
        <v>4021</v>
      </c>
      <c r="G286" s="2">
        <v>794</v>
      </c>
      <c r="H286" s="2">
        <v>77</v>
      </c>
      <c r="I286" s="2">
        <v>36189</v>
      </c>
      <c r="J286" s="2">
        <v>35505</v>
      </c>
      <c r="K286" s="2">
        <v>174</v>
      </c>
      <c r="L286" s="2" t="s">
        <v>37</v>
      </c>
      <c r="N286" s="4">
        <f>_xlfn.XLOOKUP(Table1[[#This Row],[Campaign_Name]],'Campaign Metadata'!A:A,'Campaign Metadata'!B:B,"Notfound",0)</f>
        <v>0</v>
      </c>
      <c r="O286" s="4">
        <f>_xlfn.XLOOKUP(Table1[[#This Row],[Campaign_Name]],'Campaign Metadata'!A:A,'Campaign Metadata'!C:C,"Not found",0)</f>
        <v>0</v>
      </c>
      <c r="P286" t="str">
        <f>IF(AND(Table1[[#This Row],[Date]]&gt;=Table1[[#This Row],[Campaign Start Date]],Table1[[#This Row],[Date]]&lt;=Table1[[#This Row],[Campaign End Date]]),"During Campaign","Before Campaign")</f>
        <v>Before Campaign</v>
      </c>
    </row>
    <row r="287" spans="1:16" ht="15.75" customHeight="1" x14ac:dyDescent="0.3">
      <c r="A287" s="2" t="s">
        <v>544</v>
      </c>
      <c r="B287" s="2" t="s">
        <v>27</v>
      </c>
      <c r="C287" s="2" t="s">
        <v>545</v>
      </c>
      <c r="D287" s="2" t="s">
        <v>74</v>
      </c>
      <c r="E287" s="2" t="s">
        <v>219</v>
      </c>
      <c r="F287" s="2">
        <v>3389</v>
      </c>
      <c r="G287" s="2">
        <v>344</v>
      </c>
      <c r="H287" s="2">
        <v>229</v>
      </c>
      <c r="I287" s="2">
        <v>20334</v>
      </c>
      <c r="J287" s="2">
        <v>19443</v>
      </c>
      <c r="K287" s="2">
        <v>228</v>
      </c>
      <c r="L287" s="2" t="s">
        <v>62</v>
      </c>
      <c r="M287" s="2" t="s">
        <v>31</v>
      </c>
      <c r="N287" s="4">
        <f>_xlfn.XLOOKUP(Table1[[#This Row],[Campaign_Name]],'Campaign Metadata'!A:A,'Campaign Metadata'!B:B,"Notfound",0)</f>
        <v>45651</v>
      </c>
      <c r="O287" s="4">
        <f>_xlfn.XLOOKUP(Table1[[#This Row],[Campaign_Name]],'Campaign Metadata'!A:A,'Campaign Metadata'!C:C,"Not found",0)</f>
        <v>45667</v>
      </c>
      <c r="P287" t="str">
        <f>IF(AND(Table1[[#This Row],[Date]]&gt;=Table1[[#This Row],[Campaign Start Date]],Table1[[#This Row],[Date]]&lt;=Table1[[#This Row],[Campaign End Date]]),"During Campaign","Before Campaign")</f>
        <v>Before Campaign</v>
      </c>
    </row>
    <row r="288" spans="1:16" ht="15.75" customHeight="1" x14ac:dyDescent="0.3">
      <c r="A288" s="2" t="s">
        <v>546</v>
      </c>
      <c r="B288" s="2" t="s">
        <v>33</v>
      </c>
      <c r="C288" s="2" t="s">
        <v>404</v>
      </c>
      <c r="D288" s="2" t="s">
        <v>16</v>
      </c>
      <c r="E288" s="2" t="s">
        <v>82</v>
      </c>
      <c r="F288" s="2">
        <v>1164</v>
      </c>
      <c r="G288" s="2">
        <v>616</v>
      </c>
      <c r="H288" s="2">
        <v>324</v>
      </c>
      <c r="I288" s="2">
        <v>6984</v>
      </c>
      <c r="J288" s="2">
        <v>6636</v>
      </c>
      <c r="K288" s="2">
        <v>82</v>
      </c>
      <c r="L288" s="2" t="s">
        <v>37</v>
      </c>
      <c r="M288" s="2" t="s">
        <v>19</v>
      </c>
      <c r="N288" s="4">
        <f>_xlfn.XLOOKUP(Table1[[#This Row],[Campaign_Name]],'Campaign Metadata'!A:A,'Campaign Metadata'!B:B,"Notfound",0)</f>
        <v>45458</v>
      </c>
      <c r="O288" s="4">
        <f>_xlfn.XLOOKUP(Table1[[#This Row],[Campaign_Name]],'Campaign Metadata'!A:A,'Campaign Metadata'!C:C,"Not found",0)</f>
        <v>45488</v>
      </c>
      <c r="P288" t="str">
        <f>IF(AND(Table1[[#This Row],[Date]]&gt;=Table1[[#This Row],[Campaign Start Date]],Table1[[#This Row],[Date]]&lt;=Table1[[#This Row],[Campaign End Date]]),"During Campaign","Before Campaign")</f>
        <v>Before Campaign</v>
      </c>
    </row>
    <row r="289" spans="1:16" ht="15.75" customHeight="1" x14ac:dyDescent="0.3">
      <c r="A289" s="2" t="s">
        <v>547</v>
      </c>
      <c r="B289" s="2" t="s">
        <v>27</v>
      </c>
      <c r="C289" s="2" t="s">
        <v>548</v>
      </c>
      <c r="D289" s="2" t="s">
        <v>45</v>
      </c>
      <c r="E289" s="2" t="s">
        <v>68</v>
      </c>
      <c r="F289" s="2">
        <v>4780</v>
      </c>
      <c r="G289" s="2">
        <v>691</v>
      </c>
      <c r="H289" s="2">
        <v>380</v>
      </c>
      <c r="I289" s="2">
        <v>86040</v>
      </c>
      <c r="J289" s="2">
        <v>85743</v>
      </c>
      <c r="K289" s="2">
        <v>262</v>
      </c>
      <c r="L289" s="2" t="s">
        <v>62</v>
      </c>
      <c r="M289" s="2" t="s">
        <v>31</v>
      </c>
      <c r="N289" s="4">
        <f>_xlfn.XLOOKUP(Table1[[#This Row],[Campaign_Name]],'Campaign Metadata'!A:A,'Campaign Metadata'!B:B,"Notfound",0)</f>
        <v>45651</v>
      </c>
      <c r="O289" s="4">
        <f>_xlfn.XLOOKUP(Table1[[#This Row],[Campaign_Name]],'Campaign Metadata'!A:A,'Campaign Metadata'!C:C,"Not found",0)</f>
        <v>45667</v>
      </c>
      <c r="P289" t="str">
        <f>IF(AND(Table1[[#This Row],[Date]]&gt;=Table1[[#This Row],[Campaign Start Date]],Table1[[#This Row],[Date]]&lt;=Table1[[#This Row],[Campaign End Date]]),"During Campaign","Before Campaign")</f>
        <v>Before Campaign</v>
      </c>
    </row>
    <row r="290" spans="1:16" ht="15.75" customHeight="1" x14ac:dyDescent="0.3">
      <c r="A290" s="2" t="s">
        <v>549</v>
      </c>
      <c r="B290" s="2" t="s">
        <v>43</v>
      </c>
      <c r="C290" s="2" t="s">
        <v>307</v>
      </c>
      <c r="D290" s="2" t="s">
        <v>45</v>
      </c>
      <c r="E290" s="2" t="s">
        <v>46</v>
      </c>
      <c r="F290" s="2">
        <v>2751</v>
      </c>
      <c r="G290" s="2">
        <v>33</v>
      </c>
      <c r="H290" s="2">
        <v>430</v>
      </c>
      <c r="I290" s="2">
        <v>44016</v>
      </c>
      <c r="J290" s="2">
        <v>43415</v>
      </c>
      <c r="K290" s="2">
        <v>129</v>
      </c>
      <c r="L290" s="2" t="s">
        <v>62</v>
      </c>
      <c r="N290" s="4">
        <f>_xlfn.XLOOKUP(Table1[[#This Row],[Campaign_Name]],'Campaign Metadata'!A:A,'Campaign Metadata'!B:B,"Notfound",0)</f>
        <v>0</v>
      </c>
      <c r="O290" s="4">
        <f>_xlfn.XLOOKUP(Table1[[#This Row],[Campaign_Name]],'Campaign Metadata'!A:A,'Campaign Metadata'!C:C,"Not found",0)</f>
        <v>0</v>
      </c>
      <c r="P290" t="str">
        <f>IF(AND(Table1[[#This Row],[Date]]&gt;=Table1[[#This Row],[Campaign Start Date]],Table1[[#This Row],[Date]]&lt;=Table1[[#This Row],[Campaign End Date]]),"During Campaign","Before Campaign")</f>
        <v>Before Campaign</v>
      </c>
    </row>
    <row r="291" spans="1:16" ht="15.75" customHeight="1" x14ac:dyDescent="0.3">
      <c r="A291" s="2" t="s">
        <v>550</v>
      </c>
      <c r="B291" s="2" t="s">
        <v>33</v>
      </c>
      <c r="C291" s="2" t="s">
        <v>551</v>
      </c>
      <c r="D291" s="2" t="s">
        <v>45</v>
      </c>
      <c r="E291" s="2" t="s">
        <v>88</v>
      </c>
      <c r="F291" s="2">
        <v>2107</v>
      </c>
      <c r="G291" s="2">
        <v>550</v>
      </c>
      <c r="H291" s="2">
        <v>349</v>
      </c>
      <c r="I291" s="2">
        <v>35819</v>
      </c>
      <c r="J291" s="2">
        <v>35340</v>
      </c>
      <c r="K291" s="2">
        <v>191</v>
      </c>
      <c r="L291" s="2" t="s">
        <v>37</v>
      </c>
      <c r="M291" s="2" t="s">
        <v>38</v>
      </c>
      <c r="N291" s="4">
        <f>_xlfn.XLOOKUP(Table1[[#This Row],[Campaign_Name]],'Campaign Metadata'!A:A,'Campaign Metadata'!B:B,"Notfound",0)</f>
        <v>45717</v>
      </c>
      <c r="O291" s="4">
        <f>_xlfn.XLOOKUP(Table1[[#This Row],[Campaign_Name]],'Campaign Metadata'!A:A,'Campaign Metadata'!C:C,"Not found",0)</f>
        <v>45747</v>
      </c>
      <c r="P291" t="str">
        <f>IF(AND(Table1[[#This Row],[Date]]&gt;=Table1[[#This Row],[Campaign Start Date]],Table1[[#This Row],[Date]]&lt;=Table1[[#This Row],[Campaign End Date]]),"During Campaign","Before Campaign")</f>
        <v>Before Campaign</v>
      </c>
    </row>
    <row r="292" spans="1:16" ht="15.75" customHeight="1" x14ac:dyDescent="0.3">
      <c r="A292" s="2" t="s">
        <v>552</v>
      </c>
      <c r="B292" s="2" t="s">
        <v>43</v>
      </c>
      <c r="C292" s="2" t="s">
        <v>94</v>
      </c>
      <c r="D292" s="2" t="s">
        <v>74</v>
      </c>
      <c r="E292" s="2" t="s">
        <v>75</v>
      </c>
      <c r="F292" s="2">
        <v>4663</v>
      </c>
      <c r="G292" s="2">
        <v>145</v>
      </c>
      <c r="H292" s="2">
        <v>225</v>
      </c>
      <c r="I292" s="2">
        <v>69945</v>
      </c>
      <c r="J292" s="2">
        <v>69596</v>
      </c>
      <c r="K292" s="2">
        <v>35</v>
      </c>
      <c r="L292" s="2" t="s">
        <v>37</v>
      </c>
      <c r="M292" s="2" t="s">
        <v>38</v>
      </c>
      <c r="N292" s="4">
        <f>_xlfn.XLOOKUP(Table1[[#This Row],[Campaign_Name]],'Campaign Metadata'!A:A,'Campaign Metadata'!B:B,"Notfound",0)</f>
        <v>45717</v>
      </c>
      <c r="O292" s="4">
        <f>_xlfn.XLOOKUP(Table1[[#This Row],[Campaign_Name]],'Campaign Metadata'!A:A,'Campaign Metadata'!C:C,"Not found",0)</f>
        <v>45747</v>
      </c>
      <c r="P292" t="str">
        <f>IF(AND(Table1[[#This Row],[Date]]&gt;=Table1[[#This Row],[Campaign Start Date]],Table1[[#This Row],[Date]]&lt;=Table1[[#This Row],[Campaign End Date]]),"During Campaign","Before Campaign")</f>
        <v>Before Campaign</v>
      </c>
    </row>
    <row r="293" spans="1:16" ht="15.75" customHeight="1" x14ac:dyDescent="0.3">
      <c r="A293" s="2" t="s">
        <v>553</v>
      </c>
      <c r="B293" s="2" t="s">
        <v>43</v>
      </c>
      <c r="C293" s="2" t="s">
        <v>554</v>
      </c>
      <c r="D293" s="2" t="s">
        <v>22</v>
      </c>
      <c r="E293" s="2" t="s">
        <v>56</v>
      </c>
      <c r="F293" s="2">
        <v>880</v>
      </c>
      <c r="G293" s="2">
        <v>297</v>
      </c>
      <c r="H293" s="2">
        <v>345</v>
      </c>
      <c r="I293" s="2">
        <v>12320</v>
      </c>
      <c r="J293" s="2">
        <v>11978</v>
      </c>
      <c r="K293" s="2">
        <v>238</v>
      </c>
      <c r="L293" s="2" t="s">
        <v>95</v>
      </c>
      <c r="N293" s="4">
        <f>_xlfn.XLOOKUP(Table1[[#This Row],[Campaign_Name]],'Campaign Metadata'!A:A,'Campaign Metadata'!B:B,"Notfound",0)</f>
        <v>0</v>
      </c>
      <c r="O293" s="4">
        <f>_xlfn.XLOOKUP(Table1[[#This Row],[Campaign_Name]],'Campaign Metadata'!A:A,'Campaign Metadata'!C:C,"Not found",0)</f>
        <v>0</v>
      </c>
      <c r="P293" t="str">
        <f>IF(AND(Table1[[#This Row],[Date]]&gt;=Table1[[#This Row],[Campaign Start Date]],Table1[[#This Row],[Date]]&lt;=Table1[[#This Row],[Campaign End Date]]),"During Campaign","Before Campaign")</f>
        <v>Before Campaign</v>
      </c>
    </row>
    <row r="294" spans="1:16" ht="15.75" customHeight="1" x14ac:dyDescent="0.3">
      <c r="A294" s="2" t="s">
        <v>555</v>
      </c>
      <c r="B294" s="2" t="s">
        <v>43</v>
      </c>
      <c r="C294" s="2" t="s">
        <v>556</v>
      </c>
      <c r="D294" s="2" t="s">
        <v>22</v>
      </c>
      <c r="E294" s="2" t="s">
        <v>56</v>
      </c>
      <c r="F294" s="2">
        <v>2634</v>
      </c>
      <c r="G294" s="2">
        <v>726</v>
      </c>
      <c r="H294" s="2">
        <v>241</v>
      </c>
      <c r="I294" s="2">
        <v>28974</v>
      </c>
      <c r="J294" s="2">
        <v>28102</v>
      </c>
      <c r="K294" s="2">
        <v>277</v>
      </c>
      <c r="L294" s="2" t="s">
        <v>37</v>
      </c>
      <c r="M294" s="2" t="s">
        <v>19</v>
      </c>
      <c r="N294" s="4">
        <f>_xlfn.XLOOKUP(Table1[[#This Row],[Campaign_Name]],'Campaign Metadata'!A:A,'Campaign Metadata'!B:B,"Notfound",0)</f>
        <v>45458</v>
      </c>
      <c r="O294" s="4">
        <f>_xlfn.XLOOKUP(Table1[[#This Row],[Campaign_Name]],'Campaign Metadata'!A:A,'Campaign Metadata'!C:C,"Not found",0)</f>
        <v>45488</v>
      </c>
      <c r="P294" t="str">
        <f>IF(AND(Table1[[#This Row],[Date]]&gt;=Table1[[#This Row],[Campaign Start Date]],Table1[[#This Row],[Date]]&lt;=Table1[[#This Row],[Campaign End Date]]),"During Campaign","Before Campaign")</f>
        <v>Before Campaign</v>
      </c>
    </row>
    <row r="295" spans="1:16" ht="15.75" customHeight="1" x14ac:dyDescent="0.3">
      <c r="A295" s="2" t="s">
        <v>557</v>
      </c>
      <c r="B295" s="2" t="s">
        <v>43</v>
      </c>
      <c r="C295" s="2" t="s">
        <v>558</v>
      </c>
      <c r="D295" s="2" t="s">
        <v>45</v>
      </c>
      <c r="E295" s="2" t="s">
        <v>46</v>
      </c>
      <c r="F295" s="2">
        <v>4731</v>
      </c>
      <c r="G295" s="2">
        <v>173</v>
      </c>
      <c r="H295" s="2">
        <v>276</v>
      </c>
      <c r="I295" s="2">
        <v>28386</v>
      </c>
      <c r="J295" s="2">
        <v>28185</v>
      </c>
      <c r="K295" s="2">
        <v>89</v>
      </c>
      <c r="L295" s="2" t="s">
        <v>37</v>
      </c>
      <c r="M295" s="2" t="s">
        <v>31</v>
      </c>
      <c r="N295" s="4">
        <f>_xlfn.XLOOKUP(Table1[[#This Row],[Campaign_Name]],'Campaign Metadata'!A:A,'Campaign Metadata'!B:B,"Notfound",0)</f>
        <v>45651</v>
      </c>
      <c r="O295" s="4">
        <f>_xlfn.XLOOKUP(Table1[[#This Row],[Campaign_Name]],'Campaign Metadata'!A:A,'Campaign Metadata'!C:C,"Not found",0)</f>
        <v>45667</v>
      </c>
      <c r="P295" t="str">
        <f>IF(AND(Table1[[#This Row],[Date]]&gt;=Table1[[#This Row],[Campaign Start Date]],Table1[[#This Row],[Date]]&lt;=Table1[[#This Row],[Campaign End Date]]),"During Campaign","Before Campaign")</f>
        <v>Before Campaign</v>
      </c>
    </row>
    <row r="296" spans="1:16" ht="15.75" customHeight="1" x14ac:dyDescent="0.3">
      <c r="A296" s="2" t="s">
        <v>559</v>
      </c>
      <c r="B296" s="2" t="s">
        <v>14</v>
      </c>
      <c r="C296" s="2" t="s">
        <v>436</v>
      </c>
      <c r="D296" s="2" t="s">
        <v>52</v>
      </c>
      <c r="E296" s="2" t="s">
        <v>132</v>
      </c>
      <c r="F296" s="2">
        <v>1952</v>
      </c>
      <c r="G296" s="2">
        <v>344</v>
      </c>
      <c r="H296" s="2">
        <v>287</v>
      </c>
      <c r="I296" s="2">
        <v>15616</v>
      </c>
      <c r="J296" s="2">
        <v>15403</v>
      </c>
      <c r="K296" s="2">
        <v>235</v>
      </c>
      <c r="L296" s="2" t="s">
        <v>216</v>
      </c>
      <c r="M296" s="2" t="s">
        <v>25</v>
      </c>
      <c r="N296" s="4">
        <f>_xlfn.XLOOKUP(Table1[[#This Row],[Campaign_Name]],'Campaign Metadata'!A:A,'Campaign Metadata'!B:B,"Notfound",0)</f>
        <v>45566</v>
      </c>
      <c r="O296" s="4">
        <f>_xlfn.XLOOKUP(Table1[[#This Row],[Campaign_Name]],'Campaign Metadata'!A:A,'Campaign Metadata'!C:C,"Not found",0)</f>
        <v>45596</v>
      </c>
      <c r="P296" t="str">
        <f>IF(AND(Table1[[#This Row],[Date]]&gt;=Table1[[#This Row],[Campaign Start Date]],Table1[[#This Row],[Date]]&lt;=Table1[[#This Row],[Campaign End Date]]),"During Campaign","Before Campaign")</f>
        <v>Before Campaign</v>
      </c>
    </row>
    <row r="297" spans="1:16" ht="15.75" customHeight="1" x14ac:dyDescent="0.3">
      <c r="A297" s="2" t="s">
        <v>560</v>
      </c>
      <c r="B297" s="2" t="s">
        <v>14</v>
      </c>
      <c r="C297" s="2" t="s">
        <v>561</v>
      </c>
      <c r="D297" s="2" t="s">
        <v>74</v>
      </c>
      <c r="E297" s="2" t="s">
        <v>145</v>
      </c>
      <c r="F297" s="2">
        <v>3440</v>
      </c>
      <c r="G297" s="2">
        <v>13</v>
      </c>
      <c r="H297" s="2">
        <v>20</v>
      </c>
      <c r="I297" s="2">
        <v>58480</v>
      </c>
      <c r="J297" s="2">
        <v>58146</v>
      </c>
      <c r="K297" s="2">
        <v>210</v>
      </c>
      <c r="L297" s="2" t="s">
        <v>421</v>
      </c>
      <c r="M297" s="2" t="s">
        <v>38</v>
      </c>
      <c r="N297" s="4">
        <f>_xlfn.XLOOKUP(Table1[[#This Row],[Campaign_Name]],'Campaign Metadata'!A:A,'Campaign Metadata'!B:B,"Notfound",0)</f>
        <v>45717</v>
      </c>
      <c r="O297" s="4">
        <f>_xlfn.XLOOKUP(Table1[[#This Row],[Campaign_Name]],'Campaign Metadata'!A:A,'Campaign Metadata'!C:C,"Not found",0)</f>
        <v>45747</v>
      </c>
      <c r="P297" t="str">
        <f>IF(AND(Table1[[#This Row],[Date]]&gt;=Table1[[#This Row],[Campaign Start Date]],Table1[[#This Row],[Date]]&lt;=Table1[[#This Row],[Campaign End Date]]),"During Campaign","Before Campaign")</f>
        <v>Before Campaign</v>
      </c>
    </row>
    <row r="298" spans="1:16" ht="15.75" customHeight="1" x14ac:dyDescent="0.3">
      <c r="A298" s="2" t="s">
        <v>562</v>
      </c>
      <c r="B298" s="2" t="s">
        <v>14</v>
      </c>
      <c r="C298" s="2" t="s">
        <v>563</v>
      </c>
      <c r="D298" s="2" t="s">
        <v>22</v>
      </c>
      <c r="E298" s="2" t="s">
        <v>23</v>
      </c>
      <c r="F298" s="2">
        <v>2166</v>
      </c>
      <c r="G298" s="2">
        <v>354</v>
      </c>
      <c r="H298" s="2">
        <v>117</v>
      </c>
      <c r="I298" s="2">
        <v>10830</v>
      </c>
      <c r="J298" s="2">
        <v>10245</v>
      </c>
      <c r="K298" s="2">
        <v>24</v>
      </c>
      <c r="L298" s="2" t="s">
        <v>37</v>
      </c>
      <c r="M298" s="2" t="s">
        <v>38</v>
      </c>
      <c r="N298" s="4">
        <f>_xlfn.XLOOKUP(Table1[[#This Row],[Campaign_Name]],'Campaign Metadata'!A:A,'Campaign Metadata'!B:B,"Notfound",0)</f>
        <v>45717</v>
      </c>
      <c r="O298" s="4">
        <f>_xlfn.XLOOKUP(Table1[[#This Row],[Campaign_Name]],'Campaign Metadata'!A:A,'Campaign Metadata'!C:C,"Not found",0)</f>
        <v>45747</v>
      </c>
      <c r="P298" t="str">
        <f>IF(AND(Table1[[#This Row],[Date]]&gt;=Table1[[#This Row],[Campaign Start Date]],Table1[[#This Row],[Date]]&lt;=Table1[[#This Row],[Campaign End Date]]),"During Campaign","Before Campaign")</f>
        <v>Before Campaign</v>
      </c>
    </row>
    <row r="299" spans="1:16" ht="15.75" customHeight="1" x14ac:dyDescent="0.3">
      <c r="A299" s="2" t="s">
        <v>564</v>
      </c>
      <c r="B299" s="2" t="s">
        <v>43</v>
      </c>
      <c r="C299" s="2" t="s">
        <v>73</v>
      </c>
      <c r="D299" s="2" t="s">
        <v>52</v>
      </c>
      <c r="E299" s="2" t="s">
        <v>59</v>
      </c>
      <c r="F299" s="2">
        <v>4303</v>
      </c>
      <c r="G299" s="2">
        <v>451</v>
      </c>
      <c r="H299" s="2">
        <v>286</v>
      </c>
      <c r="I299" s="2">
        <v>86060</v>
      </c>
      <c r="J299" s="2">
        <v>85823</v>
      </c>
      <c r="K299" s="2">
        <v>14</v>
      </c>
      <c r="L299" s="2" t="s">
        <v>30</v>
      </c>
      <c r="M299" s="2" t="s">
        <v>31</v>
      </c>
      <c r="N299" s="4">
        <f>_xlfn.XLOOKUP(Table1[[#This Row],[Campaign_Name]],'Campaign Metadata'!A:A,'Campaign Metadata'!B:B,"Notfound",0)</f>
        <v>45651</v>
      </c>
      <c r="O299" s="4">
        <f>_xlfn.XLOOKUP(Table1[[#This Row],[Campaign_Name]],'Campaign Metadata'!A:A,'Campaign Metadata'!C:C,"Not found",0)</f>
        <v>45667</v>
      </c>
      <c r="P299" t="str">
        <f>IF(AND(Table1[[#This Row],[Date]]&gt;=Table1[[#This Row],[Campaign Start Date]],Table1[[#This Row],[Date]]&lt;=Table1[[#This Row],[Campaign End Date]]),"During Campaign","Before Campaign")</f>
        <v>Before Campaign</v>
      </c>
    </row>
    <row r="300" spans="1:16" ht="15.75" customHeight="1" x14ac:dyDescent="0.3">
      <c r="A300" s="2" t="s">
        <v>565</v>
      </c>
      <c r="B300" s="2" t="s">
        <v>43</v>
      </c>
      <c r="C300" s="2" t="s">
        <v>77</v>
      </c>
      <c r="D300" s="2" t="s">
        <v>52</v>
      </c>
      <c r="E300" s="2" t="s">
        <v>59</v>
      </c>
      <c r="F300" s="2">
        <v>2581</v>
      </c>
      <c r="G300" s="2">
        <v>517</v>
      </c>
      <c r="H300" s="2">
        <v>117</v>
      </c>
      <c r="I300" s="2">
        <v>23229</v>
      </c>
      <c r="J300" s="2">
        <v>22331</v>
      </c>
      <c r="K300" s="2">
        <v>70</v>
      </c>
      <c r="L300" s="2" t="s">
        <v>62</v>
      </c>
      <c r="M300" s="2" t="s">
        <v>31</v>
      </c>
      <c r="N300" s="4">
        <f>_xlfn.XLOOKUP(Table1[[#This Row],[Campaign_Name]],'Campaign Metadata'!A:A,'Campaign Metadata'!B:B,"Notfound",0)</f>
        <v>45651</v>
      </c>
      <c r="O300" s="4">
        <f>_xlfn.XLOOKUP(Table1[[#This Row],[Campaign_Name]],'Campaign Metadata'!A:A,'Campaign Metadata'!C:C,"Not found",0)</f>
        <v>45667</v>
      </c>
      <c r="P300" t="str">
        <f>IF(AND(Table1[[#This Row],[Date]]&gt;=Table1[[#This Row],[Campaign Start Date]],Table1[[#This Row],[Date]]&lt;=Table1[[#This Row],[Campaign End Date]]),"During Campaign","Before Campaign")</f>
        <v>Before Campaign</v>
      </c>
    </row>
    <row r="301" spans="1:16" ht="15.75" customHeight="1" x14ac:dyDescent="0.3">
      <c r="A301" s="2" t="s">
        <v>566</v>
      </c>
      <c r="B301" s="2" t="s">
        <v>14</v>
      </c>
      <c r="C301" s="2" t="s">
        <v>318</v>
      </c>
      <c r="D301" s="2" t="s">
        <v>45</v>
      </c>
      <c r="E301" s="2" t="s">
        <v>49</v>
      </c>
      <c r="F301" s="2">
        <v>4494</v>
      </c>
      <c r="G301" s="2">
        <v>717</v>
      </c>
      <c r="H301" s="2">
        <v>45</v>
      </c>
      <c r="I301" s="2">
        <v>62916</v>
      </c>
      <c r="J301" s="2">
        <v>62688</v>
      </c>
      <c r="K301" s="2">
        <v>191</v>
      </c>
      <c r="L301" s="2" t="s">
        <v>505</v>
      </c>
      <c r="M301" s="2" t="s">
        <v>19</v>
      </c>
      <c r="N301" s="4">
        <f>_xlfn.XLOOKUP(Table1[[#This Row],[Campaign_Name]],'Campaign Metadata'!A:A,'Campaign Metadata'!B:B,"Notfound",0)</f>
        <v>45458</v>
      </c>
      <c r="O301" s="4">
        <f>_xlfn.XLOOKUP(Table1[[#This Row],[Campaign_Name]],'Campaign Metadata'!A:A,'Campaign Metadata'!C:C,"Not found",0)</f>
        <v>45488</v>
      </c>
      <c r="P301" t="str">
        <f>IF(AND(Table1[[#This Row],[Date]]&gt;=Table1[[#This Row],[Campaign Start Date]],Table1[[#This Row],[Date]]&lt;=Table1[[#This Row],[Campaign End Date]]),"During Campaign","Before Campaign")</f>
        <v>Before Campaign</v>
      </c>
    </row>
    <row r="302" spans="1:16" ht="15.75" customHeight="1" x14ac:dyDescent="0.3"/>
    <row r="303" spans="1:16" ht="15.75" customHeight="1" x14ac:dyDescent="0.3"/>
    <row r="304" spans="1:16"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election activeCell="G3" sqref="G3"/>
    </sheetView>
  </sheetViews>
  <sheetFormatPr defaultColWidth="14.44140625" defaultRowHeight="15" customHeight="1" x14ac:dyDescent="0.3"/>
  <cols>
    <col min="1" max="1" width="26.88671875" customWidth="1"/>
    <col min="2" max="2" width="18.44140625" customWidth="1"/>
    <col min="3" max="3" width="15.5546875" customWidth="1"/>
    <col min="4" max="4" width="15.6640625" customWidth="1"/>
    <col min="5" max="5" width="16" customWidth="1"/>
    <col min="6" max="6" width="20.88671875" customWidth="1"/>
    <col min="7" max="7" width="14.109375" style="27" bestFit="1" customWidth="1"/>
    <col min="8" max="8" width="13.44140625" customWidth="1"/>
    <col min="9" max="9" width="20.88671875" customWidth="1"/>
    <col min="10" max="10" width="13" bestFit="1" customWidth="1"/>
    <col min="11" max="26" width="8.6640625" customWidth="1"/>
  </cols>
  <sheetData>
    <row r="1" spans="1:10" ht="14.4" x14ac:dyDescent="0.3">
      <c r="A1" s="1" t="s">
        <v>567</v>
      </c>
      <c r="B1" s="1" t="s">
        <v>1</v>
      </c>
      <c r="C1" s="1" t="s">
        <v>568</v>
      </c>
      <c r="D1" s="1" t="s">
        <v>569</v>
      </c>
      <c r="E1" s="1" t="s">
        <v>570</v>
      </c>
      <c r="F1" s="1" t="s">
        <v>571</v>
      </c>
      <c r="G1" s="25" t="s">
        <v>572</v>
      </c>
      <c r="H1" s="11" t="s">
        <v>622</v>
      </c>
      <c r="I1" s="11" t="s">
        <v>623</v>
      </c>
      <c r="J1" s="11" t="s">
        <v>653</v>
      </c>
    </row>
    <row r="2" spans="1:10" ht="14.4" x14ac:dyDescent="0.3">
      <c r="A2" s="2" t="s">
        <v>232</v>
      </c>
      <c r="B2" s="2" t="s">
        <v>33</v>
      </c>
      <c r="C2" s="2">
        <v>1135</v>
      </c>
      <c r="D2" s="2">
        <v>88</v>
      </c>
      <c r="E2" s="2">
        <v>344084</v>
      </c>
      <c r="F2" s="2">
        <v>8.06</v>
      </c>
      <c r="G2" s="26">
        <v>5904</v>
      </c>
      <c r="H2">
        <f>C2-D2</f>
        <v>1047</v>
      </c>
      <c r="I2" s="13">
        <f>(C2-D2)/E2</f>
        <v>3.0428616268120576E-3</v>
      </c>
      <c r="J2" s="17">
        <f>WEEKNUM(Table4[[#This Row],[Week_Start_Date]])</f>
        <v>23</v>
      </c>
    </row>
    <row r="3" spans="1:10" ht="14.4" x14ac:dyDescent="0.3">
      <c r="A3" s="2" t="s">
        <v>232</v>
      </c>
      <c r="B3" s="2" t="s">
        <v>43</v>
      </c>
      <c r="C3" s="2">
        <v>1312</v>
      </c>
      <c r="D3" s="2">
        <v>310</v>
      </c>
      <c r="E3" s="2">
        <v>42654</v>
      </c>
      <c r="F3" s="2">
        <v>4.9800000000000004</v>
      </c>
      <c r="G3" s="26">
        <v>9566</v>
      </c>
      <c r="H3">
        <f t="shared" ref="H3:H66" si="0">C3-D3</f>
        <v>1002</v>
      </c>
      <c r="I3" s="13">
        <f t="shared" ref="I3:I66" si="1">(C3-D3)/E3</f>
        <v>2.3491348994232664E-2</v>
      </c>
      <c r="J3" s="17">
        <f>WEEKNUM(Table4[[#This Row],[Week_Start_Date]])</f>
        <v>23</v>
      </c>
    </row>
    <row r="4" spans="1:10" ht="14.4" x14ac:dyDescent="0.3">
      <c r="A4" s="2" t="s">
        <v>232</v>
      </c>
      <c r="B4" s="2" t="s">
        <v>14</v>
      </c>
      <c r="C4" s="2">
        <v>584</v>
      </c>
      <c r="D4" s="2">
        <v>169</v>
      </c>
      <c r="E4" s="2">
        <v>146834</v>
      </c>
      <c r="F4" s="2">
        <v>8.31</v>
      </c>
      <c r="G4" s="26">
        <v>26752</v>
      </c>
      <c r="H4">
        <f t="shared" si="0"/>
        <v>415</v>
      </c>
      <c r="I4" s="13">
        <f t="shared" si="1"/>
        <v>2.826320879360366E-3</v>
      </c>
      <c r="J4" s="17">
        <f>WEEKNUM(Table4[[#This Row],[Week_Start_Date]])</f>
        <v>23</v>
      </c>
    </row>
    <row r="5" spans="1:10" ht="14.4" x14ac:dyDescent="0.3">
      <c r="A5" s="2" t="s">
        <v>232</v>
      </c>
      <c r="B5" s="2" t="s">
        <v>27</v>
      </c>
      <c r="C5" s="2">
        <v>1535</v>
      </c>
      <c r="D5" s="2">
        <v>445</v>
      </c>
      <c r="E5" s="2">
        <v>395536</v>
      </c>
      <c r="F5" s="2">
        <v>4.1100000000000003</v>
      </c>
      <c r="G5" s="26">
        <v>30671</v>
      </c>
      <c r="H5">
        <f t="shared" si="0"/>
        <v>1090</v>
      </c>
      <c r="I5" s="13">
        <f t="shared" si="1"/>
        <v>2.7557542170624167E-3</v>
      </c>
      <c r="J5" s="17">
        <f>WEEKNUM(Table4[[#This Row],[Week_Start_Date]])</f>
        <v>23</v>
      </c>
    </row>
    <row r="6" spans="1:10" ht="14.4" x14ac:dyDescent="0.3">
      <c r="A6" s="2" t="s">
        <v>151</v>
      </c>
      <c r="B6" s="2" t="s">
        <v>33</v>
      </c>
      <c r="C6" s="2">
        <v>656</v>
      </c>
      <c r="D6" s="2">
        <v>139</v>
      </c>
      <c r="E6" s="2">
        <v>49157</v>
      </c>
      <c r="F6" s="2">
        <v>9.0500000000000007</v>
      </c>
      <c r="G6" s="26">
        <v>9920</v>
      </c>
      <c r="H6">
        <f t="shared" si="0"/>
        <v>517</v>
      </c>
      <c r="I6" s="13">
        <f t="shared" si="1"/>
        <v>1.0517322049758936E-2</v>
      </c>
      <c r="J6" s="17">
        <f>WEEKNUM(Table4[[#This Row],[Week_Start_Date]])</f>
        <v>24</v>
      </c>
    </row>
    <row r="7" spans="1:10" ht="14.4" x14ac:dyDescent="0.3">
      <c r="A7" s="2" t="s">
        <v>151</v>
      </c>
      <c r="B7" s="2" t="s">
        <v>43</v>
      </c>
      <c r="C7" s="2">
        <v>1697</v>
      </c>
      <c r="D7" s="2">
        <v>414</v>
      </c>
      <c r="E7" s="2">
        <v>316555</v>
      </c>
      <c r="F7" s="2">
        <v>2.37</v>
      </c>
      <c r="G7" s="26">
        <v>7924</v>
      </c>
      <c r="H7">
        <f t="shared" si="0"/>
        <v>1283</v>
      </c>
      <c r="I7" s="13">
        <f t="shared" si="1"/>
        <v>4.0530081660374974E-3</v>
      </c>
      <c r="J7" s="17">
        <f>WEEKNUM(Table4[[#This Row],[Week_Start_Date]])</f>
        <v>24</v>
      </c>
    </row>
    <row r="8" spans="1:10" ht="14.4" x14ac:dyDescent="0.3">
      <c r="A8" s="2" t="s">
        <v>151</v>
      </c>
      <c r="B8" s="2" t="s">
        <v>14</v>
      </c>
      <c r="C8" s="2">
        <v>436</v>
      </c>
      <c r="D8" s="2">
        <v>250</v>
      </c>
      <c r="E8" s="2">
        <v>254347</v>
      </c>
      <c r="F8" s="2">
        <v>4.01</v>
      </c>
      <c r="G8" s="26">
        <v>8912</v>
      </c>
      <c r="H8">
        <f t="shared" si="0"/>
        <v>186</v>
      </c>
      <c r="I8" s="13">
        <f t="shared" si="1"/>
        <v>7.3128442639386348E-4</v>
      </c>
      <c r="J8" s="17">
        <f>WEEKNUM(Table4[[#This Row],[Week_Start_Date]])</f>
        <v>24</v>
      </c>
    </row>
    <row r="9" spans="1:10" ht="14.4" x14ac:dyDescent="0.3">
      <c r="A9" s="2" t="s">
        <v>151</v>
      </c>
      <c r="B9" s="2" t="s">
        <v>27</v>
      </c>
      <c r="C9" s="2">
        <v>1197</v>
      </c>
      <c r="D9" s="2">
        <v>203</v>
      </c>
      <c r="E9" s="2">
        <v>413878</v>
      </c>
      <c r="F9" s="2">
        <v>3.16</v>
      </c>
      <c r="G9" s="26">
        <v>21205</v>
      </c>
      <c r="H9">
        <f t="shared" si="0"/>
        <v>994</v>
      </c>
      <c r="I9" s="13">
        <f t="shared" si="1"/>
        <v>2.4016739232334168E-3</v>
      </c>
      <c r="J9" s="17">
        <f>WEEKNUM(Table4[[#This Row],[Week_Start_Date]])</f>
        <v>24</v>
      </c>
    </row>
    <row r="10" spans="1:10" ht="14.4" x14ac:dyDescent="0.3">
      <c r="A10" s="2" t="s">
        <v>164</v>
      </c>
      <c r="B10" s="2" t="s">
        <v>33</v>
      </c>
      <c r="C10" s="2">
        <v>1048</v>
      </c>
      <c r="D10" s="2">
        <v>155</v>
      </c>
      <c r="E10" s="2">
        <v>456946</v>
      </c>
      <c r="F10" s="2">
        <v>2.46</v>
      </c>
      <c r="G10" s="26">
        <v>11329</v>
      </c>
      <c r="H10">
        <f t="shared" si="0"/>
        <v>893</v>
      </c>
      <c r="I10" s="13">
        <f t="shared" si="1"/>
        <v>1.9542790614208243E-3</v>
      </c>
      <c r="J10" s="17">
        <f>WEEKNUM(Table4[[#This Row],[Week_Start_Date]])</f>
        <v>25</v>
      </c>
    </row>
    <row r="11" spans="1:10" ht="14.4" x14ac:dyDescent="0.3">
      <c r="A11" s="2" t="s">
        <v>164</v>
      </c>
      <c r="B11" s="2" t="s">
        <v>43</v>
      </c>
      <c r="C11" s="2">
        <v>1753</v>
      </c>
      <c r="D11" s="2">
        <v>371</v>
      </c>
      <c r="E11" s="2">
        <v>169496</v>
      </c>
      <c r="F11" s="2">
        <v>8.11</v>
      </c>
      <c r="G11" s="26">
        <v>46670</v>
      </c>
      <c r="H11">
        <f t="shared" si="0"/>
        <v>1382</v>
      </c>
      <c r="I11" s="13">
        <f t="shared" si="1"/>
        <v>8.1535847453627231E-3</v>
      </c>
      <c r="J11" s="17">
        <f>WEEKNUM(Table4[[#This Row],[Week_Start_Date]])</f>
        <v>25</v>
      </c>
    </row>
    <row r="12" spans="1:10" ht="14.4" x14ac:dyDescent="0.3">
      <c r="A12" s="2" t="s">
        <v>164</v>
      </c>
      <c r="B12" s="2" t="s">
        <v>14</v>
      </c>
      <c r="C12" s="2">
        <v>1335</v>
      </c>
      <c r="D12" s="2">
        <v>40</v>
      </c>
      <c r="E12" s="2">
        <v>122732</v>
      </c>
      <c r="F12" s="2">
        <v>8.19</v>
      </c>
      <c r="G12" s="26">
        <v>22482</v>
      </c>
      <c r="H12">
        <f t="shared" si="0"/>
        <v>1295</v>
      </c>
      <c r="I12" s="13">
        <f t="shared" si="1"/>
        <v>1.0551445425805821E-2</v>
      </c>
      <c r="J12" s="17">
        <f>WEEKNUM(Table4[[#This Row],[Week_Start_Date]])</f>
        <v>25</v>
      </c>
    </row>
    <row r="13" spans="1:10" ht="14.4" x14ac:dyDescent="0.3">
      <c r="A13" s="2" t="s">
        <v>164</v>
      </c>
      <c r="B13" s="2" t="s">
        <v>27</v>
      </c>
      <c r="C13" s="2">
        <v>403</v>
      </c>
      <c r="D13" s="2">
        <v>66</v>
      </c>
      <c r="E13" s="2">
        <v>382851</v>
      </c>
      <c r="F13" s="2">
        <v>3.49</v>
      </c>
      <c r="G13" s="26">
        <v>24313</v>
      </c>
      <c r="H13">
        <f t="shared" si="0"/>
        <v>337</v>
      </c>
      <c r="I13" s="13">
        <f t="shared" si="1"/>
        <v>8.80238003818718E-4</v>
      </c>
      <c r="J13" s="17">
        <f>WEEKNUM(Table4[[#This Row],[Week_Start_Date]])</f>
        <v>25</v>
      </c>
    </row>
    <row r="14" spans="1:10" ht="14.4" x14ac:dyDescent="0.3">
      <c r="A14" s="2" t="s">
        <v>48</v>
      </c>
      <c r="B14" s="2" t="s">
        <v>33</v>
      </c>
      <c r="C14" s="2">
        <v>911</v>
      </c>
      <c r="D14" s="2">
        <v>282</v>
      </c>
      <c r="E14" s="2">
        <v>35664</v>
      </c>
      <c r="F14" s="2">
        <v>6.92</v>
      </c>
      <c r="G14" s="26">
        <v>18050</v>
      </c>
      <c r="H14">
        <f t="shared" si="0"/>
        <v>629</v>
      </c>
      <c r="I14" s="13">
        <f t="shared" si="1"/>
        <v>1.7636832660385824E-2</v>
      </c>
      <c r="J14" s="17">
        <f>WEEKNUM(Table4[[#This Row],[Week_Start_Date]])</f>
        <v>26</v>
      </c>
    </row>
    <row r="15" spans="1:10" ht="14.4" x14ac:dyDescent="0.3">
      <c r="A15" s="2" t="s">
        <v>48</v>
      </c>
      <c r="B15" s="2" t="s">
        <v>43</v>
      </c>
      <c r="C15" s="2">
        <v>1779</v>
      </c>
      <c r="D15" s="2">
        <v>109</v>
      </c>
      <c r="E15" s="2">
        <v>26295</v>
      </c>
      <c r="F15" s="2">
        <v>9.1199999999999992</v>
      </c>
      <c r="G15" s="26">
        <v>30635</v>
      </c>
      <c r="H15">
        <f t="shared" si="0"/>
        <v>1670</v>
      </c>
      <c r="I15" s="13">
        <f t="shared" si="1"/>
        <v>6.3510173036698994E-2</v>
      </c>
      <c r="J15" s="17">
        <f>WEEKNUM(Table4[[#This Row],[Week_Start_Date]])</f>
        <v>26</v>
      </c>
    </row>
    <row r="16" spans="1:10" ht="14.4" x14ac:dyDescent="0.3">
      <c r="A16" s="2" t="s">
        <v>48</v>
      </c>
      <c r="B16" s="2" t="s">
        <v>14</v>
      </c>
      <c r="C16" s="2">
        <v>1238</v>
      </c>
      <c r="D16" s="2">
        <v>403</v>
      </c>
      <c r="E16" s="2">
        <v>298421</v>
      </c>
      <c r="F16" s="2">
        <v>3.5</v>
      </c>
      <c r="G16" s="26">
        <v>31280</v>
      </c>
      <c r="H16">
        <f t="shared" si="0"/>
        <v>835</v>
      </c>
      <c r="I16" s="13">
        <f t="shared" si="1"/>
        <v>2.798060458211721E-3</v>
      </c>
      <c r="J16" s="17">
        <f>WEEKNUM(Table4[[#This Row],[Week_Start_Date]])</f>
        <v>26</v>
      </c>
    </row>
    <row r="17" spans="1:10" ht="14.4" x14ac:dyDescent="0.3">
      <c r="A17" s="2" t="s">
        <v>48</v>
      </c>
      <c r="B17" s="2" t="s">
        <v>27</v>
      </c>
      <c r="C17" s="2">
        <v>308</v>
      </c>
      <c r="D17" s="2">
        <v>431</v>
      </c>
      <c r="E17" s="2">
        <v>426184</v>
      </c>
      <c r="F17" s="2">
        <v>2.62</v>
      </c>
      <c r="G17" s="26">
        <v>1783</v>
      </c>
      <c r="H17">
        <f t="shared" si="0"/>
        <v>-123</v>
      </c>
      <c r="I17" s="13">
        <f t="shared" si="1"/>
        <v>-2.8860773750305035E-4</v>
      </c>
      <c r="J17" s="17">
        <f>WEEKNUM(Table4[[#This Row],[Week_Start_Date]])</f>
        <v>26</v>
      </c>
    </row>
    <row r="18" spans="1:10" ht="14.4" x14ac:dyDescent="0.3">
      <c r="A18" s="2" t="s">
        <v>455</v>
      </c>
      <c r="B18" s="2" t="s">
        <v>33</v>
      </c>
      <c r="C18" s="2">
        <v>226</v>
      </c>
      <c r="D18" s="2">
        <v>445</v>
      </c>
      <c r="E18" s="2">
        <v>419447</v>
      </c>
      <c r="F18" s="2">
        <v>9.36</v>
      </c>
      <c r="G18" s="26">
        <v>9566</v>
      </c>
      <c r="H18">
        <f t="shared" si="0"/>
        <v>-219</v>
      </c>
      <c r="I18" s="13">
        <f t="shared" si="1"/>
        <v>-5.2211602419375983E-4</v>
      </c>
      <c r="J18" s="17">
        <f>WEEKNUM(Table4[[#This Row],[Week_Start_Date]])</f>
        <v>27</v>
      </c>
    </row>
    <row r="19" spans="1:10" ht="14.4" x14ac:dyDescent="0.3">
      <c r="A19" s="2" t="s">
        <v>455</v>
      </c>
      <c r="B19" s="2" t="s">
        <v>43</v>
      </c>
      <c r="C19" s="2">
        <v>505</v>
      </c>
      <c r="D19" s="2">
        <v>441</v>
      </c>
      <c r="E19" s="2">
        <v>220020</v>
      </c>
      <c r="F19" s="2">
        <v>4.4800000000000004</v>
      </c>
      <c r="G19" s="26">
        <v>42307</v>
      </c>
      <c r="H19">
        <f t="shared" si="0"/>
        <v>64</v>
      </c>
      <c r="I19" s="13">
        <f t="shared" si="1"/>
        <v>2.9088264703208797E-4</v>
      </c>
      <c r="J19" s="17">
        <f>WEEKNUM(Table4[[#This Row],[Week_Start_Date]])</f>
        <v>27</v>
      </c>
    </row>
    <row r="20" spans="1:10" ht="14.4" x14ac:dyDescent="0.3">
      <c r="A20" s="2" t="s">
        <v>455</v>
      </c>
      <c r="B20" s="2" t="s">
        <v>14</v>
      </c>
      <c r="C20" s="2">
        <v>1420</v>
      </c>
      <c r="D20" s="2">
        <v>63</v>
      </c>
      <c r="E20" s="2">
        <v>315305</v>
      </c>
      <c r="F20" s="2">
        <v>6.19</v>
      </c>
      <c r="G20" s="26">
        <v>5914</v>
      </c>
      <c r="H20">
        <f t="shared" si="0"/>
        <v>1357</v>
      </c>
      <c r="I20" s="13">
        <f t="shared" si="1"/>
        <v>4.3037693661692649E-3</v>
      </c>
      <c r="J20" s="17">
        <f>WEEKNUM(Table4[[#This Row],[Week_Start_Date]])</f>
        <v>27</v>
      </c>
    </row>
    <row r="21" spans="1:10" ht="15.75" customHeight="1" x14ac:dyDescent="0.3">
      <c r="A21" s="2" t="s">
        <v>455</v>
      </c>
      <c r="B21" s="2" t="s">
        <v>27</v>
      </c>
      <c r="C21" s="2">
        <v>144</v>
      </c>
      <c r="D21" s="2">
        <v>53</v>
      </c>
      <c r="E21" s="2">
        <v>113678</v>
      </c>
      <c r="F21" s="2">
        <v>8.7200000000000006</v>
      </c>
      <c r="G21" s="26">
        <v>30060</v>
      </c>
      <c r="H21">
        <f t="shared" si="0"/>
        <v>91</v>
      </c>
      <c r="I21" s="13">
        <f t="shared" si="1"/>
        <v>8.0050669434719116E-4</v>
      </c>
      <c r="J21" s="17">
        <f>WEEKNUM(Table4[[#This Row],[Week_Start_Date]])</f>
        <v>27</v>
      </c>
    </row>
    <row r="22" spans="1:10" ht="15.75" customHeight="1" x14ac:dyDescent="0.3">
      <c r="A22" s="2" t="s">
        <v>573</v>
      </c>
      <c r="B22" s="2" t="s">
        <v>33</v>
      </c>
      <c r="C22" s="2">
        <v>1757</v>
      </c>
      <c r="D22" s="2">
        <v>85</v>
      </c>
      <c r="E22" s="2">
        <v>58223</v>
      </c>
      <c r="F22" s="2">
        <v>8.74</v>
      </c>
      <c r="G22" s="26">
        <v>22728</v>
      </c>
      <c r="H22">
        <f t="shared" si="0"/>
        <v>1672</v>
      </c>
      <c r="I22" s="13">
        <f t="shared" si="1"/>
        <v>2.8717173625543171E-2</v>
      </c>
      <c r="J22" s="17">
        <f>WEEKNUM(Table4[[#This Row],[Week_Start_Date]])</f>
        <v>28</v>
      </c>
    </row>
    <row r="23" spans="1:10" ht="15.75" customHeight="1" x14ac:dyDescent="0.3">
      <c r="A23" s="2" t="s">
        <v>573</v>
      </c>
      <c r="B23" s="2" t="s">
        <v>43</v>
      </c>
      <c r="C23" s="2">
        <v>350</v>
      </c>
      <c r="D23" s="2">
        <v>41</v>
      </c>
      <c r="E23" s="2">
        <v>251694</v>
      </c>
      <c r="F23" s="2">
        <v>1.91</v>
      </c>
      <c r="G23" s="26">
        <v>38610</v>
      </c>
      <c r="H23">
        <f t="shared" si="0"/>
        <v>309</v>
      </c>
      <c r="I23" s="13">
        <f t="shared" si="1"/>
        <v>1.2276812319721568E-3</v>
      </c>
      <c r="J23" s="17">
        <f>WEEKNUM(Table4[[#This Row],[Week_Start_Date]])</f>
        <v>28</v>
      </c>
    </row>
    <row r="24" spans="1:10" ht="15.75" customHeight="1" x14ac:dyDescent="0.3">
      <c r="A24" s="2" t="s">
        <v>573</v>
      </c>
      <c r="B24" s="2" t="s">
        <v>14</v>
      </c>
      <c r="C24" s="2">
        <v>987</v>
      </c>
      <c r="D24" s="2">
        <v>440</v>
      </c>
      <c r="E24" s="2">
        <v>389810</v>
      </c>
      <c r="F24" s="2">
        <v>4.66</v>
      </c>
      <c r="G24" s="26">
        <v>2932</v>
      </c>
      <c r="H24">
        <f t="shared" si="0"/>
        <v>547</v>
      </c>
      <c r="I24" s="13">
        <f t="shared" si="1"/>
        <v>1.40324773607655E-3</v>
      </c>
      <c r="J24" s="17">
        <f>WEEKNUM(Table4[[#This Row],[Week_Start_Date]])</f>
        <v>28</v>
      </c>
    </row>
    <row r="25" spans="1:10" ht="15.75" customHeight="1" x14ac:dyDescent="0.3">
      <c r="A25" s="2" t="s">
        <v>573</v>
      </c>
      <c r="B25" s="2" t="s">
        <v>27</v>
      </c>
      <c r="C25" s="2">
        <v>883</v>
      </c>
      <c r="D25" s="2">
        <v>369</v>
      </c>
      <c r="E25" s="2">
        <v>233694</v>
      </c>
      <c r="F25" s="2">
        <v>2.88</v>
      </c>
      <c r="G25" s="26">
        <v>15071</v>
      </c>
      <c r="H25">
        <f t="shared" si="0"/>
        <v>514</v>
      </c>
      <c r="I25" s="13">
        <f t="shared" si="1"/>
        <v>2.1994574101175039E-3</v>
      </c>
      <c r="J25" s="17">
        <f>WEEKNUM(Table4[[#This Row],[Week_Start_Date]])</f>
        <v>28</v>
      </c>
    </row>
    <row r="26" spans="1:10" ht="15.75" customHeight="1" x14ac:dyDescent="0.3">
      <c r="A26" s="2" t="s">
        <v>315</v>
      </c>
      <c r="B26" s="2" t="s">
        <v>33</v>
      </c>
      <c r="C26" s="2">
        <v>1960</v>
      </c>
      <c r="D26" s="2">
        <v>115</v>
      </c>
      <c r="E26" s="2">
        <v>154169</v>
      </c>
      <c r="F26" s="2">
        <v>3.74</v>
      </c>
      <c r="G26" s="26">
        <v>10740</v>
      </c>
      <c r="H26">
        <f t="shared" si="0"/>
        <v>1845</v>
      </c>
      <c r="I26" s="13">
        <f t="shared" si="1"/>
        <v>1.1967386439556591E-2</v>
      </c>
      <c r="J26" s="17">
        <f>WEEKNUM(Table4[[#This Row],[Week_Start_Date]])</f>
        <v>29</v>
      </c>
    </row>
    <row r="27" spans="1:10" ht="15.75" customHeight="1" x14ac:dyDescent="0.3">
      <c r="A27" s="2" t="s">
        <v>315</v>
      </c>
      <c r="B27" s="2" t="s">
        <v>43</v>
      </c>
      <c r="C27" s="2">
        <v>170</v>
      </c>
      <c r="D27" s="2">
        <v>334</v>
      </c>
      <c r="E27" s="2">
        <v>334626</v>
      </c>
      <c r="F27" s="2">
        <v>6.44</v>
      </c>
      <c r="G27" s="26">
        <v>43420</v>
      </c>
      <c r="H27">
        <f t="shared" si="0"/>
        <v>-164</v>
      </c>
      <c r="I27" s="13">
        <f t="shared" si="1"/>
        <v>-4.9009939454794306E-4</v>
      </c>
      <c r="J27" s="17">
        <f>WEEKNUM(Table4[[#This Row],[Week_Start_Date]])</f>
        <v>29</v>
      </c>
    </row>
    <row r="28" spans="1:10" ht="15.75" customHeight="1" x14ac:dyDescent="0.3">
      <c r="A28" s="2" t="s">
        <v>315</v>
      </c>
      <c r="B28" s="2" t="s">
        <v>14</v>
      </c>
      <c r="C28" s="2">
        <v>704</v>
      </c>
      <c r="D28" s="2">
        <v>275</v>
      </c>
      <c r="E28" s="2">
        <v>226002</v>
      </c>
      <c r="F28" s="2">
        <v>8.56</v>
      </c>
      <c r="G28" s="26">
        <v>32393</v>
      </c>
      <c r="H28">
        <f t="shared" si="0"/>
        <v>429</v>
      </c>
      <c r="I28" s="13">
        <f t="shared" si="1"/>
        <v>1.8982132901478749E-3</v>
      </c>
      <c r="J28" s="17">
        <f>WEEKNUM(Table4[[#This Row],[Week_Start_Date]])</f>
        <v>29</v>
      </c>
    </row>
    <row r="29" spans="1:10" ht="15.75" customHeight="1" x14ac:dyDescent="0.3">
      <c r="A29" s="2" t="s">
        <v>315</v>
      </c>
      <c r="B29" s="2" t="s">
        <v>27</v>
      </c>
      <c r="C29" s="2">
        <v>224</v>
      </c>
      <c r="D29" s="2">
        <v>64</v>
      </c>
      <c r="E29" s="2">
        <v>156683</v>
      </c>
      <c r="F29" s="2">
        <v>4.5599999999999996</v>
      </c>
      <c r="G29" s="26">
        <v>28474</v>
      </c>
      <c r="H29">
        <f t="shared" si="0"/>
        <v>160</v>
      </c>
      <c r="I29" s="13">
        <f t="shared" si="1"/>
        <v>1.0211701333265254E-3</v>
      </c>
      <c r="J29" s="17">
        <f>WEEKNUM(Table4[[#This Row],[Week_Start_Date]])</f>
        <v>29</v>
      </c>
    </row>
    <row r="30" spans="1:10" ht="15.75" customHeight="1" x14ac:dyDescent="0.3">
      <c r="A30" s="2" t="s">
        <v>574</v>
      </c>
      <c r="B30" s="2" t="s">
        <v>33</v>
      </c>
      <c r="C30" s="2">
        <v>508</v>
      </c>
      <c r="D30" s="2">
        <v>349</v>
      </c>
      <c r="E30" s="2">
        <v>473812</v>
      </c>
      <c r="F30" s="2">
        <v>7.88</v>
      </c>
      <c r="G30" s="26">
        <v>17328</v>
      </c>
      <c r="H30">
        <f t="shared" si="0"/>
        <v>159</v>
      </c>
      <c r="I30" s="13">
        <f t="shared" si="1"/>
        <v>3.3557613568250698E-4</v>
      </c>
      <c r="J30" s="17">
        <f>WEEKNUM(Table4[[#This Row],[Week_Start_Date]])</f>
        <v>30</v>
      </c>
    </row>
    <row r="31" spans="1:10" ht="15.75" customHeight="1" x14ac:dyDescent="0.3">
      <c r="A31" s="2" t="s">
        <v>574</v>
      </c>
      <c r="B31" s="2" t="s">
        <v>43</v>
      </c>
      <c r="C31" s="2">
        <v>1391</v>
      </c>
      <c r="D31" s="2">
        <v>430</v>
      </c>
      <c r="E31" s="2">
        <v>295032</v>
      </c>
      <c r="F31" s="2">
        <v>7.86</v>
      </c>
      <c r="G31" s="26">
        <v>26067</v>
      </c>
      <c r="H31">
        <f t="shared" si="0"/>
        <v>961</v>
      </c>
      <c r="I31" s="13">
        <f t="shared" si="1"/>
        <v>3.2572737872501967E-3</v>
      </c>
      <c r="J31" s="17">
        <f>WEEKNUM(Table4[[#This Row],[Week_Start_Date]])</f>
        <v>30</v>
      </c>
    </row>
    <row r="32" spans="1:10" ht="15.75" customHeight="1" x14ac:dyDescent="0.3">
      <c r="A32" s="2" t="s">
        <v>574</v>
      </c>
      <c r="B32" s="2" t="s">
        <v>14</v>
      </c>
      <c r="C32" s="2">
        <v>1701</v>
      </c>
      <c r="D32" s="2">
        <v>385</v>
      </c>
      <c r="E32" s="2">
        <v>198278</v>
      </c>
      <c r="F32" s="2">
        <v>5.34</v>
      </c>
      <c r="G32" s="26">
        <v>32763</v>
      </c>
      <c r="H32">
        <f t="shared" si="0"/>
        <v>1316</v>
      </c>
      <c r="I32" s="13">
        <f t="shared" si="1"/>
        <v>6.6371458255580548E-3</v>
      </c>
      <c r="J32" s="17">
        <f>WEEKNUM(Table4[[#This Row],[Week_Start_Date]])</f>
        <v>30</v>
      </c>
    </row>
    <row r="33" spans="1:10" ht="15.75" customHeight="1" x14ac:dyDescent="0.3">
      <c r="A33" s="2" t="s">
        <v>574</v>
      </c>
      <c r="B33" s="2" t="s">
        <v>27</v>
      </c>
      <c r="C33" s="2">
        <v>804</v>
      </c>
      <c r="D33" s="2">
        <v>487</v>
      </c>
      <c r="E33" s="2">
        <v>306564</v>
      </c>
      <c r="F33" s="2">
        <v>5.52</v>
      </c>
      <c r="G33" s="26">
        <v>26452</v>
      </c>
      <c r="H33">
        <f t="shared" si="0"/>
        <v>317</v>
      </c>
      <c r="I33" s="13">
        <f t="shared" si="1"/>
        <v>1.0340418313957282E-3</v>
      </c>
      <c r="J33" s="17">
        <f>WEEKNUM(Table4[[#This Row],[Week_Start_Date]])</f>
        <v>30</v>
      </c>
    </row>
    <row r="34" spans="1:10" ht="15.75" customHeight="1" x14ac:dyDescent="0.3">
      <c r="A34" s="2" t="s">
        <v>268</v>
      </c>
      <c r="B34" s="2" t="s">
        <v>33</v>
      </c>
      <c r="C34" s="2">
        <v>653</v>
      </c>
      <c r="D34" s="2">
        <v>112</v>
      </c>
      <c r="E34" s="2">
        <v>23664</v>
      </c>
      <c r="F34" s="2">
        <v>4.05</v>
      </c>
      <c r="G34" s="26">
        <v>15353</v>
      </c>
      <c r="H34">
        <f t="shared" si="0"/>
        <v>541</v>
      </c>
      <c r="I34" s="13">
        <f t="shared" si="1"/>
        <v>2.2861730899256253E-2</v>
      </c>
      <c r="J34" s="17">
        <f>WEEKNUM(Table4[[#This Row],[Week_Start_Date]])</f>
        <v>31</v>
      </c>
    </row>
    <row r="35" spans="1:10" ht="15.75" customHeight="1" x14ac:dyDescent="0.3">
      <c r="A35" s="2" t="s">
        <v>268</v>
      </c>
      <c r="B35" s="2" t="s">
        <v>43</v>
      </c>
      <c r="C35" s="2">
        <v>160</v>
      </c>
      <c r="D35" s="2">
        <v>478</v>
      </c>
      <c r="E35" s="2">
        <v>435034</v>
      </c>
      <c r="F35" s="2">
        <v>7.73</v>
      </c>
      <c r="G35" s="26">
        <v>4839</v>
      </c>
      <c r="H35">
        <f t="shared" si="0"/>
        <v>-318</v>
      </c>
      <c r="I35" s="13">
        <f t="shared" si="1"/>
        <v>-7.3097734889686784E-4</v>
      </c>
      <c r="J35" s="17">
        <f>WEEKNUM(Table4[[#This Row],[Week_Start_Date]])</f>
        <v>31</v>
      </c>
    </row>
    <row r="36" spans="1:10" ht="15.75" customHeight="1" x14ac:dyDescent="0.3">
      <c r="A36" s="2" t="s">
        <v>268</v>
      </c>
      <c r="B36" s="2" t="s">
        <v>14</v>
      </c>
      <c r="C36" s="2">
        <v>1756</v>
      </c>
      <c r="D36" s="2">
        <v>261</v>
      </c>
      <c r="E36" s="2">
        <v>287574</v>
      </c>
      <c r="F36" s="2">
        <v>4.3600000000000003</v>
      </c>
      <c r="G36" s="26">
        <v>39272</v>
      </c>
      <c r="H36">
        <f t="shared" si="0"/>
        <v>1495</v>
      </c>
      <c r="I36" s="13">
        <f t="shared" si="1"/>
        <v>5.1986619096302169E-3</v>
      </c>
      <c r="J36" s="17">
        <f>WEEKNUM(Table4[[#This Row],[Week_Start_Date]])</f>
        <v>31</v>
      </c>
    </row>
    <row r="37" spans="1:10" ht="15.75" customHeight="1" x14ac:dyDescent="0.3">
      <c r="A37" s="2" t="s">
        <v>268</v>
      </c>
      <c r="B37" s="2" t="s">
        <v>27</v>
      </c>
      <c r="C37" s="2">
        <v>576</v>
      </c>
      <c r="D37" s="2">
        <v>101</v>
      </c>
      <c r="E37" s="2">
        <v>62499</v>
      </c>
      <c r="F37" s="2">
        <v>3.48</v>
      </c>
      <c r="G37" s="26">
        <v>16804</v>
      </c>
      <c r="H37">
        <f t="shared" si="0"/>
        <v>475</v>
      </c>
      <c r="I37" s="13">
        <f t="shared" si="1"/>
        <v>7.600121601945631E-3</v>
      </c>
      <c r="J37" s="17">
        <f>WEEKNUM(Table4[[#This Row],[Week_Start_Date]])</f>
        <v>31</v>
      </c>
    </row>
    <row r="38" spans="1:10" ht="15.75" customHeight="1" x14ac:dyDescent="0.3">
      <c r="A38" s="2" t="s">
        <v>501</v>
      </c>
      <c r="B38" s="2" t="s">
        <v>33</v>
      </c>
      <c r="C38" s="2">
        <v>645</v>
      </c>
      <c r="D38" s="2">
        <v>293</v>
      </c>
      <c r="E38" s="2">
        <v>437968</v>
      </c>
      <c r="F38" s="2">
        <v>7.83</v>
      </c>
      <c r="G38" s="26">
        <v>49303</v>
      </c>
      <c r="H38">
        <f t="shared" si="0"/>
        <v>352</v>
      </c>
      <c r="I38" s="13">
        <f t="shared" si="1"/>
        <v>8.0371168669857163E-4</v>
      </c>
      <c r="J38" s="17">
        <f>WEEKNUM(Table4[[#This Row],[Week_Start_Date]])</f>
        <v>32</v>
      </c>
    </row>
    <row r="39" spans="1:10" ht="15.75" customHeight="1" x14ac:dyDescent="0.3">
      <c r="A39" s="2" t="s">
        <v>501</v>
      </c>
      <c r="B39" s="2" t="s">
        <v>43</v>
      </c>
      <c r="C39" s="2">
        <v>214</v>
      </c>
      <c r="D39" s="2">
        <v>411</v>
      </c>
      <c r="E39" s="2">
        <v>125034</v>
      </c>
      <c r="F39" s="2">
        <v>6.11</v>
      </c>
      <c r="G39" s="26">
        <v>26455</v>
      </c>
      <c r="H39">
        <f t="shared" si="0"/>
        <v>-197</v>
      </c>
      <c r="I39" s="13">
        <f t="shared" si="1"/>
        <v>-1.5755714445670778E-3</v>
      </c>
      <c r="J39" s="17">
        <f>WEEKNUM(Table4[[#This Row],[Week_Start_Date]])</f>
        <v>32</v>
      </c>
    </row>
    <row r="40" spans="1:10" ht="15.75" customHeight="1" x14ac:dyDescent="0.3">
      <c r="A40" s="2" t="s">
        <v>501</v>
      </c>
      <c r="B40" s="2" t="s">
        <v>14</v>
      </c>
      <c r="C40" s="2">
        <v>826</v>
      </c>
      <c r="D40" s="2">
        <v>498</v>
      </c>
      <c r="E40" s="2">
        <v>449994</v>
      </c>
      <c r="F40" s="2">
        <v>9.43</v>
      </c>
      <c r="G40" s="26">
        <v>12384</v>
      </c>
      <c r="H40">
        <f t="shared" si="0"/>
        <v>328</v>
      </c>
      <c r="I40" s="13">
        <f t="shared" si="1"/>
        <v>7.2889860753698943E-4</v>
      </c>
      <c r="J40" s="17">
        <f>WEEKNUM(Table4[[#This Row],[Week_Start_Date]])</f>
        <v>32</v>
      </c>
    </row>
    <row r="41" spans="1:10" ht="15.75" customHeight="1" x14ac:dyDescent="0.3">
      <c r="A41" s="2" t="s">
        <v>501</v>
      </c>
      <c r="B41" s="2" t="s">
        <v>27</v>
      </c>
      <c r="C41" s="2">
        <v>460</v>
      </c>
      <c r="D41" s="2">
        <v>141</v>
      </c>
      <c r="E41" s="2">
        <v>320650</v>
      </c>
      <c r="F41" s="2">
        <v>4.04</v>
      </c>
      <c r="G41" s="26">
        <v>49372</v>
      </c>
      <c r="H41">
        <f t="shared" si="0"/>
        <v>319</v>
      </c>
      <c r="I41" s="13">
        <f t="shared" si="1"/>
        <v>9.9485420240137223E-4</v>
      </c>
      <c r="J41" s="17">
        <f>WEEKNUM(Table4[[#This Row],[Week_Start_Date]])</f>
        <v>32</v>
      </c>
    </row>
    <row r="42" spans="1:10" ht="15.75" customHeight="1" x14ac:dyDescent="0.3">
      <c r="A42" s="2" t="s">
        <v>34</v>
      </c>
      <c r="B42" s="2" t="s">
        <v>33</v>
      </c>
      <c r="C42" s="2">
        <v>1528</v>
      </c>
      <c r="D42" s="2">
        <v>203</v>
      </c>
      <c r="E42" s="2">
        <v>489188</v>
      </c>
      <c r="F42" s="2">
        <v>6.23</v>
      </c>
      <c r="G42" s="26">
        <v>47101</v>
      </c>
      <c r="H42">
        <f t="shared" si="0"/>
        <v>1325</v>
      </c>
      <c r="I42" s="13">
        <f t="shared" si="1"/>
        <v>2.7085701202809553E-3</v>
      </c>
      <c r="J42" s="17">
        <f>WEEKNUM(Table4[[#This Row],[Week_Start_Date]])</f>
        <v>33</v>
      </c>
    </row>
    <row r="43" spans="1:10" ht="15.75" customHeight="1" x14ac:dyDescent="0.3">
      <c r="A43" s="2" t="s">
        <v>34</v>
      </c>
      <c r="B43" s="2" t="s">
        <v>43</v>
      </c>
      <c r="C43" s="2">
        <v>1534</v>
      </c>
      <c r="D43" s="2">
        <v>200</v>
      </c>
      <c r="E43" s="2">
        <v>307612</v>
      </c>
      <c r="F43" s="2">
        <v>6.01</v>
      </c>
      <c r="G43" s="26">
        <v>37903</v>
      </c>
      <c r="H43">
        <f t="shared" si="0"/>
        <v>1334</v>
      </c>
      <c r="I43" s="13">
        <f t="shared" si="1"/>
        <v>4.3366318609156986E-3</v>
      </c>
      <c r="J43" s="17">
        <f>WEEKNUM(Table4[[#This Row],[Week_Start_Date]])</f>
        <v>33</v>
      </c>
    </row>
    <row r="44" spans="1:10" ht="15.75" customHeight="1" x14ac:dyDescent="0.3">
      <c r="A44" s="2" t="s">
        <v>34</v>
      </c>
      <c r="B44" s="2" t="s">
        <v>14</v>
      </c>
      <c r="C44" s="2">
        <v>485</v>
      </c>
      <c r="D44" s="2">
        <v>448</v>
      </c>
      <c r="E44" s="2">
        <v>434883</v>
      </c>
      <c r="F44" s="2">
        <v>8.5500000000000007</v>
      </c>
      <c r="G44" s="26">
        <v>33258</v>
      </c>
      <c r="H44">
        <f t="shared" si="0"/>
        <v>37</v>
      </c>
      <c r="I44" s="13">
        <f t="shared" si="1"/>
        <v>8.5080354946042954E-5</v>
      </c>
      <c r="J44" s="17">
        <f>WEEKNUM(Table4[[#This Row],[Week_Start_Date]])</f>
        <v>33</v>
      </c>
    </row>
    <row r="45" spans="1:10" ht="15.75" customHeight="1" x14ac:dyDescent="0.3">
      <c r="A45" s="2" t="s">
        <v>34</v>
      </c>
      <c r="B45" s="2" t="s">
        <v>27</v>
      </c>
      <c r="C45" s="2">
        <v>1210</v>
      </c>
      <c r="D45" s="2">
        <v>178</v>
      </c>
      <c r="E45" s="2">
        <v>102042</v>
      </c>
      <c r="F45" s="2">
        <v>5.42</v>
      </c>
      <c r="G45" s="26">
        <v>6915</v>
      </c>
      <c r="H45">
        <f t="shared" si="0"/>
        <v>1032</v>
      </c>
      <c r="I45" s="13">
        <f t="shared" si="1"/>
        <v>1.011348268360087E-2</v>
      </c>
      <c r="J45" s="17">
        <f>WEEKNUM(Table4[[#This Row],[Week_Start_Date]])</f>
        <v>33</v>
      </c>
    </row>
    <row r="46" spans="1:10" ht="15.75" customHeight="1" x14ac:dyDescent="0.3">
      <c r="A46" s="2" t="s">
        <v>81</v>
      </c>
      <c r="B46" s="2" t="s">
        <v>33</v>
      </c>
      <c r="C46" s="2">
        <v>215</v>
      </c>
      <c r="D46" s="2">
        <v>139</v>
      </c>
      <c r="E46" s="2">
        <v>325444</v>
      </c>
      <c r="F46" s="2">
        <v>3.25</v>
      </c>
      <c r="G46" s="26">
        <v>35501</v>
      </c>
      <c r="H46">
        <f t="shared" si="0"/>
        <v>76</v>
      </c>
      <c r="I46" s="13">
        <f t="shared" si="1"/>
        <v>2.335271198731579E-4</v>
      </c>
      <c r="J46" s="17">
        <f>WEEKNUM(Table4[[#This Row],[Week_Start_Date]])</f>
        <v>34</v>
      </c>
    </row>
    <row r="47" spans="1:10" ht="15.75" customHeight="1" x14ac:dyDescent="0.3">
      <c r="A47" s="2" t="s">
        <v>81</v>
      </c>
      <c r="B47" s="2" t="s">
        <v>43</v>
      </c>
      <c r="C47" s="2">
        <v>1078</v>
      </c>
      <c r="D47" s="2">
        <v>20</v>
      </c>
      <c r="E47" s="2">
        <v>183924</v>
      </c>
      <c r="F47" s="2">
        <v>8.84</v>
      </c>
      <c r="G47" s="26">
        <v>14203</v>
      </c>
      <c r="H47">
        <f t="shared" si="0"/>
        <v>1058</v>
      </c>
      <c r="I47" s="13">
        <f t="shared" si="1"/>
        <v>5.7523759813836147E-3</v>
      </c>
      <c r="J47" s="17">
        <f>WEEKNUM(Table4[[#This Row],[Week_Start_Date]])</f>
        <v>34</v>
      </c>
    </row>
    <row r="48" spans="1:10" ht="15.75" customHeight="1" x14ac:dyDescent="0.3">
      <c r="A48" s="2" t="s">
        <v>81</v>
      </c>
      <c r="B48" s="2" t="s">
        <v>14</v>
      </c>
      <c r="C48" s="2">
        <v>1751</v>
      </c>
      <c r="D48" s="2">
        <v>86</v>
      </c>
      <c r="E48" s="2">
        <v>188655</v>
      </c>
      <c r="F48" s="2">
        <v>7.24</v>
      </c>
      <c r="G48" s="26">
        <v>22206</v>
      </c>
      <c r="H48">
        <f t="shared" si="0"/>
        <v>1665</v>
      </c>
      <c r="I48" s="13">
        <f t="shared" si="1"/>
        <v>8.825634093981077E-3</v>
      </c>
      <c r="J48" s="17">
        <f>WEEKNUM(Table4[[#This Row],[Week_Start_Date]])</f>
        <v>34</v>
      </c>
    </row>
    <row r="49" spans="1:10" ht="15.75" customHeight="1" x14ac:dyDescent="0.3">
      <c r="A49" s="2" t="s">
        <v>81</v>
      </c>
      <c r="B49" s="2" t="s">
        <v>27</v>
      </c>
      <c r="C49" s="2">
        <v>221</v>
      </c>
      <c r="D49" s="2">
        <v>31</v>
      </c>
      <c r="E49" s="2">
        <v>87443</v>
      </c>
      <c r="F49" s="2">
        <v>6.19</v>
      </c>
      <c r="G49" s="26">
        <v>10283</v>
      </c>
      <c r="H49">
        <f t="shared" si="0"/>
        <v>190</v>
      </c>
      <c r="I49" s="13">
        <f t="shared" si="1"/>
        <v>2.1728440241071327E-3</v>
      </c>
      <c r="J49" s="17">
        <f>WEEKNUM(Table4[[#This Row],[Week_Start_Date]])</f>
        <v>34</v>
      </c>
    </row>
    <row r="50" spans="1:10" ht="15.75" customHeight="1" x14ac:dyDescent="0.3">
      <c r="A50" s="2" t="s">
        <v>77</v>
      </c>
      <c r="B50" s="2" t="s">
        <v>33</v>
      </c>
      <c r="C50" s="2">
        <v>1685</v>
      </c>
      <c r="D50" s="2">
        <v>76</v>
      </c>
      <c r="E50" s="2">
        <v>453799</v>
      </c>
      <c r="F50" s="2">
        <v>5.71</v>
      </c>
      <c r="G50" s="26">
        <v>24913</v>
      </c>
      <c r="H50">
        <f t="shared" si="0"/>
        <v>1609</v>
      </c>
      <c r="I50" s="13">
        <f t="shared" si="1"/>
        <v>3.5456226214689766E-3</v>
      </c>
      <c r="J50" s="17">
        <f>WEEKNUM(Table4[[#This Row],[Week_Start_Date]])</f>
        <v>35</v>
      </c>
    </row>
    <row r="51" spans="1:10" ht="15.75" customHeight="1" x14ac:dyDescent="0.3">
      <c r="A51" s="2" t="s">
        <v>77</v>
      </c>
      <c r="B51" s="2" t="s">
        <v>43</v>
      </c>
      <c r="C51" s="2">
        <v>248</v>
      </c>
      <c r="D51" s="2">
        <v>211</v>
      </c>
      <c r="E51" s="2">
        <v>379380</v>
      </c>
      <c r="F51" s="2">
        <v>9.0399999999999991</v>
      </c>
      <c r="G51" s="26">
        <v>26925</v>
      </c>
      <c r="H51">
        <f t="shared" si="0"/>
        <v>37</v>
      </c>
      <c r="I51" s="13">
        <f t="shared" si="1"/>
        <v>9.7527544941747058E-5</v>
      </c>
      <c r="J51" s="17">
        <f>WEEKNUM(Table4[[#This Row],[Week_Start_Date]])</f>
        <v>35</v>
      </c>
    </row>
    <row r="52" spans="1:10" ht="15.75" customHeight="1" x14ac:dyDescent="0.3">
      <c r="A52" s="2" t="s">
        <v>77</v>
      </c>
      <c r="B52" s="2" t="s">
        <v>14</v>
      </c>
      <c r="C52" s="2">
        <v>1300</v>
      </c>
      <c r="D52" s="2">
        <v>71</v>
      </c>
      <c r="E52" s="2">
        <v>186454</v>
      </c>
      <c r="F52" s="2">
        <v>3.91</v>
      </c>
      <c r="G52" s="26">
        <v>9942</v>
      </c>
      <c r="H52">
        <f t="shared" si="0"/>
        <v>1229</v>
      </c>
      <c r="I52" s="13">
        <f t="shared" si="1"/>
        <v>6.5914381026955706E-3</v>
      </c>
      <c r="J52" s="17">
        <f>WEEKNUM(Table4[[#This Row],[Week_Start_Date]])</f>
        <v>35</v>
      </c>
    </row>
    <row r="53" spans="1:10" ht="15.75" customHeight="1" x14ac:dyDescent="0.3">
      <c r="A53" s="2" t="s">
        <v>77</v>
      </c>
      <c r="B53" s="2" t="s">
        <v>27</v>
      </c>
      <c r="C53" s="2">
        <v>422</v>
      </c>
      <c r="D53" s="2">
        <v>394</v>
      </c>
      <c r="E53" s="2">
        <v>239044</v>
      </c>
      <c r="F53" s="2">
        <v>7.83</v>
      </c>
      <c r="G53" s="26">
        <v>32929</v>
      </c>
      <c r="H53">
        <f t="shared" si="0"/>
        <v>28</v>
      </c>
      <c r="I53" s="13">
        <f t="shared" si="1"/>
        <v>1.1713324743561855E-4</v>
      </c>
      <c r="J53" s="17">
        <f>WEEKNUM(Table4[[#This Row],[Week_Start_Date]])</f>
        <v>35</v>
      </c>
    </row>
    <row r="54" spans="1:10" ht="15.75" customHeight="1" x14ac:dyDescent="0.3">
      <c r="A54" s="2" t="s">
        <v>195</v>
      </c>
      <c r="B54" s="2" t="s">
        <v>33</v>
      </c>
      <c r="C54" s="2">
        <v>1429</v>
      </c>
      <c r="D54" s="2">
        <v>182</v>
      </c>
      <c r="E54" s="2">
        <v>101332</v>
      </c>
      <c r="F54" s="2">
        <v>7.16</v>
      </c>
      <c r="G54" s="26">
        <v>37829</v>
      </c>
      <c r="H54">
        <f t="shared" si="0"/>
        <v>1247</v>
      </c>
      <c r="I54" s="13">
        <f t="shared" si="1"/>
        <v>1.2306082974775983E-2</v>
      </c>
      <c r="J54" s="17">
        <f>WEEKNUM(Table4[[#This Row],[Week_Start_Date]])</f>
        <v>36</v>
      </c>
    </row>
    <row r="55" spans="1:10" ht="15.75" customHeight="1" x14ac:dyDescent="0.3">
      <c r="A55" s="2" t="s">
        <v>195</v>
      </c>
      <c r="B55" s="2" t="s">
        <v>43</v>
      </c>
      <c r="C55" s="2">
        <v>1520</v>
      </c>
      <c r="D55" s="2">
        <v>475</v>
      </c>
      <c r="E55" s="2">
        <v>496982</v>
      </c>
      <c r="F55" s="2">
        <v>6.41</v>
      </c>
      <c r="G55" s="26">
        <v>24384</v>
      </c>
      <c r="H55">
        <f t="shared" si="0"/>
        <v>1045</v>
      </c>
      <c r="I55" s="13">
        <f t="shared" si="1"/>
        <v>2.1026918479944948E-3</v>
      </c>
      <c r="J55" s="17">
        <f>WEEKNUM(Table4[[#This Row],[Week_Start_Date]])</f>
        <v>36</v>
      </c>
    </row>
    <row r="56" spans="1:10" ht="15.75" customHeight="1" x14ac:dyDescent="0.3">
      <c r="A56" s="2" t="s">
        <v>195</v>
      </c>
      <c r="B56" s="2" t="s">
        <v>14</v>
      </c>
      <c r="C56" s="2">
        <v>557</v>
      </c>
      <c r="D56" s="2">
        <v>360</v>
      </c>
      <c r="E56" s="2">
        <v>318779</v>
      </c>
      <c r="F56" s="2">
        <v>8.02</v>
      </c>
      <c r="G56" s="26">
        <v>25797</v>
      </c>
      <c r="H56">
        <f t="shared" si="0"/>
        <v>197</v>
      </c>
      <c r="I56" s="13">
        <f t="shared" si="1"/>
        <v>6.1798299135137512E-4</v>
      </c>
      <c r="J56" s="17">
        <f>WEEKNUM(Table4[[#This Row],[Week_Start_Date]])</f>
        <v>36</v>
      </c>
    </row>
    <row r="57" spans="1:10" ht="15.75" customHeight="1" x14ac:dyDescent="0.3">
      <c r="A57" s="2" t="s">
        <v>195</v>
      </c>
      <c r="B57" s="2" t="s">
        <v>27</v>
      </c>
      <c r="C57" s="2">
        <v>728</v>
      </c>
      <c r="D57" s="2">
        <v>395</v>
      </c>
      <c r="E57" s="2">
        <v>370971</v>
      </c>
      <c r="F57" s="2">
        <v>3.86</v>
      </c>
      <c r="G57" s="26">
        <v>12646</v>
      </c>
      <c r="H57">
        <f t="shared" si="0"/>
        <v>333</v>
      </c>
      <c r="I57" s="13">
        <f t="shared" si="1"/>
        <v>8.9764429025449434E-4</v>
      </c>
      <c r="J57" s="17">
        <f>WEEKNUM(Table4[[#This Row],[Week_Start_Date]])</f>
        <v>36</v>
      </c>
    </row>
    <row r="58" spans="1:10" ht="15.75" customHeight="1" x14ac:dyDescent="0.3">
      <c r="A58" s="2" t="s">
        <v>87</v>
      </c>
      <c r="B58" s="2" t="s">
        <v>33</v>
      </c>
      <c r="C58" s="2">
        <v>1592</v>
      </c>
      <c r="D58" s="2">
        <v>20</v>
      </c>
      <c r="E58" s="2">
        <v>378054</v>
      </c>
      <c r="F58" s="2">
        <v>9.09</v>
      </c>
      <c r="G58" s="26">
        <v>26663</v>
      </c>
      <c r="H58">
        <f t="shared" si="0"/>
        <v>1572</v>
      </c>
      <c r="I58" s="13">
        <f t="shared" si="1"/>
        <v>4.1581361392816901E-3</v>
      </c>
      <c r="J58" s="17">
        <f>WEEKNUM(Table4[[#This Row],[Week_Start_Date]])</f>
        <v>37</v>
      </c>
    </row>
    <row r="59" spans="1:10" ht="15.75" customHeight="1" x14ac:dyDescent="0.3">
      <c r="A59" s="2" t="s">
        <v>87</v>
      </c>
      <c r="B59" s="2" t="s">
        <v>43</v>
      </c>
      <c r="C59" s="2">
        <v>1842</v>
      </c>
      <c r="D59" s="2">
        <v>414</v>
      </c>
      <c r="E59" s="2">
        <v>307524</v>
      </c>
      <c r="F59" s="2">
        <v>1.76</v>
      </c>
      <c r="G59" s="26">
        <v>40478</v>
      </c>
      <c r="H59">
        <f t="shared" si="0"/>
        <v>1428</v>
      </c>
      <c r="I59" s="13">
        <f t="shared" si="1"/>
        <v>4.6435400163889647E-3</v>
      </c>
      <c r="J59" s="17">
        <f>WEEKNUM(Table4[[#This Row],[Week_Start_Date]])</f>
        <v>37</v>
      </c>
    </row>
    <row r="60" spans="1:10" ht="15.75" customHeight="1" x14ac:dyDescent="0.3">
      <c r="A60" s="2" t="s">
        <v>87</v>
      </c>
      <c r="B60" s="2" t="s">
        <v>14</v>
      </c>
      <c r="C60" s="2">
        <v>751</v>
      </c>
      <c r="D60" s="2">
        <v>491</v>
      </c>
      <c r="E60" s="2">
        <v>434047</v>
      </c>
      <c r="F60" s="2">
        <v>9.24</v>
      </c>
      <c r="G60" s="26">
        <v>15476</v>
      </c>
      <c r="H60">
        <f t="shared" si="0"/>
        <v>260</v>
      </c>
      <c r="I60" s="13">
        <f t="shared" si="1"/>
        <v>5.990134708914012E-4</v>
      </c>
      <c r="J60" s="17">
        <f>WEEKNUM(Table4[[#This Row],[Week_Start_Date]])</f>
        <v>37</v>
      </c>
    </row>
    <row r="61" spans="1:10" ht="15.75" customHeight="1" x14ac:dyDescent="0.3">
      <c r="A61" s="2" t="s">
        <v>87</v>
      </c>
      <c r="B61" s="2" t="s">
        <v>27</v>
      </c>
      <c r="C61" s="2">
        <v>1409</v>
      </c>
      <c r="D61" s="2">
        <v>309</v>
      </c>
      <c r="E61" s="2">
        <v>64583</v>
      </c>
      <c r="F61" s="2">
        <v>8.99</v>
      </c>
      <c r="G61" s="26">
        <v>10217</v>
      </c>
      <c r="H61">
        <f t="shared" si="0"/>
        <v>1100</v>
      </c>
      <c r="I61" s="13">
        <f t="shared" si="1"/>
        <v>1.7032345973398571E-2</v>
      </c>
      <c r="J61" s="17">
        <f>WEEKNUM(Table4[[#This Row],[Week_Start_Date]])</f>
        <v>37</v>
      </c>
    </row>
    <row r="62" spans="1:10" ht="15.75" customHeight="1" x14ac:dyDescent="0.3">
      <c r="A62" s="2" t="s">
        <v>575</v>
      </c>
      <c r="B62" s="2" t="s">
        <v>33</v>
      </c>
      <c r="C62" s="2">
        <v>778</v>
      </c>
      <c r="D62" s="2">
        <v>401</v>
      </c>
      <c r="E62" s="2">
        <v>50793</v>
      </c>
      <c r="F62" s="2">
        <v>3.4</v>
      </c>
      <c r="G62" s="26">
        <v>21939</v>
      </c>
      <c r="H62">
        <f t="shared" si="0"/>
        <v>377</v>
      </c>
      <c r="I62" s="13">
        <f t="shared" si="1"/>
        <v>7.4222825979957871E-3</v>
      </c>
      <c r="J62" s="17">
        <f>WEEKNUM(Table4[[#This Row],[Week_Start_Date]])</f>
        <v>38</v>
      </c>
    </row>
    <row r="63" spans="1:10" ht="15.75" customHeight="1" x14ac:dyDescent="0.3">
      <c r="A63" s="2" t="s">
        <v>575</v>
      </c>
      <c r="B63" s="2" t="s">
        <v>43</v>
      </c>
      <c r="C63" s="2">
        <v>443</v>
      </c>
      <c r="D63" s="2">
        <v>345</v>
      </c>
      <c r="E63" s="2">
        <v>474162</v>
      </c>
      <c r="F63" s="2">
        <v>9.1999999999999993</v>
      </c>
      <c r="G63" s="26">
        <v>47462</v>
      </c>
      <c r="H63">
        <f t="shared" si="0"/>
        <v>98</v>
      </c>
      <c r="I63" s="13">
        <f t="shared" si="1"/>
        <v>2.0668041724136477E-4</v>
      </c>
      <c r="J63" s="17">
        <f>WEEKNUM(Table4[[#This Row],[Week_Start_Date]])</f>
        <v>38</v>
      </c>
    </row>
    <row r="64" spans="1:10" ht="15.75" customHeight="1" x14ac:dyDescent="0.3">
      <c r="A64" s="2" t="s">
        <v>575</v>
      </c>
      <c r="B64" s="2" t="s">
        <v>14</v>
      </c>
      <c r="C64" s="2">
        <v>1472</v>
      </c>
      <c r="D64" s="2">
        <v>347</v>
      </c>
      <c r="E64" s="2">
        <v>392355</v>
      </c>
      <c r="F64" s="2">
        <v>8.59</v>
      </c>
      <c r="G64" s="26">
        <v>30270</v>
      </c>
      <c r="H64">
        <f t="shared" si="0"/>
        <v>1125</v>
      </c>
      <c r="I64" s="13">
        <f t="shared" si="1"/>
        <v>2.8673012960201858E-3</v>
      </c>
      <c r="J64" s="17">
        <f>WEEKNUM(Table4[[#This Row],[Week_Start_Date]])</f>
        <v>38</v>
      </c>
    </row>
    <row r="65" spans="1:10" ht="15.75" customHeight="1" x14ac:dyDescent="0.3">
      <c r="A65" s="2" t="s">
        <v>575</v>
      </c>
      <c r="B65" s="2" t="s">
        <v>27</v>
      </c>
      <c r="C65" s="2">
        <v>123</v>
      </c>
      <c r="D65" s="2">
        <v>155</v>
      </c>
      <c r="E65" s="2">
        <v>119934</v>
      </c>
      <c r="F65" s="2">
        <v>3.5</v>
      </c>
      <c r="G65" s="26">
        <v>5442</v>
      </c>
      <c r="H65">
        <f t="shared" si="0"/>
        <v>-32</v>
      </c>
      <c r="I65" s="13">
        <f t="shared" si="1"/>
        <v>-2.6681341404439108E-4</v>
      </c>
      <c r="J65" s="17">
        <f>WEEKNUM(Table4[[#This Row],[Week_Start_Date]])</f>
        <v>38</v>
      </c>
    </row>
    <row r="66" spans="1:10" ht="15.75" customHeight="1" x14ac:dyDescent="0.3">
      <c r="A66" s="2" t="s">
        <v>576</v>
      </c>
      <c r="B66" s="2" t="s">
        <v>33</v>
      </c>
      <c r="C66" s="2">
        <v>817</v>
      </c>
      <c r="D66" s="2">
        <v>151</v>
      </c>
      <c r="E66" s="2">
        <v>422625</v>
      </c>
      <c r="F66" s="2">
        <v>2.36</v>
      </c>
      <c r="G66" s="26">
        <v>1083</v>
      </c>
      <c r="H66">
        <f t="shared" si="0"/>
        <v>666</v>
      </c>
      <c r="I66" s="13">
        <f t="shared" si="1"/>
        <v>1.5758651286601596E-3</v>
      </c>
      <c r="J66" s="17">
        <f>WEEKNUM(Table4[[#This Row],[Week_Start_Date]])</f>
        <v>39</v>
      </c>
    </row>
    <row r="67" spans="1:10" ht="15.75" customHeight="1" x14ac:dyDescent="0.3">
      <c r="A67" s="2" t="s">
        <v>576</v>
      </c>
      <c r="B67" s="2" t="s">
        <v>43</v>
      </c>
      <c r="C67" s="2">
        <v>198</v>
      </c>
      <c r="D67" s="2">
        <v>217</v>
      </c>
      <c r="E67" s="2">
        <v>239753</v>
      </c>
      <c r="F67" s="2">
        <v>7.36</v>
      </c>
      <c r="G67" s="26">
        <v>11901</v>
      </c>
      <c r="H67">
        <f t="shared" ref="H67:H130" si="2">C67-D67</f>
        <v>-19</v>
      </c>
      <c r="I67" s="13">
        <f t="shared" ref="I67:I130" si="3">(C67-D67)/E67</f>
        <v>-7.9248226299566635E-5</v>
      </c>
      <c r="J67" s="17">
        <f>WEEKNUM(Table4[[#This Row],[Week_Start_Date]])</f>
        <v>39</v>
      </c>
    </row>
    <row r="68" spans="1:10" ht="15.75" customHeight="1" x14ac:dyDescent="0.3">
      <c r="A68" s="2" t="s">
        <v>576</v>
      </c>
      <c r="B68" s="2" t="s">
        <v>14</v>
      </c>
      <c r="C68" s="2">
        <v>1911</v>
      </c>
      <c r="D68" s="2">
        <v>231</v>
      </c>
      <c r="E68" s="2">
        <v>268516</v>
      </c>
      <c r="F68" s="2">
        <v>8.5500000000000007</v>
      </c>
      <c r="G68" s="26">
        <v>24018</v>
      </c>
      <c r="H68">
        <f t="shared" si="2"/>
        <v>1680</v>
      </c>
      <c r="I68" s="13">
        <f t="shared" si="3"/>
        <v>6.2566104068286429E-3</v>
      </c>
      <c r="J68" s="17">
        <f>WEEKNUM(Table4[[#This Row],[Week_Start_Date]])</f>
        <v>39</v>
      </c>
    </row>
    <row r="69" spans="1:10" ht="15.75" customHeight="1" x14ac:dyDescent="0.3">
      <c r="A69" s="2" t="s">
        <v>576</v>
      </c>
      <c r="B69" s="2" t="s">
        <v>27</v>
      </c>
      <c r="C69" s="2">
        <v>1218</v>
      </c>
      <c r="D69" s="2">
        <v>212</v>
      </c>
      <c r="E69" s="2">
        <v>63177</v>
      </c>
      <c r="F69" s="2">
        <v>8.1300000000000008</v>
      </c>
      <c r="G69" s="26">
        <v>38883</v>
      </c>
      <c r="H69">
        <f t="shared" si="2"/>
        <v>1006</v>
      </c>
      <c r="I69" s="13">
        <f t="shared" si="3"/>
        <v>1.592351646960128E-2</v>
      </c>
      <c r="J69" s="17">
        <f>WEEKNUM(Table4[[#This Row],[Week_Start_Date]])</f>
        <v>39</v>
      </c>
    </row>
    <row r="70" spans="1:10" ht="15.75" customHeight="1" x14ac:dyDescent="0.3">
      <c r="A70" s="2" t="s">
        <v>577</v>
      </c>
      <c r="B70" s="2" t="s">
        <v>33</v>
      </c>
      <c r="C70" s="2">
        <v>1433</v>
      </c>
      <c r="D70" s="2">
        <v>408</v>
      </c>
      <c r="E70" s="2">
        <v>370269</v>
      </c>
      <c r="F70" s="2">
        <v>3.3</v>
      </c>
      <c r="G70" s="26">
        <v>30575</v>
      </c>
      <c r="H70">
        <f t="shared" si="2"/>
        <v>1025</v>
      </c>
      <c r="I70" s="13">
        <f t="shared" si="3"/>
        <v>2.7682576721248606E-3</v>
      </c>
      <c r="J70" s="17">
        <f>WEEKNUM(Table4[[#This Row],[Week_Start_Date]])</f>
        <v>40</v>
      </c>
    </row>
    <row r="71" spans="1:10" ht="15.75" customHeight="1" x14ac:dyDescent="0.3">
      <c r="A71" s="2" t="s">
        <v>577</v>
      </c>
      <c r="B71" s="2" t="s">
        <v>43</v>
      </c>
      <c r="C71" s="2">
        <v>250</v>
      </c>
      <c r="D71" s="2">
        <v>429</v>
      </c>
      <c r="E71" s="2">
        <v>453423</v>
      </c>
      <c r="F71" s="2">
        <v>1.77</v>
      </c>
      <c r="G71" s="26">
        <v>2315</v>
      </c>
      <c r="H71">
        <f t="shared" si="2"/>
        <v>-179</v>
      </c>
      <c r="I71" s="13">
        <f t="shared" si="3"/>
        <v>-3.9477485703195471E-4</v>
      </c>
      <c r="J71" s="17">
        <f>WEEKNUM(Table4[[#This Row],[Week_Start_Date]])</f>
        <v>40</v>
      </c>
    </row>
    <row r="72" spans="1:10" ht="15.75" customHeight="1" x14ac:dyDescent="0.3">
      <c r="A72" s="2" t="s">
        <v>577</v>
      </c>
      <c r="B72" s="2" t="s">
        <v>14</v>
      </c>
      <c r="C72" s="2">
        <v>752</v>
      </c>
      <c r="D72" s="2">
        <v>153</v>
      </c>
      <c r="E72" s="2">
        <v>64906</v>
      </c>
      <c r="F72" s="2">
        <v>2.09</v>
      </c>
      <c r="G72" s="26">
        <v>12148</v>
      </c>
      <c r="H72">
        <f t="shared" si="2"/>
        <v>599</v>
      </c>
      <c r="I72" s="13">
        <f t="shared" si="3"/>
        <v>9.2287307798970819E-3</v>
      </c>
      <c r="J72" s="17">
        <f>WEEKNUM(Table4[[#This Row],[Week_Start_Date]])</f>
        <v>40</v>
      </c>
    </row>
    <row r="73" spans="1:10" ht="15.75" customHeight="1" x14ac:dyDescent="0.3">
      <c r="A73" s="2" t="s">
        <v>577</v>
      </c>
      <c r="B73" s="2" t="s">
        <v>27</v>
      </c>
      <c r="C73" s="2">
        <v>1918</v>
      </c>
      <c r="D73" s="2">
        <v>212</v>
      </c>
      <c r="E73" s="2">
        <v>94360</v>
      </c>
      <c r="F73" s="2">
        <v>7.36</v>
      </c>
      <c r="G73" s="26">
        <v>36851</v>
      </c>
      <c r="H73">
        <f t="shared" si="2"/>
        <v>1706</v>
      </c>
      <c r="I73" s="13">
        <f t="shared" si="3"/>
        <v>1.8079694785926241E-2</v>
      </c>
      <c r="J73" s="17">
        <f>WEEKNUM(Table4[[#This Row],[Week_Start_Date]])</f>
        <v>40</v>
      </c>
    </row>
    <row r="74" spans="1:10" ht="15.75" customHeight="1" x14ac:dyDescent="0.3">
      <c r="A74" s="2" t="s">
        <v>578</v>
      </c>
      <c r="B74" s="2" t="s">
        <v>33</v>
      </c>
      <c r="C74" s="2">
        <v>1939</v>
      </c>
      <c r="D74" s="2">
        <v>67</v>
      </c>
      <c r="E74" s="2">
        <v>187183</v>
      </c>
      <c r="F74" s="2">
        <v>6.25</v>
      </c>
      <c r="G74" s="26">
        <v>41215</v>
      </c>
      <c r="H74">
        <f t="shared" si="2"/>
        <v>1872</v>
      </c>
      <c r="I74" s="13">
        <f t="shared" si="3"/>
        <v>1.0000908202133741E-2</v>
      </c>
      <c r="J74" s="17">
        <f>WEEKNUM(Table4[[#This Row],[Week_Start_Date]])</f>
        <v>41</v>
      </c>
    </row>
    <row r="75" spans="1:10" ht="15.75" customHeight="1" x14ac:dyDescent="0.3">
      <c r="A75" s="2" t="s">
        <v>578</v>
      </c>
      <c r="B75" s="2" t="s">
        <v>43</v>
      </c>
      <c r="C75" s="2">
        <v>1929</v>
      </c>
      <c r="D75" s="2">
        <v>267</v>
      </c>
      <c r="E75" s="2">
        <v>379363</v>
      </c>
      <c r="F75" s="2">
        <v>1.75</v>
      </c>
      <c r="G75" s="26">
        <v>43836</v>
      </c>
      <c r="H75">
        <f t="shared" si="2"/>
        <v>1662</v>
      </c>
      <c r="I75" s="13">
        <f t="shared" si="3"/>
        <v>4.3810281972675247E-3</v>
      </c>
      <c r="J75" s="17">
        <f>WEEKNUM(Table4[[#This Row],[Week_Start_Date]])</f>
        <v>41</v>
      </c>
    </row>
    <row r="76" spans="1:10" ht="15.75" customHeight="1" x14ac:dyDescent="0.3">
      <c r="A76" s="2" t="s">
        <v>578</v>
      </c>
      <c r="B76" s="2" t="s">
        <v>14</v>
      </c>
      <c r="C76" s="2">
        <v>437</v>
      </c>
      <c r="D76" s="2">
        <v>330</v>
      </c>
      <c r="E76" s="2">
        <v>476486</v>
      </c>
      <c r="F76" s="2">
        <v>4.97</v>
      </c>
      <c r="G76" s="26">
        <v>4509</v>
      </c>
      <c r="H76">
        <f t="shared" si="2"/>
        <v>107</v>
      </c>
      <c r="I76" s="13">
        <f t="shared" si="3"/>
        <v>2.2456063766826309E-4</v>
      </c>
      <c r="J76" s="17">
        <f>WEEKNUM(Table4[[#This Row],[Week_Start_Date]])</f>
        <v>41</v>
      </c>
    </row>
    <row r="77" spans="1:10" ht="15.75" customHeight="1" x14ac:dyDescent="0.3">
      <c r="A77" s="2" t="s">
        <v>578</v>
      </c>
      <c r="B77" s="2" t="s">
        <v>27</v>
      </c>
      <c r="C77" s="2">
        <v>307</v>
      </c>
      <c r="D77" s="2">
        <v>189</v>
      </c>
      <c r="E77" s="2">
        <v>117767</v>
      </c>
      <c r="F77" s="2">
        <v>9.3000000000000007</v>
      </c>
      <c r="G77" s="26">
        <v>27822</v>
      </c>
      <c r="H77">
        <f t="shared" si="2"/>
        <v>118</v>
      </c>
      <c r="I77" s="13">
        <f t="shared" si="3"/>
        <v>1.0019784829366461E-3</v>
      </c>
      <c r="J77" s="17">
        <f>WEEKNUM(Table4[[#This Row],[Week_Start_Date]])</f>
        <v>41</v>
      </c>
    </row>
    <row r="78" spans="1:10" ht="15.75" customHeight="1" x14ac:dyDescent="0.3">
      <c r="A78" s="2" t="s">
        <v>579</v>
      </c>
      <c r="B78" s="2" t="s">
        <v>33</v>
      </c>
      <c r="C78" s="2">
        <v>1527</v>
      </c>
      <c r="D78" s="2">
        <v>303</v>
      </c>
      <c r="E78" s="2">
        <v>388555</v>
      </c>
      <c r="F78" s="2">
        <v>8.9</v>
      </c>
      <c r="G78" s="26">
        <v>36397</v>
      </c>
      <c r="H78">
        <f t="shared" si="2"/>
        <v>1224</v>
      </c>
      <c r="I78" s="13">
        <f t="shared" si="3"/>
        <v>3.1501331857780751E-3</v>
      </c>
      <c r="J78" s="17">
        <f>WEEKNUM(Table4[[#This Row],[Week_Start_Date]])</f>
        <v>42</v>
      </c>
    </row>
    <row r="79" spans="1:10" ht="15.75" customHeight="1" x14ac:dyDescent="0.3">
      <c r="A79" s="2" t="s">
        <v>579</v>
      </c>
      <c r="B79" s="2" t="s">
        <v>43</v>
      </c>
      <c r="C79" s="2">
        <v>643</v>
      </c>
      <c r="D79" s="2">
        <v>358</v>
      </c>
      <c r="E79" s="2">
        <v>157599</v>
      </c>
      <c r="F79" s="2">
        <v>3.88</v>
      </c>
      <c r="G79" s="26">
        <v>7285</v>
      </c>
      <c r="H79">
        <f t="shared" si="2"/>
        <v>285</v>
      </c>
      <c r="I79" s="13">
        <f t="shared" si="3"/>
        <v>1.8083871090552605E-3</v>
      </c>
      <c r="J79" s="17">
        <f>WEEKNUM(Table4[[#This Row],[Week_Start_Date]])</f>
        <v>42</v>
      </c>
    </row>
    <row r="80" spans="1:10" ht="15.75" customHeight="1" x14ac:dyDescent="0.3">
      <c r="A80" s="2" t="s">
        <v>579</v>
      </c>
      <c r="B80" s="2" t="s">
        <v>14</v>
      </c>
      <c r="C80" s="2">
        <v>201</v>
      </c>
      <c r="D80" s="2">
        <v>221</v>
      </c>
      <c r="E80" s="2">
        <v>309772</v>
      </c>
      <c r="F80" s="2">
        <v>5.9</v>
      </c>
      <c r="G80" s="26">
        <v>33174</v>
      </c>
      <c r="H80">
        <f t="shared" si="2"/>
        <v>-20</v>
      </c>
      <c r="I80" s="13">
        <f t="shared" si="3"/>
        <v>-6.456361452939582E-5</v>
      </c>
      <c r="J80" s="17">
        <f>WEEKNUM(Table4[[#This Row],[Week_Start_Date]])</f>
        <v>42</v>
      </c>
    </row>
    <row r="81" spans="1:10" ht="15.75" customHeight="1" x14ac:dyDescent="0.3">
      <c r="A81" s="2" t="s">
        <v>579</v>
      </c>
      <c r="B81" s="2" t="s">
        <v>27</v>
      </c>
      <c r="C81" s="2">
        <v>414</v>
      </c>
      <c r="D81" s="2">
        <v>47</v>
      </c>
      <c r="E81" s="2">
        <v>199178</v>
      </c>
      <c r="F81" s="2">
        <v>1.53</v>
      </c>
      <c r="G81" s="26">
        <v>6742</v>
      </c>
      <c r="H81">
        <f t="shared" si="2"/>
        <v>367</v>
      </c>
      <c r="I81" s="13">
        <f t="shared" si="3"/>
        <v>1.8425729749269497E-3</v>
      </c>
      <c r="J81" s="17">
        <f>WEEKNUM(Table4[[#This Row],[Week_Start_Date]])</f>
        <v>42</v>
      </c>
    </row>
    <row r="82" spans="1:10" ht="15.75" customHeight="1" x14ac:dyDescent="0.3">
      <c r="A82" s="2" t="s">
        <v>168</v>
      </c>
      <c r="B82" s="2" t="s">
        <v>33</v>
      </c>
      <c r="C82" s="2">
        <v>703</v>
      </c>
      <c r="D82" s="2">
        <v>441</v>
      </c>
      <c r="E82" s="2">
        <v>357089</v>
      </c>
      <c r="F82" s="2">
        <v>6.5</v>
      </c>
      <c r="G82" s="26">
        <v>32478</v>
      </c>
      <c r="H82">
        <f t="shared" si="2"/>
        <v>262</v>
      </c>
      <c r="I82" s="13">
        <f t="shared" si="3"/>
        <v>7.3371064356504961E-4</v>
      </c>
      <c r="J82" s="17">
        <f>WEEKNUM(Table4[[#This Row],[Week_Start_Date]])</f>
        <v>43</v>
      </c>
    </row>
    <row r="83" spans="1:10" ht="15.75" customHeight="1" x14ac:dyDescent="0.3">
      <c r="A83" s="2" t="s">
        <v>168</v>
      </c>
      <c r="B83" s="2" t="s">
        <v>43</v>
      </c>
      <c r="C83" s="2">
        <v>508</v>
      </c>
      <c r="D83" s="2">
        <v>69</v>
      </c>
      <c r="E83" s="2">
        <v>23492</v>
      </c>
      <c r="F83" s="2">
        <v>3.16</v>
      </c>
      <c r="G83" s="26">
        <v>42824</v>
      </c>
      <c r="H83">
        <f t="shared" si="2"/>
        <v>439</v>
      </c>
      <c r="I83" s="13">
        <f t="shared" si="3"/>
        <v>1.8687212668142345E-2</v>
      </c>
      <c r="J83" s="17">
        <f>WEEKNUM(Table4[[#This Row],[Week_Start_Date]])</f>
        <v>43</v>
      </c>
    </row>
    <row r="84" spans="1:10" ht="15.75" customHeight="1" x14ac:dyDescent="0.3">
      <c r="A84" s="2" t="s">
        <v>168</v>
      </c>
      <c r="B84" s="2" t="s">
        <v>14</v>
      </c>
      <c r="C84" s="2">
        <v>697</v>
      </c>
      <c r="D84" s="2">
        <v>61</v>
      </c>
      <c r="E84" s="2">
        <v>258287</v>
      </c>
      <c r="F84" s="2">
        <v>8.25</v>
      </c>
      <c r="G84" s="26">
        <v>21208</v>
      </c>
      <c r="H84">
        <f t="shared" si="2"/>
        <v>636</v>
      </c>
      <c r="I84" s="13">
        <f t="shared" si="3"/>
        <v>2.4623771231227277E-3</v>
      </c>
      <c r="J84" s="17">
        <f>WEEKNUM(Table4[[#This Row],[Week_Start_Date]])</f>
        <v>43</v>
      </c>
    </row>
    <row r="85" spans="1:10" ht="15.75" customHeight="1" x14ac:dyDescent="0.3">
      <c r="A85" s="2" t="s">
        <v>168</v>
      </c>
      <c r="B85" s="2" t="s">
        <v>27</v>
      </c>
      <c r="C85" s="2">
        <v>1707</v>
      </c>
      <c r="D85" s="2">
        <v>223</v>
      </c>
      <c r="E85" s="2">
        <v>256910</v>
      </c>
      <c r="F85" s="2">
        <v>5.41</v>
      </c>
      <c r="G85" s="26">
        <v>44321</v>
      </c>
      <c r="H85">
        <f t="shared" si="2"/>
        <v>1484</v>
      </c>
      <c r="I85" s="13">
        <f t="shared" si="3"/>
        <v>5.7763419096181542E-3</v>
      </c>
      <c r="J85" s="17">
        <f>WEEKNUM(Table4[[#This Row],[Week_Start_Date]])</f>
        <v>43</v>
      </c>
    </row>
    <row r="86" spans="1:10" ht="15.75" customHeight="1" x14ac:dyDescent="0.3">
      <c r="A86" s="2" t="s">
        <v>201</v>
      </c>
      <c r="B86" s="2" t="s">
        <v>33</v>
      </c>
      <c r="C86" s="2">
        <v>642</v>
      </c>
      <c r="D86" s="2">
        <v>66</v>
      </c>
      <c r="E86" s="2">
        <v>346522</v>
      </c>
      <c r="F86" s="2">
        <v>5.85</v>
      </c>
      <c r="G86" s="26">
        <v>13116</v>
      </c>
      <c r="H86">
        <f t="shared" si="2"/>
        <v>576</v>
      </c>
      <c r="I86" s="13">
        <f t="shared" si="3"/>
        <v>1.6622321237901201E-3</v>
      </c>
      <c r="J86" s="17">
        <f>WEEKNUM(Table4[[#This Row],[Week_Start_Date]])</f>
        <v>44</v>
      </c>
    </row>
    <row r="87" spans="1:10" ht="15.75" customHeight="1" x14ac:dyDescent="0.3">
      <c r="A87" s="2" t="s">
        <v>201</v>
      </c>
      <c r="B87" s="2" t="s">
        <v>43</v>
      </c>
      <c r="C87" s="2">
        <v>859</v>
      </c>
      <c r="D87" s="2">
        <v>473</v>
      </c>
      <c r="E87" s="2">
        <v>209987</v>
      </c>
      <c r="F87" s="2">
        <v>4.46</v>
      </c>
      <c r="G87" s="26">
        <v>30214</v>
      </c>
      <c r="H87">
        <f t="shared" si="2"/>
        <v>386</v>
      </c>
      <c r="I87" s="13">
        <f t="shared" si="3"/>
        <v>1.8382090319876945E-3</v>
      </c>
      <c r="J87" s="17">
        <f>WEEKNUM(Table4[[#This Row],[Week_Start_Date]])</f>
        <v>44</v>
      </c>
    </row>
    <row r="88" spans="1:10" ht="15.75" customHeight="1" x14ac:dyDescent="0.3">
      <c r="A88" s="2" t="s">
        <v>201</v>
      </c>
      <c r="B88" s="2" t="s">
        <v>14</v>
      </c>
      <c r="C88" s="2">
        <v>191</v>
      </c>
      <c r="D88" s="2">
        <v>154</v>
      </c>
      <c r="E88" s="2">
        <v>240550</v>
      </c>
      <c r="F88" s="2">
        <v>5.22</v>
      </c>
      <c r="G88" s="26">
        <v>15827</v>
      </c>
      <c r="H88">
        <f t="shared" si="2"/>
        <v>37</v>
      </c>
      <c r="I88" s="13">
        <f t="shared" si="3"/>
        <v>1.5381417584701726E-4</v>
      </c>
      <c r="J88" s="17">
        <f>WEEKNUM(Table4[[#This Row],[Week_Start_Date]])</f>
        <v>44</v>
      </c>
    </row>
    <row r="89" spans="1:10" ht="15.75" customHeight="1" x14ac:dyDescent="0.3">
      <c r="A89" s="2" t="s">
        <v>201</v>
      </c>
      <c r="B89" s="2" t="s">
        <v>27</v>
      </c>
      <c r="C89" s="2">
        <v>1814</v>
      </c>
      <c r="D89" s="2">
        <v>157</v>
      </c>
      <c r="E89" s="2">
        <v>305827</v>
      </c>
      <c r="F89" s="2">
        <v>1.99</v>
      </c>
      <c r="G89" s="26">
        <v>46643</v>
      </c>
      <c r="H89">
        <f t="shared" si="2"/>
        <v>1657</v>
      </c>
      <c r="I89" s="13">
        <f t="shared" si="3"/>
        <v>5.4180958515762179E-3</v>
      </c>
      <c r="J89" s="17">
        <f>WEEKNUM(Table4[[#This Row],[Week_Start_Date]])</f>
        <v>44</v>
      </c>
    </row>
    <row r="90" spans="1:10" ht="15.75" customHeight="1" x14ac:dyDescent="0.3">
      <c r="A90" s="2" t="s">
        <v>282</v>
      </c>
      <c r="B90" s="2" t="s">
        <v>33</v>
      </c>
      <c r="C90" s="2">
        <v>1466</v>
      </c>
      <c r="D90" s="2">
        <v>69</v>
      </c>
      <c r="E90" s="2">
        <v>54935</v>
      </c>
      <c r="F90" s="2">
        <v>6.85</v>
      </c>
      <c r="G90" s="26">
        <v>36484</v>
      </c>
      <c r="H90">
        <f t="shared" si="2"/>
        <v>1397</v>
      </c>
      <c r="I90" s="13">
        <f t="shared" si="3"/>
        <v>2.5430053699827069E-2</v>
      </c>
      <c r="J90" s="17">
        <f>WEEKNUM(Table4[[#This Row],[Week_Start_Date]])</f>
        <v>45</v>
      </c>
    </row>
    <row r="91" spans="1:10" ht="15.75" customHeight="1" x14ac:dyDescent="0.3">
      <c r="A91" s="2" t="s">
        <v>282</v>
      </c>
      <c r="B91" s="2" t="s">
        <v>43</v>
      </c>
      <c r="C91" s="2">
        <v>947</v>
      </c>
      <c r="D91" s="2">
        <v>407</v>
      </c>
      <c r="E91" s="2">
        <v>319186</v>
      </c>
      <c r="F91" s="2">
        <v>3.32</v>
      </c>
      <c r="G91" s="26">
        <v>4996</v>
      </c>
      <c r="H91">
        <f t="shared" si="2"/>
        <v>540</v>
      </c>
      <c r="I91" s="13">
        <f t="shared" si="3"/>
        <v>1.6918035252172713E-3</v>
      </c>
      <c r="J91" s="17">
        <f>WEEKNUM(Table4[[#This Row],[Week_Start_Date]])</f>
        <v>45</v>
      </c>
    </row>
    <row r="92" spans="1:10" ht="15.75" customHeight="1" x14ac:dyDescent="0.3">
      <c r="A92" s="2" t="s">
        <v>282</v>
      </c>
      <c r="B92" s="2" t="s">
        <v>14</v>
      </c>
      <c r="C92" s="2">
        <v>1821</v>
      </c>
      <c r="D92" s="2">
        <v>218</v>
      </c>
      <c r="E92" s="2">
        <v>439080</v>
      </c>
      <c r="F92" s="2">
        <v>5.68</v>
      </c>
      <c r="G92" s="26">
        <v>36095</v>
      </c>
      <c r="H92">
        <f t="shared" si="2"/>
        <v>1603</v>
      </c>
      <c r="I92" s="13">
        <f t="shared" si="3"/>
        <v>3.6508153411678964E-3</v>
      </c>
      <c r="J92" s="17">
        <f>WEEKNUM(Table4[[#This Row],[Week_Start_Date]])</f>
        <v>45</v>
      </c>
    </row>
    <row r="93" spans="1:10" ht="15.75" customHeight="1" x14ac:dyDescent="0.3">
      <c r="A93" s="2" t="s">
        <v>282</v>
      </c>
      <c r="B93" s="2" t="s">
        <v>27</v>
      </c>
      <c r="C93" s="2">
        <v>1507</v>
      </c>
      <c r="D93" s="2">
        <v>463</v>
      </c>
      <c r="E93" s="2">
        <v>258944</v>
      </c>
      <c r="F93" s="2">
        <v>6.08</v>
      </c>
      <c r="G93" s="26">
        <v>16443</v>
      </c>
      <c r="H93">
        <f t="shared" si="2"/>
        <v>1044</v>
      </c>
      <c r="I93" s="13">
        <f t="shared" si="3"/>
        <v>4.0317597627286209E-3</v>
      </c>
      <c r="J93" s="17">
        <f>WEEKNUM(Table4[[#This Row],[Week_Start_Date]])</f>
        <v>45</v>
      </c>
    </row>
    <row r="94" spans="1:10" ht="15.75" customHeight="1" x14ac:dyDescent="0.3">
      <c r="A94" s="2" t="s">
        <v>580</v>
      </c>
      <c r="B94" s="2" t="s">
        <v>33</v>
      </c>
      <c r="C94" s="2">
        <v>1075</v>
      </c>
      <c r="D94" s="2">
        <v>173</v>
      </c>
      <c r="E94" s="2">
        <v>51395</v>
      </c>
      <c r="F94" s="2">
        <v>4.66</v>
      </c>
      <c r="G94" s="26">
        <v>47812</v>
      </c>
      <c r="H94">
        <f t="shared" si="2"/>
        <v>902</v>
      </c>
      <c r="I94" s="13">
        <f t="shared" si="3"/>
        <v>1.7550345364335054E-2</v>
      </c>
      <c r="J94" s="17">
        <f>WEEKNUM(Table4[[#This Row],[Week_Start_Date]])</f>
        <v>46</v>
      </c>
    </row>
    <row r="95" spans="1:10" ht="15.75" customHeight="1" x14ac:dyDescent="0.3">
      <c r="A95" s="2" t="s">
        <v>580</v>
      </c>
      <c r="B95" s="2" t="s">
        <v>43</v>
      </c>
      <c r="C95" s="2">
        <v>171</v>
      </c>
      <c r="D95" s="2">
        <v>277</v>
      </c>
      <c r="E95" s="2">
        <v>309483</v>
      </c>
      <c r="F95" s="2">
        <v>8.6999999999999993</v>
      </c>
      <c r="G95" s="26">
        <v>38452</v>
      </c>
      <c r="H95">
        <f t="shared" si="2"/>
        <v>-106</v>
      </c>
      <c r="I95" s="13">
        <f t="shared" si="3"/>
        <v>-3.4250669665215861E-4</v>
      </c>
      <c r="J95" s="17">
        <f>WEEKNUM(Table4[[#This Row],[Week_Start_Date]])</f>
        <v>46</v>
      </c>
    </row>
    <row r="96" spans="1:10" ht="15.75" customHeight="1" x14ac:dyDescent="0.3">
      <c r="A96" s="2" t="s">
        <v>580</v>
      </c>
      <c r="B96" s="2" t="s">
        <v>14</v>
      </c>
      <c r="C96" s="2">
        <v>1487</v>
      </c>
      <c r="D96" s="2">
        <v>337</v>
      </c>
      <c r="E96" s="2">
        <v>87305</v>
      </c>
      <c r="F96" s="2">
        <v>2.46</v>
      </c>
      <c r="G96" s="26">
        <v>30428</v>
      </c>
      <c r="H96">
        <f t="shared" si="2"/>
        <v>1150</v>
      </c>
      <c r="I96" s="13">
        <f t="shared" si="3"/>
        <v>1.3172212358971423E-2</v>
      </c>
      <c r="J96" s="17">
        <f>WEEKNUM(Table4[[#This Row],[Week_Start_Date]])</f>
        <v>46</v>
      </c>
    </row>
    <row r="97" spans="1:10" ht="15.75" customHeight="1" x14ac:dyDescent="0.3">
      <c r="A97" s="2" t="s">
        <v>580</v>
      </c>
      <c r="B97" s="2" t="s">
        <v>27</v>
      </c>
      <c r="C97" s="2">
        <v>454</v>
      </c>
      <c r="D97" s="2">
        <v>105</v>
      </c>
      <c r="E97" s="2">
        <v>121091</v>
      </c>
      <c r="F97" s="2">
        <v>7.97</v>
      </c>
      <c r="G97" s="26">
        <v>9269</v>
      </c>
      <c r="H97">
        <f t="shared" si="2"/>
        <v>349</v>
      </c>
      <c r="I97" s="13">
        <f t="shared" si="3"/>
        <v>2.8821299683708945E-3</v>
      </c>
      <c r="J97" s="17">
        <f>WEEKNUM(Table4[[#This Row],[Week_Start_Date]])</f>
        <v>46</v>
      </c>
    </row>
    <row r="98" spans="1:10" ht="15.75" customHeight="1" x14ac:dyDescent="0.3">
      <c r="A98" s="2" t="s">
        <v>67</v>
      </c>
      <c r="B98" s="2" t="s">
        <v>33</v>
      </c>
      <c r="C98" s="2">
        <v>187</v>
      </c>
      <c r="D98" s="2">
        <v>236</v>
      </c>
      <c r="E98" s="2">
        <v>51087</v>
      </c>
      <c r="F98" s="2">
        <v>9.41</v>
      </c>
      <c r="G98" s="26">
        <v>29533</v>
      </c>
      <c r="H98">
        <f t="shared" si="2"/>
        <v>-49</v>
      </c>
      <c r="I98" s="13">
        <f t="shared" si="3"/>
        <v>-9.5914811987394058E-4</v>
      </c>
      <c r="J98" s="17">
        <f>WEEKNUM(Table4[[#This Row],[Week_Start_Date]])</f>
        <v>47</v>
      </c>
    </row>
    <row r="99" spans="1:10" ht="15.75" customHeight="1" x14ac:dyDescent="0.3">
      <c r="A99" s="2" t="s">
        <v>67</v>
      </c>
      <c r="B99" s="2" t="s">
        <v>43</v>
      </c>
      <c r="C99" s="2">
        <v>513</v>
      </c>
      <c r="D99" s="2">
        <v>441</v>
      </c>
      <c r="E99" s="2">
        <v>338847</v>
      </c>
      <c r="F99" s="2">
        <v>2.68</v>
      </c>
      <c r="G99" s="26">
        <v>39997</v>
      </c>
      <c r="H99">
        <f t="shared" si="2"/>
        <v>72</v>
      </c>
      <c r="I99" s="13">
        <f t="shared" si="3"/>
        <v>2.1248528096751631E-4</v>
      </c>
      <c r="J99" s="17">
        <f>WEEKNUM(Table4[[#This Row],[Week_Start_Date]])</f>
        <v>47</v>
      </c>
    </row>
    <row r="100" spans="1:10" ht="15.75" customHeight="1" x14ac:dyDescent="0.3">
      <c r="A100" s="2" t="s">
        <v>67</v>
      </c>
      <c r="B100" s="2" t="s">
        <v>14</v>
      </c>
      <c r="C100" s="2">
        <v>628</v>
      </c>
      <c r="D100" s="2">
        <v>183</v>
      </c>
      <c r="E100" s="2">
        <v>487523</v>
      </c>
      <c r="F100" s="2">
        <v>7.32</v>
      </c>
      <c r="G100" s="26">
        <v>5391</v>
      </c>
      <c r="H100">
        <f t="shared" si="2"/>
        <v>445</v>
      </c>
      <c r="I100" s="13">
        <f t="shared" si="3"/>
        <v>9.1277744844858602E-4</v>
      </c>
      <c r="J100" s="17">
        <f>WEEKNUM(Table4[[#This Row],[Week_Start_Date]])</f>
        <v>47</v>
      </c>
    </row>
    <row r="101" spans="1:10" ht="15.75" customHeight="1" x14ac:dyDescent="0.3">
      <c r="A101" s="2" t="s">
        <v>67</v>
      </c>
      <c r="B101" s="2" t="s">
        <v>27</v>
      </c>
      <c r="C101" s="2">
        <v>278</v>
      </c>
      <c r="D101" s="2">
        <v>218</v>
      </c>
      <c r="E101" s="2">
        <v>301695</v>
      </c>
      <c r="F101" s="2">
        <v>4.68</v>
      </c>
      <c r="G101" s="26">
        <v>22373</v>
      </c>
      <c r="H101">
        <f t="shared" si="2"/>
        <v>60</v>
      </c>
      <c r="I101" s="13">
        <f t="shared" si="3"/>
        <v>1.9887634863023914E-4</v>
      </c>
      <c r="J101" s="17">
        <f>WEEKNUM(Table4[[#This Row],[Week_Start_Date]])</f>
        <v>47</v>
      </c>
    </row>
    <row r="102" spans="1:10" ht="15.75" customHeight="1" x14ac:dyDescent="0.3">
      <c r="A102" s="2" t="s">
        <v>129</v>
      </c>
      <c r="B102" s="2" t="s">
        <v>33</v>
      </c>
      <c r="C102" s="2">
        <v>1854</v>
      </c>
      <c r="D102" s="2">
        <v>161</v>
      </c>
      <c r="E102" s="2">
        <v>282466</v>
      </c>
      <c r="F102" s="2">
        <v>5.17</v>
      </c>
      <c r="G102" s="26">
        <v>1810</v>
      </c>
      <c r="H102">
        <f t="shared" si="2"/>
        <v>1693</v>
      </c>
      <c r="I102" s="13">
        <f t="shared" si="3"/>
        <v>5.9936417126309005E-3</v>
      </c>
      <c r="J102" s="17">
        <f>WEEKNUM(Table4[[#This Row],[Week_Start_Date]])</f>
        <v>48</v>
      </c>
    </row>
    <row r="103" spans="1:10" ht="15.75" customHeight="1" x14ac:dyDescent="0.3">
      <c r="A103" s="2" t="s">
        <v>129</v>
      </c>
      <c r="B103" s="2" t="s">
        <v>43</v>
      </c>
      <c r="C103" s="2">
        <v>1710</v>
      </c>
      <c r="D103" s="2">
        <v>378</v>
      </c>
      <c r="E103" s="2">
        <v>336661</v>
      </c>
      <c r="F103" s="2">
        <v>6.2</v>
      </c>
      <c r="G103" s="26">
        <v>28498</v>
      </c>
      <c r="H103">
        <f t="shared" si="2"/>
        <v>1332</v>
      </c>
      <c r="I103" s="13">
        <f t="shared" si="3"/>
        <v>3.9565022381564839E-3</v>
      </c>
      <c r="J103" s="17">
        <f>WEEKNUM(Table4[[#This Row],[Week_Start_Date]])</f>
        <v>48</v>
      </c>
    </row>
    <row r="104" spans="1:10" ht="15.75" customHeight="1" x14ac:dyDescent="0.3">
      <c r="A104" s="2" t="s">
        <v>129</v>
      </c>
      <c r="B104" s="2" t="s">
        <v>14</v>
      </c>
      <c r="C104" s="2">
        <v>330</v>
      </c>
      <c r="D104" s="2">
        <v>232</v>
      </c>
      <c r="E104" s="2">
        <v>88455</v>
      </c>
      <c r="F104" s="2">
        <v>2.69</v>
      </c>
      <c r="G104" s="26">
        <v>39530</v>
      </c>
      <c r="H104">
        <f t="shared" si="2"/>
        <v>98</v>
      </c>
      <c r="I104" s="13">
        <f t="shared" si="3"/>
        <v>1.1079079758069075E-3</v>
      </c>
      <c r="J104" s="17">
        <f>WEEKNUM(Table4[[#This Row],[Week_Start_Date]])</f>
        <v>48</v>
      </c>
    </row>
    <row r="105" spans="1:10" ht="15.75" customHeight="1" x14ac:dyDescent="0.3">
      <c r="A105" s="2" t="s">
        <v>129</v>
      </c>
      <c r="B105" s="2" t="s">
        <v>27</v>
      </c>
      <c r="C105" s="2">
        <v>1293</v>
      </c>
      <c r="D105" s="2">
        <v>408</v>
      </c>
      <c r="E105" s="2">
        <v>62535</v>
      </c>
      <c r="F105" s="2">
        <v>8.9</v>
      </c>
      <c r="G105" s="26">
        <v>37876</v>
      </c>
      <c r="H105">
        <f t="shared" si="2"/>
        <v>885</v>
      </c>
      <c r="I105" s="13">
        <f t="shared" si="3"/>
        <v>1.4152074838090669E-2</v>
      </c>
      <c r="J105" s="17">
        <f>WEEKNUM(Table4[[#This Row],[Week_Start_Date]])</f>
        <v>48</v>
      </c>
    </row>
    <row r="106" spans="1:10" ht="15.75" customHeight="1" x14ac:dyDescent="0.3">
      <c r="A106" s="2" t="s">
        <v>581</v>
      </c>
      <c r="B106" s="2" t="s">
        <v>33</v>
      </c>
      <c r="C106" s="2">
        <v>1696</v>
      </c>
      <c r="D106" s="2">
        <v>71</v>
      </c>
      <c r="E106" s="2">
        <v>421957</v>
      </c>
      <c r="F106" s="2">
        <v>3.79</v>
      </c>
      <c r="G106" s="26">
        <v>36103</v>
      </c>
      <c r="H106">
        <f t="shared" si="2"/>
        <v>1625</v>
      </c>
      <c r="I106" s="13">
        <f t="shared" si="3"/>
        <v>3.8511033114748661E-3</v>
      </c>
      <c r="J106" s="17">
        <f>WEEKNUM(Table4[[#This Row],[Week_Start_Date]])</f>
        <v>49</v>
      </c>
    </row>
    <row r="107" spans="1:10" ht="15.75" customHeight="1" x14ac:dyDescent="0.3">
      <c r="A107" s="2" t="s">
        <v>581</v>
      </c>
      <c r="B107" s="2" t="s">
        <v>43</v>
      </c>
      <c r="C107" s="2">
        <v>1902</v>
      </c>
      <c r="D107" s="2">
        <v>196</v>
      </c>
      <c r="E107" s="2">
        <v>470269</v>
      </c>
      <c r="F107" s="2">
        <v>4.79</v>
      </c>
      <c r="G107" s="26">
        <v>26103</v>
      </c>
      <c r="H107">
        <f t="shared" si="2"/>
        <v>1706</v>
      </c>
      <c r="I107" s="13">
        <f t="shared" si="3"/>
        <v>3.6277109484146308E-3</v>
      </c>
      <c r="J107" s="17">
        <f>WEEKNUM(Table4[[#This Row],[Week_Start_Date]])</f>
        <v>49</v>
      </c>
    </row>
    <row r="108" spans="1:10" ht="15.75" customHeight="1" x14ac:dyDescent="0.3">
      <c r="A108" s="2" t="s">
        <v>581</v>
      </c>
      <c r="B108" s="2" t="s">
        <v>14</v>
      </c>
      <c r="C108" s="2">
        <v>1441</v>
      </c>
      <c r="D108" s="2">
        <v>268</v>
      </c>
      <c r="E108" s="2">
        <v>309904</v>
      </c>
      <c r="F108" s="2">
        <v>6.37</v>
      </c>
      <c r="G108" s="26">
        <v>3455</v>
      </c>
      <c r="H108">
        <f t="shared" si="2"/>
        <v>1173</v>
      </c>
      <c r="I108" s="13">
        <f t="shared" si="3"/>
        <v>3.7850431101244257E-3</v>
      </c>
      <c r="J108" s="17">
        <f>WEEKNUM(Table4[[#This Row],[Week_Start_Date]])</f>
        <v>49</v>
      </c>
    </row>
    <row r="109" spans="1:10" ht="15.75" customHeight="1" x14ac:dyDescent="0.3">
      <c r="A109" s="2" t="s">
        <v>581</v>
      </c>
      <c r="B109" s="2" t="s">
        <v>27</v>
      </c>
      <c r="C109" s="2">
        <v>452</v>
      </c>
      <c r="D109" s="2">
        <v>161</v>
      </c>
      <c r="E109" s="2">
        <v>221274</v>
      </c>
      <c r="F109" s="2">
        <v>2.65</v>
      </c>
      <c r="G109" s="26">
        <v>40888</v>
      </c>
      <c r="H109">
        <f t="shared" si="2"/>
        <v>291</v>
      </c>
      <c r="I109" s="13">
        <f t="shared" si="3"/>
        <v>1.3151115811166245E-3</v>
      </c>
      <c r="J109" s="17">
        <f>WEEKNUM(Table4[[#This Row],[Week_Start_Date]])</f>
        <v>49</v>
      </c>
    </row>
    <row r="110" spans="1:10" ht="15.75" customHeight="1" x14ac:dyDescent="0.3">
      <c r="A110" s="2" t="s">
        <v>221</v>
      </c>
      <c r="B110" s="2" t="s">
        <v>33</v>
      </c>
      <c r="C110" s="2">
        <v>1494</v>
      </c>
      <c r="D110" s="2">
        <v>375</v>
      </c>
      <c r="E110" s="2">
        <v>220616</v>
      </c>
      <c r="F110" s="2">
        <v>1.81</v>
      </c>
      <c r="G110" s="26">
        <v>22724</v>
      </c>
      <c r="H110">
        <f t="shared" si="2"/>
        <v>1119</v>
      </c>
      <c r="I110" s="13">
        <f t="shared" si="3"/>
        <v>5.0721615839286359E-3</v>
      </c>
      <c r="J110" s="17">
        <f>WEEKNUM(Table4[[#This Row],[Week_Start_Date]])</f>
        <v>50</v>
      </c>
    </row>
    <row r="111" spans="1:10" ht="15.75" customHeight="1" x14ac:dyDescent="0.3">
      <c r="A111" s="2" t="s">
        <v>221</v>
      </c>
      <c r="B111" s="2" t="s">
        <v>43</v>
      </c>
      <c r="C111" s="2">
        <v>1514</v>
      </c>
      <c r="D111" s="2">
        <v>141</v>
      </c>
      <c r="E111" s="2">
        <v>35842</v>
      </c>
      <c r="F111" s="2">
        <v>7.47</v>
      </c>
      <c r="G111" s="26">
        <v>18601</v>
      </c>
      <c r="H111">
        <f t="shared" si="2"/>
        <v>1373</v>
      </c>
      <c r="I111" s="13">
        <f t="shared" si="3"/>
        <v>3.8307014117515761E-2</v>
      </c>
      <c r="J111" s="17">
        <f>WEEKNUM(Table4[[#This Row],[Week_Start_Date]])</f>
        <v>50</v>
      </c>
    </row>
    <row r="112" spans="1:10" ht="15.75" customHeight="1" x14ac:dyDescent="0.3">
      <c r="A112" s="2" t="s">
        <v>221</v>
      </c>
      <c r="B112" s="2" t="s">
        <v>14</v>
      </c>
      <c r="C112" s="2">
        <v>1937</v>
      </c>
      <c r="D112" s="2">
        <v>210</v>
      </c>
      <c r="E112" s="2">
        <v>20607</v>
      </c>
      <c r="F112" s="2">
        <v>4.2</v>
      </c>
      <c r="G112" s="26">
        <v>20861</v>
      </c>
      <c r="H112">
        <f t="shared" si="2"/>
        <v>1727</v>
      </c>
      <c r="I112" s="13">
        <f t="shared" si="3"/>
        <v>8.3806473528412681E-2</v>
      </c>
      <c r="J112" s="17">
        <f>WEEKNUM(Table4[[#This Row],[Week_Start_Date]])</f>
        <v>50</v>
      </c>
    </row>
    <row r="113" spans="1:10" ht="15.75" customHeight="1" x14ac:dyDescent="0.3">
      <c r="A113" s="2" t="s">
        <v>221</v>
      </c>
      <c r="B113" s="2" t="s">
        <v>27</v>
      </c>
      <c r="C113" s="2">
        <v>736</v>
      </c>
      <c r="D113" s="2">
        <v>163</v>
      </c>
      <c r="E113" s="2">
        <v>451894</v>
      </c>
      <c r="F113" s="2">
        <v>5.43</v>
      </c>
      <c r="G113" s="26">
        <v>46625</v>
      </c>
      <c r="H113">
        <f t="shared" si="2"/>
        <v>573</v>
      </c>
      <c r="I113" s="13">
        <f t="shared" si="3"/>
        <v>1.2679964770499277E-3</v>
      </c>
      <c r="J113" s="17">
        <f>WEEKNUM(Table4[[#This Row],[Week_Start_Date]])</f>
        <v>50</v>
      </c>
    </row>
    <row r="114" spans="1:10" ht="15.75" customHeight="1" x14ac:dyDescent="0.3">
      <c r="A114" s="2" t="s">
        <v>112</v>
      </c>
      <c r="B114" s="2" t="s">
        <v>33</v>
      </c>
      <c r="C114" s="2">
        <v>1502</v>
      </c>
      <c r="D114" s="2">
        <v>70</v>
      </c>
      <c r="E114" s="2">
        <v>465553</v>
      </c>
      <c r="F114" s="2">
        <v>3.32</v>
      </c>
      <c r="G114" s="26">
        <v>20692</v>
      </c>
      <c r="H114">
        <f t="shared" si="2"/>
        <v>1432</v>
      </c>
      <c r="I114" s="13">
        <f t="shared" si="3"/>
        <v>3.0759118725472716E-3</v>
      </c>
      <c r="J114" s="17">
        <f>WEEKNUM(Table4[[#This Row],[Week_Start_Date]])</f>
        <v>51</v>
      </c>
    </row>
    <row r="115" spans="1:10" ht="15.75" customHeight="1" x14ac:dyDescent="0.3">
      <c r="A115" s="2" t="s">
        <v>112</v>
      </c>
      <c r="B115" s="2" t="s">
        <v>43</v>
      </c>
      <c r="C115" s="2">
        <v>1623</v>
      </c>
      <c r="D115" s="2">
        <v>246</v>
      </c>
      <c r="E115" s="2">
        <v>415815</v>
      </c>
      <c r="F115" s="2">
        <v>8.11</v>
      </c>
      <c r="G115" s="26">
        <v>18656</v>
      </c>
      <c r="H115">
        <f t="shared" si="2"/>
        <v>1377</v>
      </c>
      <c r="I115" s="13">
        <f t="shared" si="3"/>
        <v>3.311568846722701E-3</v>
      </c>
      <c r="J115" s="17">
        <f>WEEKNUM(Table4[[#This Row],[Week_Start_Date]])</f>
        <v>51</v>
      </c>
    </row>
    <row r="116" spans="1:10" ht="15.75" customHeight="1" x14ac:dyDescent="0.3">
      <c r="A116" s="2" t="s">
        <v>112</v>
      </c>
      <c r="B116" s="2" t="s">
        <v>14</v>
      </c>
      <c r="C116" s="2">
        <v>1592</v>
      </c>
      <c r="D116" s="2">
        <v>233</v>
      </c>
      <c r="E116" s="2">
        <v>327183</v>
      </c>
      <c r="F116" s="2">
        <v>6.66</v>
      </c>
      <c r="G116" s="26">
        <v>13316</v>
      </c>
      <c r="H116">
        <f t="shared" si="2"/>
        <v>1359</v>
      </c>
      <c r="I116" s="13">
        <f t="shared" si="3"/>
        <v>4.1536387893013997E-3</v>
      </c>
      <c r="J116" s="17">
        <f>WEEKNUM(Table4[[#This Row],[Week_Start_Date]])</f>
        <v>51</v>
      </c>
    </row>
    <row r="117" spans="1:10" ht="15.75" customHeight="1" x14ac:dyDescent="0.3">
      <c r="A117" s="2" t="s">
        <v>112</v>
      </c>
      <c r="B117" s="2" t="s">
        <v>27</v>
      </c>
      <c r="C117" s="2">
        <v>1004</v>
      </c>
      <c r="D117" s="2">
        <v>128</v>
      </c>
      <c r="E117" s="2">
        <v>488901</v>
      </c>
      <c r="F117" s="2">
        <v>8.09</v>
      </c>
      <c r="G117" s="26">
        <v>49558</v>
      </c>
      <c r="H117">
        <f t="shared" si="2"/>
        <v>876</v>
      </c>
      <c r="I117" s="13">
        <f t="shared" si="3"/>
        <v>1.7917737946946315E-3</v>
      </c>
      <c r="J117" s="17">
        <f>WEEKNUM(Table4[[#This Row],[Week_Start_Date]])</f>
        <v>51</v>
      </c>
    </row>
    <row r="118" spans="1:10" ht="15.75" customHeight="1" x14ac:dyDescent="0.3">
      <c r="A118" s="2" t="s">
        <v>15</v>
      </c>
      <c r="B118" s="2" t="s">
        <v>33</v>
      </c>
      <c r="C118" s="2">
        <v>1092</v>
      </c>
      <c r="D118" s="2">
        <v>408</v>
      </c>
      <c r="E118" s="2">
        <v>280795</v>
      </c>
      <c r="F118" s="2">
        <v>8.44</v>
      </c>
      <c r="G118" s="26">
        <v>4683</v>
      </c>
      <c r="H118">
        <f t="shared" si="2"/>
        <v>684</v>
      </c>
      <c r="I118" s="13">
        <f t="shared" si="3"/>
        <v>2.4359408109118751E-3</v>
      </c>
      <c r="J118" s="17">
        <f>WEEKNUM(Table4[[#This Row],[Week_Start_Date]])</f>
        <v>52</v>
      </c>
    </row>
    <row r="119" spans="1:10" ht="15.75" customHeight="1" x14ac:dyDescent="0.3">
      <c r="A119" s="2" t="s">
        <v>15</v>
      </c>
      <c r="B119" s="2" t="s">
        <v>43</v>
      </c>
      <c r="C119" s="2">
        <v>1155</v>
      </c>
      <c r="D119" s="2">
        <v>425</v>
      </c>
      <c r="E119" s="2">
        <v>93347</v>
      </c>
      <c r="F119" s="2">
        <v>2.02</v>
      </c>
      <c r="G119" s="26">
        <v>47502</v>
      </c>
      <c r="H119">
        <f t="shared" si="2"/>
        <v>730</v>
      </c>
      <c r="I119" s="13">
        <f t="shared" si="3"/>
        <v>7.8202834584935772E-3</v>
      </c>
      <c r="J119" s="17">
        <f>WEEKNUM(Table4[[#This Row],[Week_Start_Date]])</f>
        <v>52</v>
      </c>
    </row>
    <row r="120" spans="1:10" ht="15.75" customHeight="1" x14ac:dyDescent="0.3">
      <c r="A120" s="2" t="s">
        <v>15</v>
      </c>
      <c r="B120" s="2" t="s">
        <v>14</v>
      </c>
      <c r="C120" s="2">
        <v>1137</v>
      </c>
      <c r="D120" s="2">
        <v>226</v>
      </c>
      <c r="E120" s="2">
        <v>81119</v>
      </c>
      <c r="F120" s="2">
        <v>7.74</v>
      </c>
      <c r="G120" s="26">
        <v>35359</v>
      </c>
      <c r="H120">
        <f t="shared" si="2"/>
        <v>911</v>
      </c>
      <c r="I120" s="13">
        <f t="shared" si="3"/>
        <v>1.1230414576116569E-2</v>
      </c>
      <c r="J120" s="17">
        <f>WEEKNUM(Table4[[#This Row],[Week_Start_Date]])</f>
        <v>52</v>
      </c>
    </row>
    <row r="121" spans="1:10" ht="15.75" customHeight="1" x14ac:dyDescent="0.3">
      <c r="A121" s="2" t="s">
        <v>15</v>
      </c>
      <c r="B121" s="2" t="s">
        <v>27</v>
      </c>
      <c r="C121" s="2">
        <v>1900</v>
      </c>
      <c r="D121" s="2">
        <v>311</v>
      </c>
      <c r="E121" s="2">
        <v>25177</v>
      </c>
      <c r="F121" s="2">
        <v>2.89</v>
      </c>
      <c r="G121" s="26">
        <v>14154</v>
      </c>
      <c r="H121">
        <f t="shared" si="2"/>
        <v>1589</v>
      </c>
      <c r="I121" s="13">
        <f t="shared" si="3"/>
        <v>6.3113158835445049E-2</v>
      </c>
      <c r="J121" s="17">
        <f>WEEKNUM(Table4[[#This Row],[Week_Start_Date]])</f>
        <v>52</v>
      </c>
    </row>
    <row r="122" spans="1:10" ht="15.75" customHeight="1" x14ac:dyDescent="0.3">
      <c r="A122" s="2" t="s">
        <v>582</v>
      </c>
      <c r="B122" s="2" t="s">
        <v>33</v>
      </c>
      <c r="C122" s="2">
        <v>1814</v>
      </c>
      <c r="D122" s="2">
        <v>49</v>
      </c>
      <c r="E122" s="2">
        <v>140804</v>
      </c>
      <c r="F122" s="2">
        <v>1.76</v>
      </c>
      <c r="G122" s="26">
        <v>4313</v>
      </c>
      <c r="H122">
        <f t="shared" si="2"/>
        <v>1765</v>
      </c>
      <c r="I122" s="13">
        <f t="shared" si="3"/>
        <v>1.253515525127127E-2</v>
      </c>
      <c r="J122" s="17">
        <f>WEEKNUM(Table4[[#This Row],[Week_Start_Date]])</f>
        <v>53</v>
      </c>
    </row>
    <row r="123" spans="1:10" ht="15.75" customHeight="1" x14ac:dyDescent="0.3">
      <c r="A123" s="2" t="s">
        <v>582</v>
      </c>
      <c r="B123" s="2" t="s">
        <v>43</v>
      </c>
      <c r="C123" s="2">
        <v>1980</v>
      </c>
      <c r="D123" s="2">
        <v>204</v>
      </c>
      <c r="E123" s="2">
        <v>379431</v>
      </c>
      <c r="F123" s="2">
        <v>3.09</v>
      </c>
      <c r="G123" s="26">
        <v>25140</v>
      </c>
      <c r="H123">
        <f t="shared" si="2"/>
        <v>1776</v>
      </c>
      <c r="I123" s="13">
        <f t="shared" si="3"/>
        <v>4.6806929323118035E-3</v>
      </c>
      <c r="J123" s="17">
        <f>WEEKNUM(Table4[[#This Row],[Week_Start_Date]])</f>
        <v>53</v>
      </c>
    </row>
    <row r="124" spans="1:10" ht="15.75" customHeight="1" x14ac:dyDescent="0.3">
      <c r="A124" s="2" t="s">
        <v>582</v>
      </c>
      <c r="B124" s="2" t="s">
        <v>14</v>
      </c>
      <c r="C124" s="2">
        <v>1786</v>
      </c>
      <c r="D124" s="2">
        <v>257</v>
      </c>
      <c r="E124" s="2">
        <v>274831</v>
      </c>
      <c r="F124" s="2">
        <v>4.68</v>
      </c>
      <c r="G124" s="26">
        <v>9118</v>
      </c>
      <c r="H124">
        <f t="shared" si="2"/>
        <v>1529</v>
      </c>
      <c r="I124" s="13">
        <f t="shared" si="3"/>
        <v>5.5634189738421064E-3</v>
      </c>
      <c r="J124" s="17">
        <f>WEEKNUM(Table4[[#This Row],[Week_Start_Date]])</f>
        <v>53</v>
      </c>
    </row>
    <row r="125" spans="1:10" ht="15.75" customHeight="1" x14ac:dyDescent="0.3">
      <c r="A125" s="2" t="s">
        <v>582</v>
      </c>
      <c r="B125" s="2" t="s">
        <v>27</v>
      </c>
      <c r="C125" s="2">
        <v>1495</v>
      </c>
      <c r="D125" s="2">
        <v>35</v>
      </c>
      <c r="E125" s="2">
        <v>136845</v>
      </c>
      <c r="F125" s="2">
        <v>4.4800000000000004</v>
      </c>
      <c r="G125" s="26">
        <v>39931</v>
      </c>
      <c r="H125">
        <f t="shared" si="2"/>
        <v>1460</v>
      </c>
      <c r="I125" s="13">
        <f t="shared" si="3"/>
        <v>1.0669005078738719E-2</v>
      </c>
      <c r="J125" s="17">
        <f>WEEKNUM(Table4[[#This Row],[Week_Start_Date]])</f>
        <v>53</v>
      </c>
    </row>
    <row r="126" spans="1:10" ht="15.75" customHeight="1" x14ac:dyDescent="0.3">
      <c r="A126" s="2" t="s">
        <v>125</v>
      </c>
      <c r="B126" s="2" t="s">
        <v>33</v>
      </c>
      <c r="C126" s="2">
        <v>1013</v>
      </c>
      <c r="D126" s="2">
        <v>110</v>
      </c>
      <c r="E126" s="2">
        <v>466382</v>
      </c>
      <c r="F126" s="2">
        <v>5.3</v>
      </c>
      <c r="G126" s="26">
        <v>37132</v>
      </c>
      <c r="H126">
        <f t="shared" si="2"/>
        <v>903</v>
      </c>
      <c r="I126" s="13">
        <f t="shared" si="3"/>
        <v>1.9361810704529763E-3</v>
      </c>
      <c r="J126" s="17">
        <f>WEEKNUM(Table4[[#This Row],[Week_Start_Date]])</f>
        <v>2</v>
      </c>
    </row>
    <row r="127" spans="1:10" ht="15.75" customHeight="1" x14ac:dyDescent="0.3">
      <c r="A127" s="2" t="s">
        <v>125</v>
      </c>
      <c r="B127" s="2" t="s">
        <v>43</v>
      </c>
      <c r="C127" s="2">
        <v>816</v>
      </c>
      <c r="D127" s="2">
        <v>196</v>
      </c>
      <c r="E127" s="2">
        <v>95728</v>
      </c>
      <c r="F127" s="2">
        <v>8.1999999999999993</v>
      </c>
      <c r="G127" s="26">
        <v>17951</v>
      </c>
      <c r="H127">
        <f t="shared" si="2"/>
        <v>620</v>
      </c>
      <c r="I127" s="13">
        <f t="shared" si="3"/>
        <v>6.4766839378238338E-3</v>
      </c>
      <c r="J127" s="17">
        <f>WEEKNUM(Table4[[#This Row],[Week_Start_Date]])</f>
        <v>2</v>
      </c>
    </row>
    <row r="128" spans="1:10" ht="15.75" customHeight="1" x14ac:dyDescent="0.3">
      <c r="A128" s="2" t="s">
        <v>125</v>
      </c>
      <c r="B128" s="2" t="s">
        <v>14</v>
      </c>
      <c r="C128" s="2">
        <v>1633</v>
      </c>
      <c r="D128" s="2">
        <v>445</v>
      </c>
      <c r="E128" s="2">
        <v>371156</v>
      </c>
      <c r="F128" s="2">
        <v>2.2200000000000002</v>
      </c>
      <c r="G128" s="26">
        <v>2798</v>
      </c>
      <c r="H128">
        <f t="shared" si="2"/>
        <v>1188</v>
      </c>
      <c r="I128" s="13">
        <f t="shared" si="3"/>
        <v>3.2008104408927781E-3</v>
      </c>
      <c r="J128" s="17">
        <f>WEEKNUM(Table4[[#This Row],[Week_Start_Date]])</f>
        <v>2</v>
      </c>
    </row>
    <row r="129" spans="1:10" ht="15.75" customHeight="1" x14ac:dyDescent="0.3">
      <c r="A129" s="2" t="s">
        <v>125</v>
      </c>
      <c r="B129" s="2" t="s">
        <v>27</v>
      </c>
      <c r="C129" s="2">
        <v>891</v>
      </c>
      <c r="D129" s="2">
        <v>45</v>
      </c>
      <c r="E129" s="2">
        <v>95410</v>
      </c>
      <c r="F129" s="2">
        <v>8.33</v>
      </c>
      <c r="G129" s="26">
        <v>15045</v>
      </c>
      <c r="H129">
        <f t="shared" si="2"/>
        <v>846</v>
      </c>
      <c r="I129" s="13">
        <f t="shared" si="3"/>
        <v>8.8669950738916262E-3</v>
      </c>
      <c r="J129" s="17">
        <f>WEEKNUM(Table4[[#This Row],[Week_Start_Date]])</f>
        <v>2</v>
      </c>
    </row>
    <row r="130" spans="1:10" ht="15.75" customHeight="1" x14ac:dyDescent="0.3">
      <c r="A130" s="2" t="s">
        <v>583</v>
      </c>
      <c r="B130" s="2" t="s">
        <v>33</v>
      </c>
      <c r="C130" s="2">
        <v>1855</v>
      </c>
      <c r="D130" s="2">
        <v>133</v>
      </c>
      <c r="E130" s="2">
        <v>349413</v>
      </c>
      <c r="F130" s="2">
        <v>3.3</v>
      </c>
      <c r="G130" s="26">
        <v>14548</v>
      </c>
      <c r="H130">
        <f t="shared" si="2"/>
        <v>1722</v>
      </c>
      <c r="I130" s="13">
        <f t="shared" si="3"/>
        <v>4.9282654051223049E-3</v>
      </c>
      <c r="J130" s="17">
        <f>WEEKNUM(Table4[[#This Row],[Week_Start_Date]])</f>
        <v>3</v>
      </c>
    </row>
    <row r="131" spans="1:10" ht="15.75" customHeight="1" x14ac:dyDescent="0.3">
      <c r="A131" s="2" t="s">
        <v>583</v>
      </c>
      <c r="B131" s="2" t="s">
        <v>43</v>
      </c>
      <c r="C131" s="2">
        <v>651</v>
      </c>
      <c r="D131" s="2">
        <v>353</v>
      </c>
      <c r="E131" s="2">
        <v>224699</v>
      </c>
      <c r="F131" s="2">
        <v>5.61</v>
      </c>
      <c r="G131" s="26">
        <v>45708</v>
      </c>
      <c r="H131">
        <f t="shared" ref="H131:H194" si="4">C131-D131</f>
        <v>298</v>
      </c>
      <c r="I131" s="13">
        <f t="shared" ref="I131:I194" si="5">(C131-D131)/E131</f>
        <v>1.3262186302564765E-3</v>
      </c>
      <c r="J131" s="17">
        <f>WEEKNUM(Table4[[#This Row],[Week_Start_Date]])</f>
        <v>3</v>
      </c>
    </row>
    <row r="132" spans="1:10" ht="15.75" customHeight="1" x14ac:dyDescent="0.3">
      <c r="A132" s="2" t="s">
        <v>583</v>
      </c>
      <c r="B132" s="2" t="s">
        <v>14</v>
      </c>
      <c r="C132" s="2">
        <v>118</v>
      </c>
      <c r="D132" s="2">
        <v>262</v>
      </c>
      <c r="E132" s="2">
        <v>487896</v>
      </c>
      <c r="F132" s="2">
        <v>2.56</v>
      </c>
      <c r="G132" s="26">
        <v>12350</v>
      </c>
      <c r="H132">
        <f t="shared" si="4"/>
        <v>-144</v>
      </c>
      <c r="I132" s="13">
        <f t="shared" si="5"/>
        <v>-2.9514486693885583E-4</v>
      </c>
      <c r="J132" s="17">
        <f>WEEKNUM(Table4[[#This Row],[Week_Start_Date]])</f>
        <v>3</v>
      </c>
    </row>
    <row r="133" spans="1:10" ht="15.75" customHeight="1" x14ac:dyDescent="0.3">
      <c r="A133" s="2" t="s">
        <v>583</v>
      </c>
      <c r="B133" s="2" t="s">
        <v>27</v>
      </c>
      <c r="C133" s="2">
        <v>1331</v>
      </c>
      <c r="D133" s="2">
        <v>430</v>
      </c>
      <c r="E133" s="2">
        <v>14437</v>
      </c>
      <c r="F133" s="2">
        <v>3.29</v>
      </c>
      <c r="G133" s="26">
        <v>40868</v>
      </c>
      <c r="H133">
        <f t="shared" si="4"/>
        <v>901</v>
      </c>
      <c r="I133" s="13">
        <f t="shared" si="5"/>
        <v>6.2409087760615087E-2</v>
      </c>
      <c r="J133" s="17">
        <f>WEEKNUM(Table4[[#This Row],[Week_Start_Date]])</f>
        <v>3</v>
      </c>
    </row>
    <row r="134" spans="1:10" ht="15.75" customHeight="1" x14ac:dyDescent="0.3">
      <c r="A134" s="2" t="s">
        <v>584</v>
      </c>
      <c r="B134" s="2" t="s">
        <v>33</v>
      </c>
      <c r="C134" s="2">
        <v>1748</v>
      </c>
      <c r="D134" s="2">
        <v>176</v>
      </c>
      <c r="E134" s="2">
        <v>383681</v>
      </c>
      <c r="F134" s="2">
        <v>9.24</v>
      </c>
      <c r="G134" s="26">
        <v>43122</v>
      </c>
      <c r="H134">
        <f t="shared" si="4"/>
        <v>1572</v>
      </c>
      <c r="I134" s="13">
        <f t="shared" si="5"/>
        <v>4.0971536250166149E-3</v>
      </c>
      <c r="J134" s="17">
        <f>WEEKNUM(Table4[[#This Row],[Week_Start_Date]])</f>
        <v>4</v>
      </c>
    </row>
    <row r="135" spans="1:10" ht="15.75" customHeight="1" x14ac:dyDescent="0.3">
      <c r="A135" s="2" t="s">
        <v>584</v>
      </c>
      <c r="B135" s="2" t="s">
        <v>43</v>
      </c>
      <c r="C135" s="2">
        <v>663</v>
      </c>
      <c r="D135" s="2">
        <v>236</v>
      </c>
      <c r="E135" s="2">
        <v>479490</v>
      </c>
      <c r="F135" s="2">
        <v>4.51</v>
      </c>
      <c r="G135" s="26">
        <v>23853</v>
      </c>
      <c r="H135">
        <f t="shared" si="4"/>
        <v>427</v>
      </c>
      <c r="I135" s="13">
        <f t="shared" si="5"/>
        <v>8.9052952094934197E-4</v>
      </c>
      <c r="J135" s="17">
        <f>WEEKNUM(Table4[[#This Row],[Week_Start_Date]])</f>
        <v>4</v>
      </c>
    </row>
    <row r="136" spans="1:10" ht="15.75" customHeight="1" x14ac:dyDescent="0.3">
      <c r="A136" s="2" t="s">
        <v>584</v>
      </c>
      <c r="B136" s="2" t="s">
        <v>14</v>
      </c>
      <c r="C136" s="2">
        <v>1040</v>
      </c>
      <c r="D136" s="2">
        <v>149</v>
      </c>
      <c r="E136" s="2">
        <v>124404</v>
      </c>
      <c r="F136" s="2">
        <v>5.23</v>
      </c>
      <c r="G136" s="26">
        <v>45380</v>
      </c>
      <c r="H136">
        <f t="shared" si="4"/>
        <v>891</v>
      </c>
      <c r="I136" s="13">
        <f t="shared" si="5"/>
        <v>7.1621491270377159E-3</v>
      </c>
      <c r="J136" s="17">
        <f>WEEKNUM(Table4[[#This Row],[Week_Start_Date]])</f>
        <v>4</v>
      </c>
    </row>
    <row r="137" spans="1:10" ht="15.75" customHeight="1" x14ac:dyDescent="0.3">
      <c r="A137" s="2" t="s">
        <v>584</v>
      </c>
      <c r="B137" s="2" t="s">
        <v>27</v>
      </c>
      <c r="C137" s="2">
        <v>1166</v>
      </c>
      <c r="D137" s="2">
        <v>442</v>
      </c>
      <c r="E137" s="2">
        <v>336949</v>
      </c>
      <c r="F137" s="2">
        <v>4.68</v>
      </c>
      <c r="G137" s="26">
        <v>7705</v>
      </c>
      <c r="H137">
        <f t="shared" si="4"/>
        <v>724</v>
      </c>
      <c r="I137" s="13">
        <f t="shared" si="5"/>
        <v>2.1486931256659019E-3</v>
      </c>
      <c r="J137" s="17">
        <f>WEEKNUM(Table4[[#This Row],[Week_Start_Date]])</f>
        <v>4</v>
      </c>
    </row>
    <row r="138" spans="1:10" ht="15.75" customHeight="1" x14ac:dyDescent="0.3">
      <c r="A138" s="2" t="s">
        <v>224</v>
      </c>
      <c r="B138" s="2" t="s">
        <v>33</v>
      </c>
      <c r="C138" s="2">
        <v>115</v>
      </c>
      <c r="D138" s="2">
        <v>281</v>
      </c>
      <c r="E138" s="2">
        <v>357265</v>
      </c>
      <c r="F138" s="2">
        <v>9.23</v>
      </c>
      <c r="G138" s="26">
        <v>25525</v>
      </c>
      <c r="H138">
        <f t="shared" si="4"/>
        <v>-166</v>
      </c>
      <c r="I138" s="13">
        <f t="shared" si="5"/>
        <v>-4.6464109274628077E-4</v>
      </c>
      <c r="J138" s="17">
        <f>WEEKNUM(Table4[[#This Row],[Week_Start_Date]])</f>
        <v>5</v>
      </c>
    </row>
    <row r="139" spans="1:10" ht="15.75" customHeight="1" x14ac:dyDescent="0.3">
      <c r="A139" s="2" t="s">
        <v>224</v>
      </c>
      <c r="B139" s="2" t="s">
        <v>43</v>
      </c>
      <c r="C139" s="2">
        <v>1249</v>
      </c>
      <c r="D139" s="2">
        <v>351</v>
      </c>
      <c r="E139" s="2">
        <v>321307</v>
      </c>
      <c r="F139" s="2">
        <v>6.37</v>
      </c>
      <c r="G139" s="26">
        <v>20560</v>
      </c>
      <c r="H139">
        <f t="shared" si="4"/>
        <v>898</v>
      </c>
      <c r="I139" s="13">
        <f t="shared" si="5"/>
        <v>2.7948348464241365E-3</v>
      </c>
      <c r="J139" s="17">
        <f>WEEKNUM(Table4[[#This Row],[Week_Start_Date]])</f>
        <v>5</v>
      </c>
    </row>
    <row r="140" spans="1:10" ht="15.75" customHeight="1" x14ac:dyDescent="0.3">
      <c r="A140" s="2" t="s">
        <v>224</v>
      </c>
      <c r="B140" s="2" t="s">
        <v>14</v>
      </c>
      <c r="C140" s="2">
        <v>1501</v>
      </c>
      <c r="D140" s="2">
        <v>75</v>
      </c>
      <c r="E140" s="2">
        <v>262569</v>
      </c>
      <c r="F140" s="2">
        <v>2.0099999999999998</v>
      </c>
      <c r="G140" s="26">
        <v>19119</v>
      </c>
      <c r="H140">
        <f t="shared" si="4"/>
        <v>1426</v>
      </c>
      <c r="I140" s="13">
        <f t="shared" si="5"/>
        <v>5.4309533874905263E-3</v>
      </c>
      <c r="J140" s="17">
        <f>WEEKNUM(Table4[[#This Row],[Week_Start_Date]])</f>
        <v>5</v>
      </c>
    </row>
    <row r="141" spans="1:10" ht="15.75" customHeight="1" x14ac:dyDescent="0.3">
      <c r="A141" s="2" t="s">
        <v>224</v>
      </c>
      <c r="B141" s="2" t="s">
        <v>27</v>
      </c>
      <c r="C141" s="2">
        <v>1411</v>
      </c>
      <c r="D141" s="2">
        <v>186</v>
      </c>
      <c r="E141" s="2">
        <v>461669</v>
      </c>
      <c r="F141" s="2">
        <v>3.72</v>
      </c>
      <c r="G141" s="26">
        <v>43999</v>
      </c>
      <c r="H141">
        <f t="shared" si="4"/>
        <v>1225</v>
      </c>
      <c r="I141" s="13">
        <f t="shared" si="5"/>
        <v>2.6534161921203288E-3</v>
      </c>
      <c r="J141" s="17">
        <f>WEEKNUM(Table4[[#This Row],[Week_Start_Date]])</f>
        <v>5</v>
      </c>
    </row>
    <row r="142" spans="1:10" ht="15.75" customHeight="1" x14ac:dyDescent="0.3">
      <c r="A142" s="2" t="s">
        <v>585</v>
      </c>
      <c r="B142" s="2" t="s">
        <v>33</v>
      </c>
      <c r="C142" s="2">
        <v>1556</v>
      </c>
      <c r="D142" s="2">
        <v>476</v>
      </c>
      <c r="E142" s="2">
        <v>351556</v>
      </c>
      <c r="F142" s="2">
        <v>3.89</v>
      </c>
      <c r="G142" s="26">
        <v>10825</v>
      </c>
      <c r="H142">
        <f t="shared" si="4"/>
        <v>1080</v>
      </c>
      <c r="I142" s="13">
        <f t="shared" si="5"/>
        <v>3.0720567989168156E-3</v>
      </c>
      <c r="J142" s="17">
        <f>WEEKNUM(Table4[[#This Row],[Week_Start_Date]])</f>
        <v>6</v>
      </c>
    </row>
    <row r="143" spans="1:10" ht="15.75" customHeight="1" x14ac:dyDescent="0.3">
      <c r="A143" s="2" t="s">
        <v>585</v>
      </c>
      <c r="B143" s="2" t="s">
        <v>43</v>
      </c>
      <c r="C143" s="2">
        <v>1159</v>
      </c>
      <c r="D143" s="2">
        <v>411</v>
      </c>
      <c r="E143" s="2">
        <v>135987</v>
      </c>
      <c r="F143" s="2">
        <v>8.6999999999999993</v>
      </c>
      <c r="G143" s="26">
        <v>40323</v>
      </c>
      <c r="H143">
        <f t="shared" si="4"/>
        <v>748</v>
      </c>
      <c r="I143" s="13">
        <f t="shared" si="5"/>
        <v>5.5005257855530306E-3</v>
      </c>
      <c r="J143" s="17">
        <f>WEEKNUM(Table4[[#This Row],[Week_Start_Date]])</f>
        <v>6</v>
      </c>
    </row>
    <row r="144" spans="1:10" ht="15.75" customHeight="1" x14ac:dyDescent="0.3">
      <c r="A144" s="2" t="s">
        <v>585</v>
      </c>
      <c r="B144" s="2" t="s">
        <v>14</v>
      </c>
      <c r="C144" s="2">
        <v>927</v>
      </c>
      <c r="D144" s="2">
        <v>358</v>
      </c>
      <c r="E144" s="2">
        <v>177554</v>
      </c>
      <c r="F144" s="2">
        <v>6.95</v>
      </c>
      <c r="G144" s="26">
        <v>48270</v>
      </c>
      <c r="H144">
        <f t="shared" si="4"/>
        <v>569</v>
      </c>
      <c r="I144" s="13">
        <f t="shared" si="5"/>
        <v>3.2046588643454949E-3</v>
      </c>
      <c r="J144" s="17">
        <f>WEEKNUM(Table4[[#This Row],[Week_Start_Date]])</f>
        <v>6</v>
      </c>
    </row>
    <row r="145" spans="1:10" ht="15.75" customHeight="1" x14ac:dyDescent="0.3">
      <c r="A145" s="2" t="s">
        <v>585</v>
      </c>
      <c r="B145" s="2" t="s">
        <v>27</v>
      </c>
      <c r="C145" s="2">
        <v>152</v>
      </c>
      <c r="D145" s="2">
        <v>355</v>
      </c>
      <c r="E145" s="2">
        <v>270766</v>
      </c>
      <c r="F145" s="2">
        <v>9.48</v>
      </c>
      <c r="G145" s="26">
        <v>18001</v>
      </c>
      <c r="H145">
        <f t="shared" si="4"/>
        <v>-203</v>
      </c>
      <c r="I145" s="13">
        <f t="shared" si="5"/>
        <v>-7.4972485467156139E-4</v>
      </c>
      <c r="J145" s="17">
        <f>WEEKNUM(Table4[[#This Row],[Week_Start_Date]])</f>
        <v>6</v>
      </c>
    </row>
    <row r="146" spans="1:10" ht="15.75" customHeight="1" x14ac:dyDescent="0.3">
      <c r="A146" s="2" t="s">
        <v>249</v>
      </c>
      <c r="B146" s="2" t="s">
        <v>33</v>
      </c>
      <c r="C146" s="2">
        <v>1957</v>
      </c>
      <c r="D146" s="2">
        <v>234</v>
      </c>
      <c r="E146" s="2">
        <v>222126</v>
      </c>
      <c r="F146" s="2">
        <v>4.6100000000000003</v>
      </c>
      <c r="G146" s="26">
        <v>3314</v>
      </c>
      <c r="H146">
        <f t="shared" si="4"/>
        <v>1723</v>
      </c>
      <c r="I146" s="13">
        <f t="shared" si="5"/>
        <v>7.7568587198256845E-3</v>
      </c>
      <c r="J146" s="17">
        <f>WEEKNUM(Table4[[#This Row],[Week_Start_Date]])</f>
        <v>7</v>
      </c>
    </row>
    <row r="147" spans="1:10" ht="15.75" customHeight="1" x14ac:dyDescent="0.3">
      <c r="A147" s="2" t="s">
        <v>249</v>
      </c>
      <c r="B147" s="2" t="s">
        <v>43</v>
      </c>
      <c r="C147" s="2">
        <v>1294</v>
      </c>
      <c r="D147" s="2">
        <v>382</v>
      </c>
      <c r="E147" s="2">
        <v>309914</v>
      </c>
      <c r="F147" s="2">
        <v>8.0299999999999994</v>
      </c>
      <c r="G147" s="26">
        <v>23489</v>
      </c>
      <c r="H147">
        <f t="shared" si="4"/>
        <v>912</v>
      </c>
      <c r="I147" s="13">
        <f t="shared" si="5"/>
        <v>2.9427518601934728E-3</v>
      </c>
      <c r="J147" s="17">
        <f>WEEKNUM(Table4[[#This Row],[Week_Start_Date]])</f>
        <v>7</v>
      </c>
    </row>
    <row r="148" spans="1:10" ht="15.75" customHeight="1" x14ac:dyDescent="0.3">
      <c r="A148" s="2" t="s">
        <v>249</v>
      </c>
      <c r="B148" s="2" t="s">
        <v>14</v>
      </c>
      <c r="C148" s="2">
        <v>1587</v>
      </c>
      <c r="D148" s="2">
        <v>385</v>
      </c>
      <c r="E148" s="2">
        <v>126582</v>
      </c>
      <c r="F148" s="2">
        <v>6.99</v>
      </c>
      <c r="G148" s="26">
        <v>42832</v>
      </c>
      <c r="H148">
        <f t="shared" si="4"/>
        <v>1202</v>
      </c>
      <c r="I148" s="13">
        <f t="shared" si="5"/>
        <v>9.4958208908059605E-3</v>
      </c>
      <c r="J148" s="17">
        <f>WEEKNUM(Table4[[#This Row],[Week_Start_Date]])</f>
        <v>7</v>
      </c>
    </row>
    <row r="149" spans="1:10" ht="15.75" customHeight="1" x14ac:dyDescent="0.3">
      <c r="A149" s="2" t="s">
        <v>249</v>
      </c>
      <c r="B149" s="2" t="s">
        <v>27</v>
      </c>
      <c r="C149" s="2">
        <v>1707</v>
      </c>
      <c r="D149" s="2">
        <v>263</v>
      </c>
      <c r="E149" s="2">
        <v>485280</v>
      </c>
      <c r="F149" s="2">
        <v>9.0299999999999994</v>
      </c>
      <c r="G149" s="26">
        <v>24494</v>
      </c>
      <c r="H149">
        <f t="shared" si="4"/>
        <v>1444</v>
      </c>
      <c r="I149" s="13">
        <f t="shared" si="5"/>
        <v>2.9756017144741179E-3</v>
      </c>
      <c r="J149" s="17">
        <f>WEEKNUM(Table4[[#This Row],[Week_Start_Date]])</f>
        <v>7</v>
      </c>
    </row>
    <row r="150" spans="1:10" ht="15.75" customHeight="1" x14ac:dyDescent="0.3">
      <c r="A150" s="2" t="s">
        <v>127</v>
      </c>
      <c r="B150" s="2" t="s">
        <v>33</v>
      </c>
      <c r="C150" s="2">
        <v>1138</v>
      </c>
      <c r="D150" s="2">
        <v>173</v>
      </c>
      <c r="E150" s="2">
        <v>453243</v>
      </c>
      <c r="F150" s="2">
        <v>2.86</v>
      </c>
      <c r="G150" s="26">
        <v>44097</v>
      </c>
      <c r="H150">
        <f t="shared" si="4"/>
        <v>965</v>
      </c>
      <c r="I150" s="13">
        <f t="shared" si="5"/>
        <v>2.1291007252180398E-3</v>
      </c>
      <c r="J150" s="17">
        <f>WEEKNUM(Table4[[#This Row],[Week_Start_Date]])</f>
        <v>8</v>
      </c>
    </row>
    <row r="151" spans="1:10" ht="15.75" customHeight="1" x14ac:dyDescent="0.3">
      <c r="A151" s="2" t="s">
        <v>127</v>
      </c>
      <c r="B151" s="2" t="s">
        <v>43</v>
      </c>
      <c r="C151" s="2">
        <v>1895</v>
      </c>
      <c r="D151" s="2">
        <v>305</v>
      </c>
      <c r="E151" s="2">
        <v>104967</v>
      </c>
      <c r="F151" s="2">
        <v>3.85</v>
      </c>
      <c r="G151" s="26">
        <v>31853</v>
      </c>
      <c r="H151">
        <f t="shared" si="4"/>
        <v>1590</v>
      </c>
      <c r="I151" s="13">
        <f t="shared" si="5"/>
        <v>1.5147617822744291E-2</v>
      </c>
      <c r="J151" s="17">
        <f>WEEKNUM(Table4[[#This Row],[Week_Start_Date]])</f>
        <v>8</v>
      </c>
    </row>
    <row r="152" spans="1:10" ht="15.75" customHeight="1" x14ac:dyDescent="0.3">
      <c r="A152" s="2" t="s">
        <v>127</v>
      </c>
      <c r="B152" s="2" t="s">
        <v>14</v>
      </c>
      <c r="C152" s="2">
        <v>362</v>
      </c>
      <c r="D152" s="2">
        <v>399</v>
      </c>
      <c r="E152" s="2">
        <v>145608</v>
      </c>
      <c r="F152" s="2">
        <v>7.3</v>
      </c>
      <c r="G152" s="26">
        <v>37636</v>
      </c>
      <c r="H152">
        <f t="shared" si="4"/>
        <v>-37</v>
      </c>
      <c r="I152" s="13">
        <f t="shared" si="5"/>
        <v>-2.5410691720235154E-4</v>
      </c>
      <c r="J152" s="17">
        <f>WEEKNUM(Table4[[#This Row],[Week_Start_Date]])</f>
        <v>8</v>
      </c>
    </row>
    <row r="153" spans="1:10" ht="15.75" customHeight="1" x14ac:dyDescent="0.3">
      <c r="A153" s="2" t="s">
        <v>127</v>
      </c>
      <c r="B153" s="2" t="s">
        <v>27</v>
      </c>
      <c r="C153" s="2">
        <v>1662</v>
      </c>
      <c r="D153" s="2">
        <v>487</v>
      </c>
      <c r="E153" s="2">
        <v>105980</v>
      </c>
      <c r="F153" s="2">
        <v>9.08</v>
      </c>
      <c r="G153" s="26">
        <v>22996</v>
      </c>
      <c r="H153">
        <f t="shared" si="4"/>
        <v>1175</v>
      </c>
      <c r="I153" s="13">
        <f t="shared" si="5"/>
        <v>1.1086997546706926E-2</v>
      </c>
      <c r="J153" s="17">
        <f>WEEKNUM(Table4[[#This Row],[Week_Start_Date]])</f>
        <v>8</v>
      </c>
    </row>
    <row r="154" spans="1:10" ht="15.75" customHeight="1" x14ac:dyDescent="0.3">
      <c r="A154" s="2" t="s">
        <v>147</v>
      </c>
      <c r="B154" s="2" t="s">
        <v>33</v>
      </c>
      <c r="C154" s="2">
        <v>1440</v>
      </c>
      <c r="D154" s="2">
        <v>65</v>
      </c>
      <c r="E154" s="2">
        <v>126524</v>
      </c>
      <c r="F154" s="2">
        <v>4.34</v>
      </c>
      <c r="G154" s="26">
        <v>49772</v>
      </c>
      <c r="H154">
        <f t="shared" si="4"/>
        <v>1375</v>
      </c>
      <c r="I154" s="13">
        <f t="shared" si="5"/>
        <v>1.0867503398564699E-2</v>
      </c>
      <c r="J154" s="17">
        <f>WEEKNUM(Table4[[#This Row],[Week_Start_Date]])</f>
        <v>9</v>
      </c>
    </row>
    <row r="155" spans="1:10" ht="15.75" customHeight="1" x14ac:dyDescent="0.3">
      <c r="A155" s="2" t="s">
        <v>147</v>
      </c>
      <c r="B155" s="2" t="s">
        <v>43</v>
      </c>
      <c r="C155" s="2">
        <v>1884</v>
      </c>
      <c r="D155" s="2">
        <v>177</v>
      </c>
      <c r="E155" s="2">
        <v>230448</v>
      </c>
      <c r="F155" s="2">
        <v>7.8</v>
      </c>
      <c r="G155" s="26">
        <v>22713</v>
      </c>
      <c r="H155">
        <f t="shared" si="4"/>
        <v>1707</v>
      </c>
      <c r="I155" s="13">
        <f t="shared" si="5"/>
        <v>7.4073109768798169E-3</v>
      </c>
      <c r="J155" s="17">
        <f>WEEKNUM(Table4[[#This Row],[Week_Start_Date]])</f>
        <v>9</v>
      </c>
    </row>
    <row r="156" spans="1:10" ht="15.75" customHeight="1" x14ac:dyDescent="0.3">
      <c r="A156" s="2" t="s">
        <v>147</v>
      </c>
      <c r="B156" s="2" t="s">
        <v>14</v>
      </c>
      <c r="C156" s="2">
        <v>861</v>
      </c>
      <c r="D156" s="2">
        <v>153</v>
      </c>
      <c r="E156" s="2">
        <v>317007</v>
      </c>
      <c r="F156" s="2">
        <v>3.85</v>
      </c>
      <c r="G156" s="26">
        <v>8718</v>
      </c>
      <c r="H156">
        <f t="shared" si="4"/>
        <v>708</v>
      </c>
      <c r="I156" s="13">
        <f t="shared" si="5"/>
        <v>2.2333891680625349E-3</v>
      </c>
      <c r="J156" s="17">
        <f>WEEKNUM(Table4[[#This Row],[Week_Start_Date]])</f>
        <v>9</v>
      </c>
    </row>
    <row r="157" spans="1:10" ht="15.75" customHeight="1" x14ac:dyDescent="0.3">
      <c r="A157" s="2" t="s">
        <v>147</v>
      </c>
      <c r="B157" s="2" t="s">
        <v>27</v>
      </c>
      <c r="C157" s="2">
        <v>1063</v>
      </c>
      <c r="D157" s="2">
        <v>47</v>
      </c>
      <c r="E157" s="2">
        <v>464239</v>
      </c>
      <c r="F157" s="2">
        <v>6.58</v>
      </c>
      <c r="G157" s="26">
        <v>39031</v>
      </c>
      <c r="H157">
        <f t="shared" si="4"/>
        <v>1016</v>
      </c>
      <c r="I157" s="13">
        <f t="shared" si="5"/>
        <v>2.1885278918832756E-3</v>
      </c>
      <c r="J157" s="17">
        <f>WEEKNUM(Table4[[#This Row],[Week_Start_Date]])</f>
        <v>9</v>
      </c>
    </row>
    <row r="158" spans="1:10" ht="15.75" customHeight="1" x14ac:dyDescent="0.3">
      <c r="A158" s="2" t="s">
        <v>197</v>
      </c>
      <c r="B158" s="2" t="s">
        <v>33</v>
      </c>
      <c r="C158" s="2">
        <v>1371</v>
      </c>
      <c r="D158" s="2">
        <v>56</v>
      </c>
      <c r="E158" s="2">
        <v>257579</v>
      </c>
      <c r="F158" s="2">
        <v>8.6199999999999992</v>
      </c>
      <c r="G158" s="26">
        <v>33799</v>
      </c>
      <c r="H158">
        <f t="shared" si="4"/>
        <v>1315</v>
      </c>
      <c r="I158" s="13">
        <f t="shared" si="5"/>
        <v>5.1052298518124532E-3</v>
      </c>
      <c r="J158" s="17">
        <f>WEEKNUM(Table4[[#This Row],[Week_Start_Date]])</f>
        <v>10</v>
      </c>
    </row>
    <row r="159" spans="1:10" ht="15.75" customHeight="1" x14ac:dyDescent="0.3">
      <c r="A159" s="2" t="s">
        <v>197</v>
      </c>
      <c r="B159" s="2" t="s">
        <v>43</v>
      </c>
      <c r="C159" s="2">
        <v>345</v>
      </c>
      <c r="D159" s="2">
        <v>464</v>
      </c>
      <c r="E159" s="2">
        <v>366881</v>
      </c>
      <c r="F159" s="2">
        <v>4.55</v>
      </c>
      <c r="G159" s="26">
        <v>20553</v>
      </c>
      <c r="H159">
        <f t="shared" si="4"/>
        <v>-119</v>
      </c>
      <c r="I159" s="13">
        <f t="shared" si="5"/>
        <v>-3.2435585380545735E-4</v>
      </c>
      <c r="J159" s="17">
        <f>WEEKNUM(Table4[[#This Row],[Week_Start_Date]])</f>
        <v>10</v>
      </c>
    </row>
    <row r="160" spans="1:10" ht="15.75" customHeight="1" x14ac:dyDescent="0.3">
      <c r="A160" s="2" t="s">
        <v>197</v>
      </c>
      <c r="B160" s="2" t="s">
        <v>14</v>
      </c>
      <c r="C160" s="2">
        <v>946</v>
      </c>
      <c r="D160" s="2">
        <v>47</v>
      </c>
      <c r="E160" s="2">
        <v>466575</v>
      </c>
      <c r="F160" s="2">
        <v>8.33</v>
      </c>
      <c r="G160" s="26">
        <v>10002</v>
      </c>
      <c r="H160">
        <f t="shared" si="4"/>
        <v>899</v>
      </c>
      <c r="I160" s="13">
        <f t="shared" si="5"/>
        <v>1.9268070513850934E-3</v>
      </c>
      <c r="J160" s="17">
        <f>WEEKNUM(Table4[[#This Row],[Week_Start_Date]])</f>
        <v>10</v>
      </c>
    </row>
    <row r="161" spans="1:10" ht="15.75" customHeight="1" x14ac:dyDescent="0.3">
      <c r="A161" s="2" t="s">
        <v>197</v>
      </c>
      <c r="B161" s="2" t="s">
        <v>27</v>
      </c>
      <c r="C161" s="2">
        <v>510</v>
      </c>
      <c r="D161" s="2">
        <v>195</v>
      </c>
      <c r="E161" s="2">
        <v>224534</v>
      </c>
      <c r="F161" s="2">
        <v>9.4</v>
      </c>
      <c r="G161" s="26">
        <v>30987</v>
      </c>
      <c r="H161">
        <f t="shared" si="4"/>
        <v>315</v>
      </c>
      <c r="I161" s="13">
        <f t="shared" si="5"/>
        <v>1.4029055733207443E-3</v>
      </c>
      <c r="J161" s="17">
        <f>WEEKNUM(Table4[[#This Row],[Week_Start_Date]])</f>
        <v>10</v>
      </c>
    </row>
    <row r="162" spans="1:10" ht="15.75" customHeight="1" x14ac:dyDescent="0.3">
      <c r="A162" s="2" t="s">
        <v>586</v>
      </c>
      <c r="B162" s="2" t="s">
        <v>33</v>
      </c>
      <c r="C162" s="2">
        <v>393</v>
      </c>
      <c r="D162" s="2">
        <v>181</v>
      </c>
      <c r="E162" s="2">
        <v>462142</v>
      </c>
      <c r="F162" s="2">
        <v>7.23</v>
      </c>
      <c r="G162" s="26">
        <v>6296</v>
      </c>
      <c r="H162">
        <f t="shared" si="4"/>
        <v>212</v>
      </c>
      <c r="I162" s="13">
        <f t="shared" si="5"/>
        <v>4.5873346287504706E-4</v>
      </c>
      <c r="J162" s="17">
        <f>WEEKNUM(Table4[[#This Row],[Week_Start_Date]])</f>
        <v>11</v>
      </c>
    </row>
    <row r="163" spans="1:10" ht="15.75" customHeight="1" x14ac:dyDescent="0.3">
      <c r="A163" s="2" t="s">
        <v>586</v>
      </c>
      <c r="B163" s="2" t="s">
        <v>43</v>
      </c>
      <c r="C163" s="2">
        <v>1098</v>
      </c>
      <c r="D163" s="2">
        <v>190</v>
      </c>
      <c r="E163" s="2">
        <v>340842</v>
      </c>
      <c r="F163" s="2">
        <v>9.39</v>
      </c>
      <c r="G163" s="26">
        <v>21539</v>
      </c>
      <c r="H163">
        <f t="shared" si="4"/>
        <v>908</v>
      </c>
      <c r="I163" s="13">
        <f t="shared" si="5"/>
        <v>2.6639909400836752E-3</v>
      </c>
      <c r="J163" s="17">
        <f>WEEKNUM(Table4[[#This Row],[Week_Start_Date]])</f>
        <v>11</v>
      </c>
    </row>
    <row r="164" spans="1:10" ht="15.75" customHeight="1" x14ac:dyDescent="0.3">
      <c r="A164" s="2" t="s">
        <v>586</v>
      </c>
      <c r="B164" s="2" t="s">
        <v>14</v>
      </c>
      <c r="C164" s="2">
        <v>1399</v>
      </c>
      <c r="D164" s="2">
        <v>49</v>
      </c>
      <c r="E164" s="2">
        <v>12471</v>
      </c>
      <c r="F164" s="2">
        <v>5.12</v>
      </c>
      <c r="G164" s="26">
        <v>14722</v>
      </c>
      <c r="H164">
        <f t="shared" si="4"/>
        <v>1350</v>
      </c>
      <c r="I164" s="13">
        <f t="shared" si="5"/>
        <v>0.10825114265095021</v>
      </c>
      <c r="J164" s="17">
        <f>WEEKNUM(Table4[[#This Row],[Week_Start_Date]])</f>
        <v>11</v>
      </c>
    </row>
    <row r="165" spans="1:10" ht="15.75" customHeight="1" x14ac:dyDescent="0.3">
      <c r="A165" s="2" t="s">
        <v>586</v>
      </c>
      <c r="B165" s="2" t="s">
        <v>27</v>
      </c>
      <c r="C165" s="2">
        <v>1658</v>
      </c>
      <c r="D165" s="2">
        <v>416</v>
      </c>
      <c r="E165" s="2">
        <v>98397</v>
      </c>
      <c r="F165" s="2">
        <v>6.11</v>
      </c>
      <c r="G165" s="26">
        <v>11383</v>
      </c>
      <c r="H165">
        <f t="shared" si="4"/>
        <v>1242</v>
      </c>
      <c r="I165" s="13">
        <f t="shared" si="5"/>
        <v>1.2622336046830695E-2</v>
      </c>
      <c r="J165" s="17">
        <f>WEEKNUM(Table4[[#This Row],[Week_Start_Date]])</f>
        <v>11</v>
      </c>
    </row>
    <row r="166" spans="1:10" ht="15.75" customHeight="1" x14ac:dyDescent="0.3">
      <c r="A166" s="2" t="s">
        <v>587</v>
      </c>
      <c r="B166" s="2" t="s">
        <v>33</v>
      </c>
      <c r="C166" s="2">
        <v>1102</v>
      </c>
      <c r="D166" s="2">
        <v>422</v>
      </c>
      <c r="E166" s="2">
        <v>410330</v>
      </c>
      <c r="F166" s="2">
        <v>7.74</v>
      </c>
      <c r="G166" s="26">
        <v>9480</v>
      </c>
      <c r="H166">
        <f t="shared" si="4"/>
        <v>680</v>
      </c>
      <c r="I166" s="13">
        <f t="shared" si="5"/>
        <v>1.6572027392586454E-3</v>
      </c>
      <c r="J166" s="17">
        <f>WEEKNUM(Table4[[#This Row],[Week_Start_Date]])</f>
        <v>12</v>
      </c>
    </row>
    <row r="167" spans="1:10" ht="15.75" customHeight="1" x14ac:dyDescent="0.3">
      <c r="A167" s="2" t="s">
        <v>587</v>
      </c>
      <c r="B167" s="2" t="s">
        <v>43</v>
      </c>
      <c r="C167" s="2">
        <v>1358</v>
      </c>
      <c r="D167" s="2">
        <v>242</v>
      </c>
      <c r="E167" s="2">
        <v>342129</v>
      </c>
      <c r="F167" s="2">
        <v>4.9400000000000004</v>
      </c>
      <c r="G167" s="26">
        <v>29116</v>
      </c>
      <c r="H167">
        <f t="shared" si="4"/>
        <v>1116</v>
      </c>
      <c r="I167" s="13">
        <f t="shared" si="5"/>
        <v>3.2619275185675578E-3</v>
      </c>
      <c r="J167" s="17">
        <f>WEEKNUM(Table4[[#This Row],[Week_Start_Date]])</f>
        <v>12</v>
      </c>
    </row>
    <row r="168" spans="1:10" ht="15.75" customHeight="1" x14ac:dyDescent="0.3">
      <c r="A168" s="2" t="s">
        <v>587</v>
      </c>
      <c r="B168" s="2" t="s">
        <v>14</v>
      </c>
      <c r="C168" s="2">
        <v>1077</v>
      </c>
      <c r="D168" s="2">
        <v>216</v>
      </c>
      <c r="E168" s="2">
        <v>12447</v>
      </c>
      <c r="F168" s="2">
        <v>1.8</v>
      </c>
      <c r="G168" s="26">
        <v>14068</v>
      </c>
      <c r="H168">
        <f t="shared" si="4"/>
        <v>861</v>
      </c>
      <c r="I168" s="13">
        <f t="shared" si="5"/>
        <v>6.9173294769824048E-2</v>
      </c>
      <c r="J168" s="17">
        <f>WEEKNUM(Table4[[#This Row],[Week_Start_Date]])</f>
        <v>12</v>
      </c>
    </row>
    <row r="169" spans="1:10" ht="15.75" customHeight="1" x14ac:dyDescent="0.3">
      <c r="A169" s="2" t="s">
        <v>587</v>
      </c>
      <c r="B169" s="2" t="s">
        <v>27</v>
      </c>
      <c r="C169" s="2">
        <v>1596</v>
      </c>
      <c r="D169" s="2">
        <v>211</v>
      </c>
      <c r="E169" s="2">
        <v>17380</v>
      </c>
      <c r="F169" s="2">
        <v>8.64</v>
      </c>
      <c r="G169" s="26">
        <v>35801</v>
      </c>
      <c r="H169">
        <f t="shared" si="4"/>
        <v>1385</v>
      </c>
      <c r="I169" s="13">
        <f t="shared" si="5"/>
        <v>7.9689298043728429E-2</v>
      </c>
      <c r="J169" s="17">
        <f>WEEKNUM(Table4[[#This Row],[Week_Start_Date]])</f>
        <v>12</v>
      </c>
    </row>
    <row r="170" spans="1:10" ht="15.75" customHeight="1" x14ac:dyDescent="0.3">
      <c r="A170" s="2" t="s">
        <v>234</v>
      </c>
      <c r="B170" s="2" t="s">
        <v>33</v>
      </c>
      <c r="C170" s="2">
        <v>490</v>
      </c>
      <c r="D170" s="2">
        <v>29</v>
      </c>
      <c r="E170" s="2">
        <v>364810</v>
      </c>
      <c r="F170" s="2">
        <v>1.53</v>
      </c>
      <c r="G170" s="26">
        <v>49077</v>
      </c>
      <c r="H170">
        <f t="shared" si="4"/>
        <v>461</v>
      </c>
      <c r="I170" s="13">
        <f t="shared" si="5"/>
        <v>1.2636715002329981E-3</v>
      </c>
      <c r="J170" s="17">
        <f>WEEKNUM(Table4[[#This Row],[Week_Start_Date]])</f>
        <v>13</v>
      </c>
    </row>
    <row r="171" spans="1:10" ht="15.75" customHeight="1" x14ac:dyDescent="0.3">
      <c r="A171" s="2" t="s">
        <v>234</v>
      </c>
      <c r="B171" s="2" t="s">
        <v>43</v>
      </c>
      <c r="C171" s="2">
        <v>609</v>
      </c>
      <c r="D171" s="2">
        <v>135</v>
      </c>
      <c r="E171" s="2">
        <v>373606</v>
      </c>
      <c r="F171" s="2">
        <v>8.52</v>
      </c>
      <c r="G171" s="26">
        <v>21453</v>
      </c>
      <c r="H171">
        <f t="shared" si="4"/>
        <v>474</v>
      </c>
      <c r="I171" s="13">
        <f t="shared" si="5"/>
        <v>1.268716241173857E-3</v>
      </c>
      <c r="J171" s="17">
        <f>WEEKNUM(Table4[[#This Row],[Week_Start_Date]])</f>
        <v>13</v>
      </c>
    </row>
    <row r="172" spans="1:10" ht="15.75" customHeight="1" x14ac:dyDescent="0.3">
      <c r="A172" s="2" t="s">
        <v>234</v>
      </c>
      <c r="B172" s="2" t="s">
        <v>14</v>
      </c>
      <c r="C172" s="2">
        <v>364</v>
      </c>
      <c r="D172" s="2">
        <v>72</v>
      </c>
      <c r="E172" s="2">
        <v>211090</v>
      </c>
      <c r="F172" s="2">
        <v>5.53</v>
      </c>
      <c r="G172" s="26">
        <v>21061</v>
      </c>
      <c r="H172">
        <f t="shared" si="4"/>
        <v>292</v>
      </c>
      <c r="I172" s="13">
        <f t="shared" si="5"/>
        <v>1.3832962243592781E-3</v>
      </c>
      <c r="J172" s="17">
        <f>WEEKNUM(Table4[[#This Row],[Week_Start_Date]])</f>
        <v>13</v>
      </c>
    </row>
    <row r="173" spans="1:10" ht="15.75" customHeight="1" x14ac:dyDescent="0.3">
      <c r="A173" s="2" t="s">
        <v>234</v>
      </c>
      <c r="B173" s="2" t="s">
        <v>27</v>
      </c>
      <c r="C173" s="2">
        <v>442</v>
      </c>
      <c r="D173" s="2">
        <v>53</v>
      </c>
      <c r="E173" s="2">
        <v>441931</v>
      </c>
      <c r="F173" s="2">
        <v>1.87</v>
      </c>
      <c r="G173" s="26">
        <v>20059</v>
      </c>
      <c r="H173">
        <f t="shared" si="4"/>
        <v>389</v>
      </c>
      <c r="I173" s="13">
        <f t="shared" si="5"/>
        <v>8.8022790888170322E-4</v>
      </c>
      <c r="J173" s="17">
        <f>WEEKNUM(Table4[[#This Row],[Week_Start_Date]])</f>
        <v>13</v>
      </c>
    </row>
    <row r="174" spans="1:10" ht="15.75" customHeight="1" x14ac:dyDescent="0.3">
      <c r="A174" s="2" t="s">
        <v>588</v>
      </c>
      <c r="B174" s="2" t="s">
        <v>33</v>
      </c>
      <c r="C174" s="2">
        <v>1033</v>
      </c>
      <c r="D174" s="2">
        <v>392</v>
      </c>
      <c r="E174" s="2">
        <v>282780</v>
      </c>
      <c r="F174" s="2">
        <v>6.27</v>
      </c>
      <c r="G174" s="26">
        <v>23140</v>
      </c>
      <c r="H174">
        <f t="shared" si="4"/>
        <v>641</v>
      </c>
      <c r="I174" s="13">
        <f t="shared" si="5"/>
        <v>2.2667798288422093E-3</v>
      </c>
      <c r="J174" s="17">
        <f>WEEKNUM(Table4[[#This Row],[Week_Start_Date]])</f>
        <v>14</v>
      </c>
    </row>
    <row r="175" spans="1:10" ht="15.75" customHeight="1" x14ac:dyDescent="0.3">
      <c r="A175" s="2" t="s">
        <v>588</v>
      </c>
      <c r="B175" s="2" t="s">
        <v>43</v>
      </c>
      <c r="C175" s="2">
        <v>988</v>
      </c>
      <c r="D175" s="2">
        <v>474</v>
      </c>
      <c r="E175" s="2">
        <v>370070</v>
      </c>
      <c r="F175" s="2">
        <v>9.4600000000000009</v>
      </c>
      <c r="G175" s="26">
        <v>23461</v>
      </c>
      <c r="H175">
        <f t="shared" si="4"/>
        <v>514</v>
      </c>
      <c r="I175" s="13">
        <f t="shared" si="5"/>
        <v>1.3889264193260734E-3</v>
      </c>
      <c r="J175" s="17">
        <f>WEEKNUM(Table4[[#This Row],[Week_Start_Date]])</f>
        <v>14</v>
      </c>
    </row>
    <row r="176" spans="1:10" ht="15.75" customHeight="1" x14ac:dyDescent="0.3">
      <c r="A176" s="2" t="s">
        <v>588</v>
      </c>
      <c r="B176" s="2" t="s">
        <v>14</v>
      </c>
      <c r="C176" s="2">
        <v>1946</v>
      </c>
      <c r="D176" s="2">
        <v>270</v>
      </c>
      <c r="E176" s="2">
        <v>198350</v>
      </c>
      <c r="F176" s="2">
        <v>7.5</v>
      </c>
      <c r="G176" s="26">
        <v>11805</v>
      </c>
      <c r="H176">
        <f t="shared" si="4"/>
        <v>1676</v>
      </c>
      <c r="I176" s="13">
        <f t="shared" si="5"/>
        <v>8.4497101083942528E-3</v>
      </c>
      <c r="J176" s="17">
        <f>WEEKNUM(Table4[[#This Row],[Week_Start_Date]])</f>
        <v>14</v>
      </c>
    </row>
    <row r="177" spans="1:10" ht="15.75" customHeight="1" x14ac:dyDescent="0.3">
      <c r="A177" s="2" t="s">
        <v>588</v>
      </c>
      <c r="B177" s="2" t="s">
        <v>27</v>
      </c>
      <c r="C177" s="2">
        <v>1957</v>
      </c>
      <c r="D177" s="2">
        <v>490</v>
      </c>
      <c r="E177" s="2">
        <v>435726</v>
      </c>
      <c r="F177" s="2">
        <v>4.7300000000000004</v>
      </c>
      <c r="G177" s="26">
        <v>15969</v>
      </c>
      <c r="H177">
        <f t="shared" si="4"/>
        <v>1467</v>
      </c>
      <c r="I177" s="13">
        <f t="shared" si="5"/>
        <v>3.3667947287974553E-3</v>
      </c>
      <c r="J177" s="17">
        <f>WEEKNUM(Table4[[#This Row],[Week_Start_Date]])</f>
        <v>14</v>
      </c>
    </row>
    <row r="178" spans="1:10" ht="15.75" customHeight="1" x14ac:dyDescent="0.3">
      <c r="A178" s="2" t="s">
        <v>412</v>
      </c>
      <c r="B178" s="2" t="s">
        <v>33</v>
      </c>
      <c r="C178" s="2">
        <v>559</v>
      </c>
      <c r="D178" s="2">
        <v>392</v>
      </c>
      <c r="E178" s="2">
        <v>78789</v>
      </c>
      <c r="F178" s="2">
        <v>3.19</v>
      </c>
      <c r="G178" s="26">
        <v>2436</v>
      </c>
      <c r="H178">
        <f t="shared" si="4"/>
        <v>167</v>
      </c>
      <c r="I178" s="13">
        <f t="shared" si="5"/>
        <v>2.1195852212872357E-3</v>
      </c>
      <c r="J178" s="17">
        <f>WEEKNUM(Table4[[#This Row],[Week_Start_Date]])</f>
        <v>15</v>
      </c>
    </row>
    <row r="179" spans="1:10" ht="15.75" customHeight="1" x14ac:dyDescent="0.3">
      <c r="A179" s="2" t="s">
        <v>412</v>
      </c>
      <c r="B179" s="2" t="s">
        <v>43</v>
      </c>
      <c r="C179" s="2">
        <v>1307</v>
      </c>
      <c r="D179" s="2">
        <v>278</v>
      </c>
      <c r="E179" s="2">
        <v>98596</v>
      </c>
      <c r="F179" s="2">
        <v>2.4900000000000002</v>
      </c>
      <c r="G179" s="26">
        <v>47603</v>
      </c>
      <c r="H179">
        <f t="shared" si="4"/>
        <v>1029</v>
      </c>
      <c r="I179" s="13">
        <f t="shared" si="5"/>
        <v>1.0436528865268368E-2</v>
      </c>
      <c r="J179" s="17">
        <f>WEEKNUM(Table4[[#This Row],[Week_Start_Date]])</f>
        <v>15</v>
      </c>
    </row>
    <row r="180" spans="1:10" ht="15.75" customHeight="1" x14ac:dyDescent="0.3">
      <c r="A180" s="2" t="s">
        <v>412</v>
      </c>
      <c r="B180" s="2" t="s">
        <v>14</v>
      </c>
      <c r="C180" s="2">
        <v>1432</v>
      </c>
      <c r="D180" s="2">
        <v>425</v>
      </c>
      <c r="E180" s="2">
        <v>29589</v>
      </c>
      <c r="F180" s="2">
        <v>4.5</v>
      </c>
      <c r="G180" s="26">
        <v>42964</v>
      </c>
      <c r="H180">
        <f t="shared" si="4"/>
        <v>1007</v>
      </c>
      <c r="I180" s="13">
        <f t="shared" si="5"/>
        <v>3.4032917638311531E-2</v>
      </c>
      <c r="J180" s="17">
        <f>WEEKNUM(Table4[[#This Row],[Week_Start_Date]])</f>
        <v>15</v>
      </c>
    </row>
    <row r="181" spans="1:10" ht="15.75" customHeight="1" x14ac:dyDescent="0.3">
      <c r="A181" s="2" t="s">
        <v>412</v>
      </c>
      <c r="B181" s="2" t="s">
        <v>27</v>
      </c>
      <c r="C181" s="2">
        <v>623</v>
      </c>
      <c r="D181" s="2">
        <v>414</v>
      </c>
      <c r="E181" s="2">
        <v>290354</v>
      </c>
      <c r="F181" s="2">
        <v>6.49</v>
      </c>
      <c r="G181" s="26">
        <v>39923</v>
      </c>
      <c r="H181">
        <f t="shared" si="4"/>
        <v>209</v>
      </c>
      <c r="I181" s="13">
        <f t="shared" si="5"/>
        <v>7.1981098934404211E-4</v>
      </c>
      <c r="J181" s="17">
        <f>WEEKNUM(Table4[[#This Row],[Week_Start_Date]])</f>
        <v>15</v>
      </c>
    </row>
    <row r="182" spans="1:10" ht="15.75" customHeight="1" x14ac:dyDescent="0.3">
      <c r="A182" s="2" t="s">
        <v>589</v>
      </c>
      <c r="B182" s="2" t="s">
        <v>33</v>
      </c>
      <c r="C182" s="2">
        <v>198</v>
      </c>
      <c r="D182" s="2">
        <v>358</v>
      </c>
      <c r="E182" s="2">
        <v>66682</v>
      </c>
      <c r="F182" s="2">
        <v>6.73</v>
      </c>
      <c r="G182" s="26">
        <v>2293</v>
      </c>
      <c r="H182">
        <f t="shared" si="4"/>
        <v>-160</v>
      </c>
      <c r="I182" s="13">
        <f t="shared" si="5"/>
        <v>-2.3994481269308059E-3</v>
      </c>
      <c r="J182" s="17">
        <f>WEEKNUM(Table4[[#This Row],[Week_Start_Date]])</f>
        <v>16</v>
      </c>
    </row>
    <row r="183" spans="1:10" ht="15.75" customHeight="1" x14ac:dyDescent="0.3">
      <c r="A183" s="2" t="s">
        <v>589</v>
      </c>
      <c r="B183" s="2" t="s">
        <v>43</v>
      </c>
      <c r="C183" s="2">
        <v>198</v>
      </c>
      <c r="D183" s="2">
        <v>373</v>
      </c>
      <c r="E183" s="2">
        <v>70707</v>
      </c>
      <c r="F183" s="2">
        <v>4.83</v>
      </c>
      <c r="G183" s="26">
        <v>25920</v>
      </c>
      <c r="H183">
        <f t="shared" si="4"/>
        <v>-175</v>
      </c>
      <c r="I183" s="13">
        <f t="shared" si="5"/>
        <v>-2.4750024750024749E-3</v>
      </c>
      <c r="J183" s="17">
        <f>WEEKNUM(Table4[[#This Row],[Week_Start_Date]])</f>
        <v>16</v>
      </c>
    </row>
    <row r="184" spans="1:10" ht="15.75" customHeight="1" x14ac:dyDescent="0.3">
      <c r="A184" s="2" t="s">
        <v>589</v>
      </c>
      <c r="B184" s="2" t="s">
        <v>14</v>
      </c>
      <c r="C184" s="2">
        <v>353</v>
      </c>
      <c r="D184" s="2">
        <v>300</v>
      </c>
      <c r="E184" s="2">
        <v>142507</v>
      </c>
      <c r="F184" s="2">
        <v>5.3</v>
      </c>
      <c r="G184" s="26">
        <v>11035</v>
      </c>
      <c r="H184">
        <f t="shared" si="4"/>
        <v>53</v>
      </c>
      <c r="I184" s="13">
        <f t="shared" si="5"/>
        <v>3.7191155522184875E-4</v>
      </c>
      <c r="J184" s="17">
        <f>WEEKNUM(Table4[[#This Row],[Week_Start_Date]])</f>
        <v>16</v>
      </c>
    </row>
    <row r="185" spans="1:10" ht="15.75" customHeight="1" x14ac:dyDescent="0.3">
      <c r="A185" s="2" t="s">
        <v>589</v>
      </c>
      <c r="B185" s="2" t="s">
        <v>27</v>
      </c>
      <c r="C185" s="2">
        <v>520</v>
      </c>
      <c r="D185" s="2">
        <v>375</v>
      </c>
      <c r="E185" s="2">
        <v>369525</v>
      </c>
      <c r="F185" s="2">
        <v>6.54</v>
      </c>
      <c r="G185" s="26">
        <v>20733</v>
      </c>
      <c r="H185">
        <f t="shared" si="4"/>
        <v>145</v>
      </c>
      <c r="I185" s="13">
        <f t="shared" si="5"/>
        <v>3.9239564305527366E-4</v>
      </c>
      <c r="J185" s="17">
        <f>WEEKNUM(Table4[[#This Row],[Week_Start_Date]])</f>
        <v>16</v>
      </c>
    </row>
    <row r="186" spans="1:10" ht="15.75" customHeight="1" x14ac:dyDescent="0.3">
      <c r="A186" s="2" t="s">
        <v>590</v>
      </c>
      <c r="B186" s="2" t="s">
        <v>33</v>
      </c>
      <c r="C186" s="2">
        <v>961</v>
      </c>
      <c r="D186" s="2">
        <v>358</v>
      </c>
      <c r="E186" s="2">
        <v>62942</v>
      </c>
      <c r="F186" s="2">
        <v>6.8</v>
      </c>
      <c r="G186" s="26">
        <v>18693</v>
      </c>
      <c r="H186">
        <f t="shared" si="4"/>
        <v>603</v>
      </c>
      <c r="I186" s="13">
        <f t="shared" si="5"/>
        <v>9.5802484827301332E-3</v>
      </c>
      <c r="J186" s="17">
        <f>WEEKNUM(Table4[[#This Row],[Week_Start_Date]])</f>
        <v>17</v>
      </c>
    </row>
    <row r="187" spans="1:10" ht="15.75" customHeight="1" x14ac:dyDescent="0.3">
      <c r="A187" s="2" t="s">
        <v>590</v>
      </c>
      <c r="B187" s="2" t="s">
        <v>43</v>
      </c>
      <c r="C187" s="2">
        <v>1375</v>
      </c>
      <c r="D187" s="2">
        <v>330</v>
      </c>
      <c r="E187" s="2">
        <v>377382</v>
      </c>
      <c r="F187" s="2">
        <v>2.6</v>
      </c>
      <c r="G187" s="26">
        <v>7875</v>
      </c>
      <c r="H187">
        <f t="shared" si="4"/>
        <v>1045</v>
      </c>
      <c r="I187" s="13">
        <f t="shared" si="5"/>
        <v>2.7690774864725927E-3</v>
      </c>
      <c r="J187" s="17">
        <f>WEEKNUM(Table4[[#This Row],[Week_Start_Date]])</f>
        <v>17</v>
      </c>
    </row>
    <row r="188" spans="1:10" ht="15.75" customHeight="1" x14ac:dyDescent="0.3">
      <c r="A188" s="2" t="s">
        <v>590</v>
      </c>
      <c r="B188" s="2" t="s">
        <v>14</v>
      </c>
      <c r="C188" s="2">
        <v>1147</v>
      </c>
      <c r="D188" s="2">
        <v>388</v>
      </c>
      <c r="E188" s="2">
        <v>333851</v>
      </c>
      <c r="F188" s="2">
        <v>2.44</v>
      </c>
      <c r="G188" s="26">
        <v>8471</v>
      </c>
      <c r="H188">
        <f t="shared" si="4"/>
        <v>759</v>
      </c>
      <c r="I188" s="13">
        <f t="shared" si="5"/>
        <v>2.2734693021737242E-3</v>
      </c>
      <c r="J188" s="17">
        <f>WEEKNUM(Table4[[#This Row],[Week_Start_Date]])</f>
        <v>17</v>
      </c>
    </row>
    <row r="189" spans="1:10" ht="15.75" customHeight="1" x14ac:dyDescent="0.3">
      <c r="A189" s="2" t="s">
        <v>590</v>
      </c>
      <c r="B189" s="2" t="s">
        <v>27</v>
      </c>
      <c r="C189" s="2">
        <v>1707</v>
      </c>
      <c r="D189" s="2">
        <v>74</v>
      </c>
      <c r="E189" s="2">
        <v>270958</v>
      </c>
      <c r="F189" s="2">
        <v>3.09</v>
      </c>
      <c r="G189" s="26">
        <v>14090</v>
      </c>
      <c r="H189">
        <f t="shared" si="4"/>
        <v>1633</v>
      </c>
      <c r="I189" s="13">
        <f t="shared" si="5"/>
        <v>6.0267642955734836E-3</v>
      </c>
      <c r="J189" s="17">
        <f>WEEKNUM(Table4[[#This Row],[Week_Start_Date]])</f>
        <v>17</v>
      </c>
    </row>
    <row r="190" spans="1:10" ht="15.75" customHeight="1" x14ac:dyDescent="0.3">
      <c r="A190" s="2" t="s">
        <v>364</v>
      </c>
      <c r="B190" s="2" t="s">
        <v>33</v>
      </c>
      <c r="C190" s="2">
        <v>1693</v>
      </c>
      <c r="D190" s="2">
        <v>154</v>
      </c>
      <c r="E190" s="2">
        <v>445944</v>
      </c>
      <c r="F190" s="2">
        <v>5.69</v>
      </c>
      <c r="G190" s="26">
        <v>14216</v>
      </c>
      <c r="H190">
        <f t="shared" si="4"/>
        <v>1539</v>
      </c>
      <c r="I190" s="13">
        <f t="shared" si="5"/>
        <v>3.4511059684624078E-3</v>
      </c>
      <c r="J190" s="17">
        <f>WEEKNUM(Table4[[#This Row],[Week_Start_Date]])</f>
        <v>18</v>
      </c>
    </row>
    <row r="191" spans="1:10" ht="15.75" customHeight="1" x14ac:dyDescent="0.3">
      <c r="A191" s="2" t="s">
        <v>364</v>
      </c>
      <c r="B191" s="2" t="s">
        <v>43</v>
      </c>
      <c r="C191" s="2">
        <v>833</v>
      </c>
      <c r="D191" s="2">
        <v>380</v>
      </c>
      <c r="E191" s="2">
        <v>224830</v>
      </c>
      <c r="F191" s="2">
        <v>3.86</v>
      </c>
      <c r="G191" s="26">
        <v>3582</v>
      </c>
      <c r="H191">
        <f t="shared" si="4"/>
        <v>453</v>
      </c>
      <c r="I191" s="13">
        <f t="shared" si="5"/>
        <v>2.014855668727483E-3</v>
      </c>
      <c r="J191" s="17">
        <f>WEEKNUM(Table4[[#This Row],[Week_Start_Date]])</f>
        <v>18</v>
      </c>
    </row>
    <row r="192" spans="1:10" ht="15.75" customHeight="1" x14ac:dyDescent="0.3">
      <c r="A192" s="2" t="s">
        <v>364</v>
      </c>
      <c r="B192" s="2" t="s">
        <v>14</v>
      </c>
      <c r="C192" s="2">
        <v>1222</v>
      </c>
      <c r="D192" s="2">
        <v>274</v>
      </c>
      <c r="E192" s="2">
        <v>487289</v>
      </c>
      <c r="F192" s="2">
        <v>3.16</v>
      </c>
      <c r="G192" s="26">
        <v>32500</v>
      </c>
      <c r="H192">
        <f t="shared" si="4"/>
        <v>948</v>
      </c>
      <c r="I192" s="13">
        <f t="shared" si="5"/>
        <v>1.9454574184929272E-3</v>
      </c>
      <c r="J192" s="17">
        <f>WEEKNUM(Table4[[#This Row],[Week_Start_Date]])</f>
        <v>18</v>
      </c>
    </row>
    <row r="193" spans="1:10" ht="15.75" customHeight="1" x14ac:dyDescent="0.3">
      <c r="A193" s="2" t="s">
        <v>364</v>
      </c>
      <c r="B193" s="2" t="s">
        <v>27</v>
      </c>
      <c r="C193" s="2">
        <v>777</v>
      </c>
      <c r="D193" s="2">
        <v>140</v>
      </c>
      <c r="E193" s="2">
        <v>11435</v>
      </c>
      <c r="F193" s="2">
        <v>1.6</v>
      </c>
      <c r="G193" s="26">
        <v>6832</v>
      </c>
      <c r="H193">
        <f t="shared" si="4"/>
        <v>637</v>
      </c>
      <c r="I193" s="13">
        <f t="shared" si="5"/>
        <v>5.5706165282028861E-2</v>
      </c>
      <c r="J193" s="17">
        <f>WEEKNUM(Table4[[#This Row],[Week_Start_Date]])</f>
        <v>18</v>
      </c>
    </row>
    <row r="194" spans="1:10" ht="15.75" customHeight="1" x14ac:dyDescent="0.3">
      <c r="A194" s="2" t="s">
        <v>79</v>
      </c>
      <c r="B194" s="2" t="s">
        <v>33</v>
      </c>
      <c r="C194" s="2">
        <v>1957</v>
      </c>
      <c r="D194" s="2">
        <v>76</v>
      </c>
      <c r="E194" s="2">
        <v>447902</v>
      </c>
      <c r="F194" s="2">
        <v>6.09</v>
      </c>
      <c r="G194" s="26">
        <v>33381</v>
      </c>
      <c r="H194">
        <f t="shared" si="4"/>
        <v>1881</v>
      </c>
      <c r="I194" s="13">
        <f t="shared" si="5"/>
        <v>4.1995793722733989E-3</v>
      </c>
      <c r="J194" s="17">
        <f>WEEKNUM(Table4[[#This Row],[Week_Start_Date]])</f>
        <v>19</v>
      </c>
    </row>
    <row r="195" spans="1:10" ht="15.75" customHeight="1" x14ac:dyDescent="0.3">
      <c r="A195" s="2" t="s">
        <v>79</v>
      </c>
      <c r="B195" s="2" t="s">
        <v>43</v>
      </c>
      <c r="C195" s="2">
        <v>405</v>
      </c>
      <c r="D195" s="2">
        <v>66</v>
      </c>
      <c r="E195" s="2">
        <v>418696</v>
      </c>
      <c r="F195" s="2">
        <v>5.59</v>
      </c>
      <c r="G195" s="26">
        <v>48419</v>
      </c>
      <c r="H195">
        <f t="shared" ref="H195:H201" si="6">C195-D195</f>
        <v>339</v>
      </c>
      <c r="I195" s="13">
        <f t="shared" ref="I195:I201" si="7">(C195-D195)/E195</f>
        <v>8.0965664826031301E-4</v>
      </c>
      <c r="J195" s="17">
        <f>WEEKNUM(Table4[[#This Row],[Week_Start_Date]])</f>
        <v>19</v>
      </c>
    </row>
    <row r="196" spans="1:10" ht="15.75" customHeight="1" x14ac:dyDescent="0.3">
      <c r="A196" s="2" t="s">
        <v>79</v>
      </c>
      <c r="B196" s="2" t="s">
        <v>14</v>
      </c>
      <c r="C196" s="2">
        <v>1581</v>
      </c>
      <c r="D196" s="2">
        <v>71</v>
      </c>
      <c r="E196" s="2">
        <v>484364</v>
      </c>
      <c r="F196" s="2">
        <v>3.55</v>
      </c>
      <c r="G196" s="26">
        <v>16149</v>
      </c>
      <c r="H196">
        <f t="shared" si="6"/>
        <v>1510</v>
      </c>
      <c r="I196" s="13">
        <f t="shared" si="7"/>
        <v>3.1174901520344203E-3</v>
      </c>
      <c r="J196" s="17">
        <f>WEEKNUM(Table4[[#This Row],[Week_Start_Date]])</f>
        <v>19</v>
      </c>
    </row>
    <row r="197" spans="1:10" ht="15.75" customHeight="1" x14ac:dyDescent="0.3">
      <c r="A197" s="2" t="s">
        <v>79</v>
      </c>
      <c r="B197" s="2" t="s">
        <v>27</v>
      </c>
      <c r="C197" s="2">
        <v>1035</v>
      </c>
      <c r="D197" s="2">
        <v>171</v>
      </c>
      <c r="E197" s="2">
        <v>148477</v>
      </c>
      <c r="F197" s="2">
        <v>5.21</v>
      </c>
      <c r="G197" s="26">
        <v>7541</v>
      </c>
      <c r="H197">
        <f t="shared" si="6"/>
        <v>864</v>
      </c>
      <c r="I197" s="13">
        <f t="shared" si="7"/>
        <v>5.8190830903102836E-3</v>
      </c>
      <c r="J197" s="17">
        <f>WEEKNUM(Table4[[#This Row],[Week_Start_Date]])</f>
        <v>19</v>
      </c>
    </row>
    <row r="198" spans="1:10" ht="15.75" customHeight="1" x14ac:dyDescent="0.3">
      <c r="A198" s="2" t="s">
        <v>28</v>
      </c>
      <c r="B198" s="2" t="s">
        <v>33</v>
      </c>
      <c r="C198" s="2">
        <v>1765</v>
      </c>
      <c r="D198" s="2">
        <v>109</v>
      </c>
      <c r="E198" s="2">
        <v>468301</v>
      </c>
      <c r="F198" s="2">
        <v>1.82</v>
      </c>
      <c r="G198" s="26">
        <v>20042</v>
      </c>
      <c r="H198">
        <f t="shared" si="6"/>
        <v>1656</v>
      </c>
      <c r="I198" s="13">
        <f t="shared" si="7"/>
        <v>3.5361871958419907E-3</v>
      </c>
      <c r="J198" s="17">
        <f>WEEKNUM(Table4[[#This Row],[Week_Start_Date]])</f>
        <v>20</v>
      </c>
    </row>
    <row r="199" spans="1:10" ht="15.75" customHeight="1" x14ac:dyDescent="0.3">
      <c r="A199" s="2" t="s">
        <v>28</v>
      </c>
      <c r="B199" s="2" t="s">
        <v>43</v>
      </c>
      <c r="C199" s="2">
        <v>837</v>
      </c>
      <c r="D199" s="2">
        <v>430</v>
      </c>
      <c r="E199" s="2">
        <v>364820</v>
      </c>
      <c r="F199" s="2">
        <v>4</v>
      </c>
      <c r="G199" s="26">
        <v>49400</v>
      </c>
      <c r="H199">
        <f t="shared" si="6"/>
        <v>407</v>
      </c>
      <c r="I199" s="13">
        <f t="shared" si="7"/>
        <v>1.1156186612576065E-3</v>
      </c>
      <c r="J199" s="17">
        <f>WEEKNUM(Table4[[#This Row],[Week_Start_Date]])</f>
        <v>20</v>
      </c>
    </row>
    <row r="200" spans="1:10" ht="15.75" customHeight="1" x14ac:dyDescent="0.3">
      <c r="A200" s="2" t="s">
        <v>28</v>
      </c>
      <c r="B200" s="2" t="s">
        <v>14</v>
      </c>
      <c r="C200" s="2">
        <v>337</v>
      </c>
      <c r="D200" s="2">
        <v>68</v>
      </c>
      <c r="E200" s="2">
        <v>456298</v>
      </c>
      <c r="F200" s="2">
        <v>7.57</v>
      </c>
      <c r="G200" s="26">
        <v>4007</v>
      </c>
      <c r="H200">
        <f t="shared" si="6"/>
        <v>269</v>
      </c>
      <c r="I200" s="13">
        <f t="shared" si="7"/>
        <v>5.8952701962314107E-4</v>
      </c>
      <c r="J200" s="17">
        <f>WEEKNUM(Table4[[#This Row],[Week_Start_Date]])</f>
        <v>20</v>
      </c>
    </row>
    <row r="201" spans="1:10" ht="15.75" customHeight="1" x14ac:dyDescent="0.3">
      <c r="A201" s="2" t="s">
        <v>28</v>
      </c>
      <c r="B201" s="2" t="s">
        <v>27</v>
      </c>
      <c r="C201" s="2">
        <v>119</v>
      </c>
      <c r="D201" s="2">
        <v>456</v>
      </c>
      <c r="E201" s="2">
        <v>82558</v>
      </c>
      <c r="F201" s="2">
        <v>6.81</v>
      </c>
      <c r="G201" s="26">
        <v>12174</v>
      </c>
      <c r="H201">
        <f t="shared" si="6"/>
        <v>-337</v>
      </c>
      <c r="I201" s="13">
        <f t="shared" si="7"/>
        <v>-4.0819787301048958E-3</v>
      </c>
      <c r="J201" s="17">
        <f>WEEKNUM(Table4[[#This Row],[Week_Start_Date]])</f>
        <v>20</v>
      </c>
    </row>
    <row r="202" spans="1:10" ht="15.75" customHeight="1" x14ac:dyDescent="0.3"/>
    <row r="203" spans="1:10" ht="15.75" customHeight="1" x14ac:dyDescent="0.3"/>
    <row r="204" spans="1:10" ht="15.75" customHeight="1" x14ac:dyDescent="0.3"/>
    <row r="205" spans="1:10" ht="15.75" customHeight="1" x14ac:dyDescent="0.3"/>
    <row r="206" spans="1:10" ht="15.75" customHeight="1" x14ac:dyDescent="0.3"/>
    <row r="207" spans="1:10" ht="15.75" customHeight="1" x14ac:dyDescent="0.3"/>
    <row r="208" spans="1:1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G12" sqref="G12"/>
    </sheetView>
  </sheetViews>
  <sheetFormatPr defaultColWidth="14.44140625" defaultRowHeight="15" customHeight="1" x14ac:dyDescent="0.3"/>
  <cols>
    <col min="1" max="1" width="17.5546875" customWidth="1"/>
    <col min="2" max="2" width="16.44140625" customWidth="1"/>
    <col min="3" max="3" width="11" customWidth="1"/>
    <col min="4" max="4" width="19.5546875" bestFit="1" customWidth="1"/>
    <col min="5" max="5" width="14.109375" style="27" customWidth="1"/>
    <col min="6" max="6" width="17.6640625" bestFit="1" customWidth="1"/>
    <col min="7" max="7" width="30.109375" bestFit="1" customWidth="1"/>
    <col min="8" max="26" width="8.6640625" customWidth="1"/>
  </cols>
  <sheetData>
    <row r="1" spans="1:7" ht="14.4" x14ac:dyDescent="0.3">
      <c r="A1" s="3" t="s">
        <v>12</v>
      </c>
      <c r="B1" s="3" t="s">
        <v>591</v>
      </c>
      <c r="C1" s="3" t="s">
        <v>592</v>
      </c>
      <c r="D1" s="3" t="s">
        <v>593</v>
      </c>
      <c r="E1" s="28" t="s">
        <v>594</v>
      </c>
      <c r="F1" s="3" t="s">
        <v>595</v>
      </c>
      <c r="G1" s="3" t="s">
        <v>596</v>
      </c>
    </row>
    <row r="2" spans="1:7" ht="14.4" x14ac:dyDescent="0.3">
      <c r="A2" s="2" t="s">
        <v>19</v>
      </c>
      <c r="B2" s="15">
        <v>45458</v>
      </c>
      <c r="C2" s="15">
        <v>45488</v>
      </c>
      <c r="D2" s="2" t="s">
        <v>597</v>
      </c>
      <c r="E2" s="26">
        <v>150000</v>
      </c>
      <c r="F2" s="2" t="s">
        <v>598</v>
      </c>
      <c r="G2" s="2" t="s">
        <v>41</v>
      </c>
    </row>
    <row r="3" spans="1:7" ht="14.4" x14ac:dyDescent="0.3">
      <c r="A3" s="2" t="s">
        <v>25</v>
      </c>
      <c r="B3" s="15">
        <v>45566</v>
      </c>
      <c r="C3" s="15">
        <v>45596</v>
      </c>
      <c r="D3" s="2" t="s">
        <v>599</v>
      </c>
      <c r="E3" s="26">
        <v>200000</v>
      </c>
      <c r="F3" s="2" t="s">
        <v>600</v>
      </c>
      <c r="G3" s="10" t="s">
        <v>615</v>
      </c>
    </row>
    <row r="4" spans="1:7" ht="14.4" x14ac:dyDescent="0.3">
      <c r="A4" s="2" t="s">
        <v>31</v>
      </c>
      <c r="B4" s="15">
        <v>45651</v>
      </c>
      <c r="C4" s="15">
        <v>45667</v>
      </c>
      <c r="D4" s="2" t="s">
        <v>601</v>
      </c>
      <c r="E4" s="26">
        <v>250000</v>
      </c>
      <c r="F4" s="2" t="s">
        <v>602</v>
      </c>
      <c r="G4" s="2" t="s">
        <v>603</v>
      </c>
    </row>
    <row r="5" spans="1:7" ht="14.4" x14ac:dyDescent="0.3">
      <c r="A5" s="2" t="s">
        <v>38</v>
      </c>
      <c r="B5" s="15">
        <v>45717</v>
      </c>
      <c r="C5" s="15">
        <v>45747</v>
      </c>
      <c r="D5" s="2" t="s">
        <v>604</v>
      </c>
      <c r="E5" s="26">
        <v>180000</v>
      </c>
      <c r="F5" s="2" t="s">
        <v>605</v>
      </c>
      <c r="G5" s="2" t="s">
        <v>606</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1E2B1B-A046-40CC-A242-859A74370D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 1</vt:lpstr>
      <vt:lpstr>TASK 2</vt:lpstr>
      <vt:lpstr>TASK 3</vt:lpstr>
      <vt:lpstr>TASK 4</vt:lpstr>
      <vt:lpstr>TASK 5</vt:lpstr>
      <vt:lpstr>TASK 6</vt:lpstr>
      <vt:lpstr>Sheet1</vt:lpstr>
      <vt:lpstr>Dashboard</vt:lpstr>
      <vt:lpstr>Posts</vt:lpstr>
      <vt:lpstr>Engagement Summary</vt:lpstr>
      <vt:lpstr>Campaign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akhilesh sharma</dc:creator>
  <cp:lastModifiedBy>Akhilesh Sharma</cp:lastModifiedBy>
  <dcterms:created xsi:type="dcterms:W3CDTF">2026-03-05T12:23:37Z</dcterms:created>
  <dcterms:modified xsi:type="dcterms:W3CDTF">2026-03-15T18:41:42Z</dcterms:modified>
</cp:coreProperties>
</file>